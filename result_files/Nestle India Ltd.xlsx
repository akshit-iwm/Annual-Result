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792261E-27C9-4616-B7A6-331921C1839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K136" i="1"/>
  <c r="FG2" i="4" l="1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1" i="2"/>
  <c r="AF52" i="2"/>
  <c r="AB28" i="2"/>
  <c r="AF111" i="2"/>
  <c r="AE46" i="2"/>
  <c r="AD78" i="2"/>
  <c r="AD24" i="2"/>
  <c r="AC57" i="2"/>
  <c r="AF96" i="2"/>
  <c r="AE79" i="2"/>
  <c r="AB34" i="2"/>
  <c r="AB16" i="2"/>
  <c r="AD30" i="2"/>
  <c r="AF33" i="2"/>
  <c r="AF20" i="2"/>
  <c r="AB110" i="2"/>
  <c r="AE93" i="2"/>
  <c r="AC109" i="2"/>
  <c r="AD43" i="2"/>
  <c r="AF58" i="2"/>
  <c r="AB87" i="2"/>
  <c r="AA135" i="1" s="1"/>
  <c r="AF73" i="2"/>
  <c r="AC42" i="2"/>
  <c r="AD94" i="2"/>
  <c r="AD54" i="2"/>
  <c r="AD57" i="2"/>
  <c r="AB27" i="2"/>
  <c r="AA32" i="1" s="1"/>
  <c r="AB6" i="2"/>
  <c r="AA8" i="1" s="1"/>
  <c r="AD99" i="2"/>
  <c r="AE83" i="2"/>
  <c r="AF78" i="2"/>
  <c r="AF47" i="2"/>
  <c r="AF44" i="2"/>
  <c r="AB48" i="2"/>
  <c r="AA124" i="1" s="1"/>
  <c r="AA128" i="1" s="1"/>
  <c r="AD62" i="2"/>
  <c r="AD90" i="2"/>
  <c r="AE85" i="2"/>
  <c r="AC89" i="2"/>
  <c r="AC25" i="2"/>
  <c r="AB94" i="2"/>
  <c r="AA172" i="1" s="1"/>
  <c r="AD50" i="2"/>
  <c r="AD28" i="2"/>
  <c r="AD9" i="2"/>
  <c r="AF100" i="2"/>
  <c r="AB49" i="2"/>
  <c r="AA125" i="1" s="1"/>
  <c r="AB46" i="2"/>
  <c r="AA122" i="1" s="1"/>
  <c r="AF18" i="2"/>
  <c r="AB32" i="2"/>
  <c r="AA45" i="1" s="1"/>
  <c r="AF77" i="2"/>
  <c r="AF41" i="2"/>
  <c r="AE106" i="2"/>
  <c r="AF42" i="2"/>
  <c r="AB43" i="2"/>
  <c r="AA118" i="1" s="1"/>
  <c r="AB30" i="2"/>
  <c r="AA39" i="1" s="1"/>
  <c r="AE105" i="2"/>
  <c r="AB8" i="2"/>
  <c r="AC61" i="2"/>
  <c r="AC28" i="2"/>
  <c r="AD92" i="2"/>
  <c r="AC111" i="2"/>
  <c r="AC92" i="2"/>
  <c r="AD72" i="2"/>
  <c r="AF59" i="2"/>
  <c r="AB64" i="2"/>
  <c r="AA132" i="1" s="1"/>
  <c r="AB61" i="2"/>
  <c r="AE64" i="2"/>
  <c r="AE58" i="2"/>
  <c r="AC99" i="2"/>
  <c r="AD32" i="2"/>
  <c r="AD17" i="2"/>
  <c r="AF108" i="2"/>
  <c r="AF50" i="2"/>
  <c r="AD65" i="2"/>
  <c r="AC48" i="2"/>
  <c r="AD23" i="2"/>
  <c r="AF45" i="2"/>
  <c r="AF36" i="2"/>
  <c r="AF6" i="2"/>
  <c r="AD19" i="2"/>
  <c r="AD70" i="2"/>
  <c r="AE5" i="2"/>
  <c r="AE60" i="2"/>
  <c r="AB107" i="2"/>
  <c r="AA77" i="1" s="1"/>
  <c r="AF89" i="2"/>
  <c r="AE87" i="2"/>
  <c r="AD58" i="2"/>
  <c r="AE8" i="2"/>
  <c r="AF66" i="2"/>
  <c r="AB35" i="2"/>
  <c r="AA51" i="1" s="1"/>
  <c r="AB22" i="2"/>
  <c r="AD111" i="2"/>
  <c r="AC96" i="2"/>
  <c r="AF106" i="2"/>
  <c r="AF55" i="2"/>
  <c r="AB60" i="2"/>
  <c r="AE9" i="2"/>
  <c r="AF67" i="2"/>
  <c r="AD110" i="2"/>
  <c r="AC100" i="2"/>
  <c r="AC36" i="2"/>
  <c r="AC53" i="2"/>
  <c r="AB106" i="2"/>
  <c r="AD13" i="2"/>
  <c r="AD36" i="2"/>
  <c r="AD25" i="2"/>
  <c r="AD15" i="2"/>
  <c r="AB57" i="2"/>
  <c r="AA127" i="1" s="1"/>
  <c r="AD61" i="2"/>
  <c r="AF54" i="2"/>
  <c r="AF65" i="2"/>
  <c r="AF93" i="2"/>
  <c r="AF49" i="2"/>
  <c r="AE75" i="2"/>
  <c r="AE96" i="2"/>
  <c r="AB51" i="2"/>
  <c r="AB50" i="2"/>
  <c r="AA163" i="1" s="1"/>
  <c r="AF26" i="2"/>
  <c r="AB44" i="2"/>
  <c r="AA119" i="1" s="1"/>
  <c r="AF81" i="2"/>
  <c r="AF91" i="2"/>
  <c r="AC16" i="2"/>
  <c r="AB33" i="2"/>
  <c r="AA46" i="1" s="1"/>
  <c r="AB52" i="2"/>
  <c r="AA150" i="1" s="1"/>
  <c r="AE72" i="2"/>
  <c r="AE44" i="2"/>
  <c r="AB108" i="2"/>
  <c r="AA78" i="1" s="1"/>
  <c r="AD82" i="2"/>
  <c r="AE80" i="2"/>
  <c r="AD8" i="2"/>
  <c r="AD33" i="2"/>
  <c r="AF63" i="2"/>
  <c r="AE18" i="2"/>
  <c r="AB93" i="2"/>
  <c r="AB17" i="2"/>
  <c r="AA21" i="1" s="1"/>
  <c r="AC47" i="2"/>
  <c r="AB36" i="2"/>
  <c r="AF79" i="2"/>
  <c r="AF110" i="2"/>
  <c r="AD80" i="2"/>
  <c r="AC65" i="2"/>
  <c r="AE97" i="2"/>
  <c r="AD88" i="2"/>
  <c r="AE48" i="2"/>
  <c r="AB11" i="2"/>
  <c r="AA13" i="1" s="1"/>
  <c r="AB42" i="2"/>
  <c r="AA117" i="1" s="1"/>
  <c r="AC6" i="2"/>
  <c r="AE14" i="2"/>
  <c r="AE10" i="2"/>
  <c r="AB84" i="2"/>
  <c r="AA164" i="1" s="1"/>
  <c r="AE99" i="2"/>
  <c r="AE70" i="2"/>
  <c r="AD68" i="2"/>
  <c r="AC95" i="2"/>
  <c r="AB20" i="2"/>
  <c r="AD59" i="2"/>
  <c r="AC35" i="2"/>
  <c r="AD51" i="2"/>
  <c r="AE36" i="2"/>
  <c r="AD105" i="2"/>
  <c r="AB69" i="2"/>
  <c r="AA136" i="1" s="1"/>
  <c r="AF5" i="2"/>
  <c r="AD108" i="2"/>
  <c r="AE78" i="2"/>
  <c r="AC27" i="2"/>
  <c r="AD95" i="2"/>
  <c r="AE15" i="2"/>
  <c r="AC79" i="2"/>
  <c r="AE31" i="2"/>
  <c r="AE30" i="2"/>
  <c r="AE86" i="2"/>
  <c r="AF7" i="2"/>
  <c r="AE56" i="2"/>
  <c r="AC106" i="2"/>
  <c r="AE27" i="2"/>
  <c r="AF69" i="2"/>
  <c r="AD16" i="2"/>
  <c r="AD53" i="2"/>
  <c r="AC22" i="2"/>
  <c r="AB18" i="2"/>
  <c r="AA25" i="1" s="1"/>
  <c r="AE19" i="2"/>
  <c r="AF9" i="2"/>
  <c r="AC59" i="2"/>
  <c r="AB65" i="2"/>
  <c r="AA133" i="1" s="1"/>
  <c r="AF95" i="2"/>
  <c r="AD7" i="2"/>
  <c r="AD96" i="2"/>
  <c r="AB97" i="2"/>
  <c r="AB56" i="2"/>
  <c r="AD10" i="2"/>
  <c r="AD5" i="2"/>
  <c r="AB19" i="2"/>
  <c r="AA22" i="1" s="1"/>
  <c r="AB58" i="2"/>
  <c r="AA155" i="1" s="1"/>
  <c r="AC30" i="2"/>
  <c r="AD29" i="2"/>
  <c r="AE22" i="2"/>
  <c r="AB92" i="2"/>
  <c r="AD27" i="2"/>
  <c r="AE94" i="2"/>
  <c r="AD84" i="2"/>
  <c r="AC13" i="2"/>
  <c r="AC14" i="2"/>
  <c r="AE11" i="2"/>
  <c r="AC51" i="2"/>
  <c r="AB5" i="2"/>
  <c r="AE52" i="2"/>
  <c r="AC94" i="2"/>
  <c r="AB85" i="2"/>
  <c r="AF13" i="2"/>
  <c r="AB79" i="2"/>
  <c r="AA160" i="1" s="1"/>
  <c r="AC88" i="2"/>
  <c r="AC43" i="2"/>
  <c r="AD107" i="2"/>
  <c r="AB73" i="2"/>
  <c r="AC107" i="2"/>
  <c r="AD76" i="2"/>
  <c r="AB54" i="2"/>
  <c r="AD14" i="2"/>
  <c r="AF15" i="2"/>
  <c r="AF16" i="2"/>
  <c r="AE21" i="2"/>
  <c r="AE82" i="2"/>
  <c r="AE47" i="2"/>
  <c r="AD44" i="2"/>
  <c r="AF64" i="2"/>
  <c r="AC50" i="2"/>
  <c r="AD73" i="2"/>
  <c r="AE108" i="2"/>
  <c r="AF17" i="2"/>
  <c r="AF56" i="2"/>
  <c r="AC26" i="2"/>
  <c r="AC32" i="2"/>
  <c r="AE29" i="2"/>
  <c r="AE35" i="2"/>
  <c r="AC85" i="2"/>
  <c r="AC108" i="2"/>
  <c r="AD18" i="2"/>
  <c r="AD21" i="2"/>
  <c r="AB47" i="2"/>
  <c r="AD67" i="2"/>
  <c r="AC58" i="2"/>
  <c r="AE45" i="2"/>
  <c r="AE34" i="2"/>
  <c r="AB100" i="2"/>
  <c r="AF83" i="2"/>
  <c r="AC10" i="2"/>
  <c r="AD100" i="2"/>
  <c r="AF12" i="2"/>
  <c r="AE63" i="2"/>
  <c r="AD12" i="2"/>
  <c r="AD45" i="2"/>
  <c r="AB13" i="2"/>
  <c r="AA24" i="1" s="1"/>
  <c r="AB10" i="2"/>
  <c r="AE13" i="2"/>
  <c r="AB105" i="2"/>
  <c r="AF21" i="2"/>
  <c r="AD42" i="2"/>
  <c r="AB7" i="2"/>
  <c r="AC55" i="2"/>
  <c r="AD60" i="2"/>
  <c r="AB89" i="2"/>
  <c r="AC78" i="2"/>
  <c r="AC77" i="2"/>
  <c r="AD81" i="2"/>
  <c r="AE26" i="2"/>
  <c r="AF23" i="2"/>
  <c r="AF32" i="2"/>
  <c r="AE49" i="2"/>
  <c r="AE110" i="2"/>
  <c r="AC69" i="2"/>
  <c r="AD52" i="2"/>
  <c r="AF72" i="2"/>
  <c r="AE67" i="2"/>
  <c r="AD89" i="2"/>
  <c r="AF105" i="2"/>
  <c r="AF25" i="2"/>
  <c r="AB66" i="2"/>
  <c r="AC54" i="2"/>
  <c r="AC81" i="2"/>
  <c r="AE57" i="2"/>
  <c r="AE84" i="2"/>
  <c r="AC20" i="2"/>
  <c r="AD66" i="2"/>
  <c r="AD26" i="2"/>
  <c r="AD41" i="2"/>
  <c r="AB55" i="2"/>
  <c r="AA153" i="1" s="1"/>
  <c r="AA183" i="1" s="1"/>
  <c r="AD75" i="2"/>
  <c r="AE71" i="2"/>
  <c r="AC12" i="2"/>
  <c r="AE50" i="2"/>
  <c r="AB12" i="2"/>
  <c r="AA15" i="1" s="1"/>
  <c r="AF99" i="2"/>
  <c r="AC34" i="2"/>
  <c r="AE62" i="2"/>
  <c r="AF28" i="2"/>
  <c r="AD35" i="2"/>
  <c r="AD20" i="2"/>
  <c r="AF60" i="2"/>
  <c r="AB21" i="2"/>
  <c r="AB26" i="2"/>
  <c r="AE41" i="2"/>
  <c r="AE68" i="2"/>
  <c r="AF29" i="2"/>
  <c r="AE54" i="2"/>
  <c r="AB15" i="2"/>
  <c r="AA23" i="1" s="1"/>
  <c r="AB14" i="2"/>
  <c r="AA20" i="1" s="1"/>
  <c r="AA26" i="1" s="1"/>
  <c r="AC18" i="2"/>
  <c r="AB109" i="2"/>
  <c r="AA79" i="1" s="1"/>
  <c r="AD11" i="2"/>
  <c r="AC105" i="2"/>
  <c r="AD97" i="2"/>
  <c r="AC76" i="2"/>
  <c r="AF31" i="2"/>
  <c r="AB72" i="2"/>
  <c r="AA140" i="1" s="1"/>
  <c r="AC66" i="2"/>
  <c r="AE91" i="2"/>
  <c r="AD6" i="2"/>
  <c r="AC5" i="2"/>
  <c r="AF80" i="2"/>
  <c r="AC83" i="2"/>
  <c r="AD109" i="2"/>
  <c r="AC56" i="2"/>
  <c r="AF53" i="2"/>
  <c r="AB74" i="2"/>
  <c r="AE69" i="2"/>
  <c r="AD86" i="2"/>
  <c r="AC70" i="2"/>
  <c r="AE7" i="2"/>
  <c r="AF109" i="2"/>
  <c r="AF71" i="2"/>
  <c r="AD34" i="2"/>
  <c r="AF74" i="2"/>
  <c r="AC9" i="2"/>
  <c r="AD83" i="2"/>
  <c r="AB24" i="2"/>
  <c r="AF11" i="2"/>
  <c r="AF8" i="2"/>
  <c r="AE33" i="2"/>
  <c r="AE55" i="2"/>
  <c r="AE61" i="2"/>
  <c r="AB75" i="2"/>
  <c r="AF48" i="2"/>
  <c r="AC8" i="2"/>
  <c r="AD48" i="2"/>
  <c r="AF68" i="2"/>
  <c r="AB29" i="2"/>
  <c r="AD69" i="2"/>
  <c r="AC62" i="2"/>
  <c r="AE92" i="2"/>
  <c r="AF57" i="2"/>
  <c r="AF70" i="2"/>
  <c r="AB23" i="2"/>
  <c r="AA35" i="1" s="1"/>
  <c r="AD63" i="2"/>
  <c r="AC46" i="2"/>
  <c r="AC73" i="2"/>
  <c r="AE76" i="2"/>
  <c r="AB67" i="2"/>
  <c r="AD64" i="2"/>
  <c r="AF113" i="2"/>
  <c r="AF43" i="2"/>
  <c r="AB80" i="2"/>
  <c r="AA146" i="1" s="1"/>
  <c r="AC90" i="2"/>
  <c r="AB45" i="2"/>
  <c r="AE42" i="2"/>
  <c r="AC17" i="2"/>
  <c r="AF88" i="2"/>
  <c r="AB25" i="2"/>
  <c r="AA36" i="1" s="1"/>
  <c r="AF34" i="2"/>
  <c r="AC75" i="2"/>
  <c r="AC7" i="2"/>
  <c r="AB82" i="2"/>
  <c r="AE81" i="2"/>
  <c r="AD106" i="2"/>
  <c r="AC82" i="2"/>
  <c r="AB71" i="2"/>
  <c r="AC67" i="2"/>
  <c r="AF87" i="2"/>
  <c r="AE28" i="2"/>
  <c r="AE59" i="2"/>
  <c r="AC80" i="2"/>
  <c r="AE51" i="2"/>
  <c r="AB86" i="2"/>
  <c r="AA170" i="1" s="1"/>
  <c r="AF98" i="2"/>
  <c r="AB81" i="2"/>
  <c r="AA147" i="1" s="1"/>
  <c r="AC60" i="2"/>
  <c r="AB63" i="2"/>
  <c r="AA131" i="1" s="1"/>
  <c r="AA134" i="1" s="1"/>
  <c r="AF62" i="2"/>
  <c r="AB41" i="2"/>
  <c r="AE107" i="2"/>
  <c r="AE17" i="2"/>
  <c r="AE65" i="2"/>
  <c r="AF14" i="2"/>
  <c r="AB88" i="2"/>
  <c r="AC29" i="2"/>
  <c r="AB95" i="2"/>
  <c r="AC63" i="2"/>
  <c r="AF107" i="2"/>
  <c r="AC21" i="2"/>
  <c r="AC52" i="2"/>
  <c r="AC72" i="2"/>
  <c r="AB91" i="2"/>
  <c r="AF86" i="2"/>
  <c r="AE12" i="2"/>
  <c r="AE43" i="2"/>
  <c r="AC64" i="2"/>
  <c r="AE77" i="2"/>
  <c r="AB83" i="2"/>
  <c r="AB96" i="2"/>
  <c r="AA171" i="1" s="1"/>
  <c r="AC45" i="2"/>
  <c r="AB9" i="2"/>
  <c r="AC87" i="2"/>
  <c r="AC93" i="2"/>
  <c r="AC33" i="2"/>
  <c r="AF19" i="2"/>
  <c r="AC84" i="2"/>
  <c r="AB111" i="2"/>
  <c r="AA67" i="1" s="1"/>
  <c r="AD56" i="2"/>
  <c r="AE24" i="2"/>
  <c r="AE74" i="2"/>
  <c r="AB31" i="2"/>
  <c r="AE89" i="2"/>
  <c r="AB99" i="2"/>
  <c r="AD47" i="2"/>
  <c r="AE109" i="2"/>
  <c r="AC19" i="2"/>
  <c r="AE95" i="2"/>
  <c r="AD46" i="2"/>
  <c r="AC49" i="2"/>
  <c r="AF27" i="2"/>
  <c r="AE88" i="2"/>
  <c r="AC71" i="2"/>
  <c r="AC11" i="2"/>
  <c r="AD77" i="2"/>
  <c r="AE98" i="2"/>
  <c r="AB59" i="2"/>
  <c r="AC97" i="2"/>
  <c r="AC44" i="2"/>
  <c r="AF75" i="2"/>
  <c r="AD31" i="2"/>
  <c r="AC31" i="2"/>
  <c r="AF22" i="2"/>
  <c r="AE20" i="2"/>
  <c r="AD91" i="2"/>
  <c r="AF35" i="2"/>
  <c r="AE23" i="2"/>
  <c r="AB62" i="2"/>
  <c r="AC23" i="2"/>
  <c r="AD85" i="2"/>
  <c r="AC41" i="2"/>
  <c r="AC15" i="2"/>
  <c r="AF97" i="2"/>
  <c r="AE53" i="2"/>
  <c r="AC110" i="2"/>
  <c r="AB53" i="2"/>
  <c r="AA151" i="1" s="1"/>
  <c r="AB90" i="2"/>
  <c r="AE66" i="2"/>
  <c r="AE32" i="2"/>
  <c r="AF10" i="2"/>
  <c r="AF24" i="2"/>
  <c r="AD74" i="2"/>
  <c r="AB70" i="2"/>
  <c r="AF76" i="2"/>
  <c r="AD93" i="2"/>
  <c r="AD49" i="2"/>
  <c r="AD71" i="2"/>
  <c r="AC24" i="2"/>
  <c r="AB77" i="2"/>
  <c r="AA144" i="1" s="1"/>
  <c r="AC68" i="2"/>
  <c r="AE6" i="2"/>
  <c r="AB98" i="2"/>
  <c r="AE90" i="2"/>
  <c r="AF82" i="2"/>
  <c r="AF46" i="2"/>
  <c r="AB68" i="2"/>
  <c r="AA137" i="1" s="1"/>
  <c r="AE73" i="2"/>
  <c r="AB78" i="2"/>
  <c r="AA145" i="1" s="1"/>
  <c r="AF84" i="2"/>
  <c r="AC74" i="2"/>
  <c r="AE111" i="2"/>
  <c r="AD79" i="2"/>
  <c r="AE100" i="2"/>
  <c r="AF85" i="2"/>
  <c r="AE16" i="2"/>
  <c r="AC98" i="2"/>
  <c r="AE25" i="2"/>
  <c r="AD55" i="2"/>
  <c r="AC91" i="2"/>
  <c r="AF90" i="2"/>
  <c r="AF61" i="2"/>
  <c r="AB76" i="2"/>
  <c r="AA159" i="1" s="1"/>
  <c r="AF30" i="2"/>
  <c r="AD22" i="2"/>
  <c r="AF92" i="2"/>
  <c r="AC86" i="2"/>
  <c r="AF94" i="2"/>
  <c r="AD87" i="2"/>
  <c r="AD98" i="2"/>
  <c r="AF112" i="2"/>
  <c r="AA149" i="1" l="1"/>
  <c r="AA142" i="1"/>
  <c r="AA148" i="1" s="1"/>
  <c r="AA182" i="1" s="1"/>
  <c r="AA9" i="1"/>
  <c r="AA143" i="1"/>
  <c r="AA47" i="1"/>
  <c r="AA173" i="1"/>
  <c r="AA138" i="1"/>
  <c r="AA126" i="1"/>
  <c r="AA154" i="1"/>
  <c r="AA156" i="1" s="1"/>
  <c r="AA253" i="1"/>
  <c r="AA33" i="1"/>
  <c r="AA194" i="1"/>
  <c r="AA231" i="1"/>
  <c r="AA37" i="1"/>
  <c r="AA252" i="1"/>
  <c r="AA120" i="1"/>
  <c r="AA179" i="1"/>
  <c r="AA180" i="1"/>
  <c r="AA161" i="1"/>
  <c r="B1" i="9"/>
  <c r="AF114" i="2"/>
  <c r="AD114" i="2"/>
  <c r="A1" i="9"/>
  <c r="AC112" i="2"/>
  <c r="AE112" i="2"/>
  <c r="AD113" i="2"/>
  <c r="L1" i="9"/>
  <c r="AC113" i="2"/>
  <c r="AC114" i="2"/>
  <c r="AE114" i="2"/>
  <c r="AB114" i="2"/>
  <c r="AA74" i="1" s="1"/>
  <c r="AB112" i="2"/>
  <c r="AE113" i="2"/>
  <c r="AB113" i="2"/>
  <c r="AA73" i="1" s="1"/>
  <c r="AD112" i="2"/>
  <c r="AA10" i="1" l="1"/>
  <c r="AA246" i="1"/>
  <c r="AA248" i="1"/>
  <c r="AA181" i="1"/>
  <c r="AA185" i="1"/>
  <c r="AA184" i="1" s="1"/>
  <c r="AA175" i="1"/>
  <c r="AA157" i="1"/>
  <c r="AA168" i="1"/>
  <c r="AA109" i="1" s="1"/>
  <c r="AA129" i="1"/>
  <c r="AA18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M136" i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6" i="1" l="1"/>
  <c r="AA244" i="1"/>
  <c r="AA98" i="1"/>
  <c r="AA27" i="1"/>
  <c r="AA165" i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7" i="1" l="1"/>
  <c r="AA28" i="1"/>
  <c r="Y1" i="1"/>
  <c r="Z1" i="1" s="1"/>
  <c r="AA232" i="1" l="1"/>
  <c r="AA233" i="1" s="1"/>
  <c r="AA112" i="1"/>
  <c r="AA34" i="1"/>
  <c r="AA29" i="1"/>
  <c r="AA1" i="1"/>
  <c r="AB1" i="1" s="1"/>
  <c r="AC1" i="1" s="1"/>
  <c r="AD1" i="1" s="1"/>
  <c r="AE1" i="1" s="1"/>
  <c r="AA55" i="1" l="1"/>
  <c r="AA38" i="1"/>
  <c r="A1" i="3"/>
  <c r="AA41" i="1" l="1"/>
  <c r="AA40" i="1"/>
  <c r="A1" i="6"/>
  <c r="A1" i="4"/>
  <c r="AA234" i="1" l="1"/>
  <c r="AA48" i="1"/>
  <c r="AA42" i="1"/>
  <c r="AA245" i="1" s="1"/>
  <c r="AB35" i="1"/>
  <c r="BQ41" i="3"/>
  <c r="BK13" i="3"/>
  <c r="BS7" i="3"/>
  <c r="BL12" i="3"/>
  <c r="BK10" i="3"/>
  <c r="BN14" i="3"/>
  <c r="BG42" i="3"/>
  <c r="AA18" i="2"/>
  <c r="BC10" i="3"/>
  <c r="BA39" i="3"/>
  <c r="Y83" i="2"/>
  <c r="Z34" i="2"/>
  <c r="FC5" i="4" a="1"/>
  <c r="AA5" i="2"/>
  <c r="AA23" i="2"/>
  <c r="BU5" i="3"/>
  <c r="BV12" i="3"/>
  <c r="BF20" i="3"/>
  <c r="BO20" i="3"/>
  <c r="BK17" i="3"/>
  <c r="BK20" i="3"/>
  <c r="BN26" i="3"/>
  <c r="BJ37" i="3"/>
  <c r="Y26" i="2"/>
  <c r="Z111" i="2"/>
  <c r="BQ6" i="3"/>
  <c r="BR13" i="3"/>
  <c r="BN24" i="3"/>
  <c r="BS20" i="3"/>
  <c r="BM18" i="3"/>
  <c r="BE21" i="3"/>
  <c r="BJ28" i="3"/>
  <c r="BF39" i="3"/>
  <c r="AA69" i="2"/>
  <c r="Z41" i="2"/>
  <c r="BA27" i="3"/>
  <c r="BD7" i="3"/>
  <c r="Y41" i="2"/>
  <c r="EZ7" i="4" a="1"/>
  <c r="FD8" i="4" a="1"/>
  <c r="BN18" i="3"/>
  <c r="BV7" i="3"/>
  <c r="BK39" i="3"/>
  <c r="BO15" i="3"/>
  <c r="BJ41" i="3"/>
  <c r="BK16" i="3"/>
  <c r="BN10" i="3"/>
  <c r="BN23" i="3"/>
  <c r="Y69" i="2"/>
  <c r="Y43" i="2"/>
  <c r="BD45" i="3"/>
  <c r="BB12" i="3"/>
  <c r="BB29" i="3"/>
  <c r="BQ7" i="3"/>
  <c r="BS35" i="3"/>
  <c r="BH39" i="3"/>
  <c r="BS21" i="3"/>
  <c r="BM22" i="3"/>
  <c r="BM21" i="3"/>
  <c r="BL31" i="3"/>
  <c r="BH42" i="3"/>
  <c r="BR6" i="3"/>
  <c r="BE34" i="3"/>
  <c r="BS13" i="3"/>
  <c r="BL36" i="3"/>
  <c r="BI15" i="3"/>
  <c r="BF6" i="3"/>
  <c r="BJ19" i="3"/>
  <c r="V6" i="2"/>
  <c r="BD36" i="3"/>
  <c r="BD30" i="3"/>
  <c r="BD41" i="3"/>
  <c r="BB39" i="3"/>
  <c r="EY5" i="4" a="1"/>
  <c r="Z10" i="2"/>
  <c r="BA13" i="3"/>
  <c r="BU11" i="3"/>
  <c r="BO46" i="3"/>
  <c r="BR18" i="3"/>
  <c r="BO26" i="3"/>
  <c r="BK37" i="3"/>
  <c r="BI25" i="3"/>
  <c r="BJ46" i="3"/>
  <c r="BI14" i="3"/>
  <c r="AA91" i="2"/>
  <c r="Y50" i="2"/>
  <c r="BQ12" i="3"/>
  <c r="BT5" i="3"/>
  <c r="BV18" i="3"/>
  <c r="BS26" i="3"/>
  <c r="BG39" i="3"/>
  <c r="BE27" i="3"/>
  <c r="BJ6" i="3"/>
  <c r="BK15" i="3"/>
  <c r="AA45" i="2"/>
  <c r="Z14" i="2"/>
  <c r="Y16" i="2"/>
  <c r="Y94" i="2"/>
  <c r="AA96" i="2"/>
  <c r="EY8" i="4" a="1"/>
  <c r="EZ16" i="4" a="1"/>
  <c r="BU6" i="3"/>
  <c r="BV13" i="3"/>
  <c r="BN32" i="3"/>
  <c r="BO21" i="3"/>
  <c r="BI20" i="3"/>
  <c r="BI21" i="3"/>
  <c r="BF30" i="3"/>
  <c r="BL40" i="3"/>
  <c r="Z110" i="2"/>
  <c r="AA36" i="2"/>
  <c r="AA109" i="2"/>
  <c r="AA31" i="2"/>
  <c r="FF16" i="4" a="1"/>
  <c r="BQ13" i="3"/>
  <c r="BT15" i="3"/>
  <c r="BV19" i="3"/>
  <c r="BS27" i="3"/>
  <c r="BH5" i="3"/>
  <c r="BK30" i="3"/>
  <c r="BH19" i="3"/>
  <c r="BE18" i="3"/>
  <c r="Y32" i="2"/>
  <c r="Z45" i="2"/>
  <c r="AA105" i="2"/>
  <c r="Y87" i="2"/>
  <c r="BB40" i="3"/>
  <c r="EX12" i="4" a="1"/>
  <c r="AA13" i="2"/>
  <c r="BP7" i="3"/>
  <c r="BU19" i="3"/>
  <c r="BP30" i="3"/>
  <c r="BR26" i="3"/>
  <c r="BO34" i="3"/>
  <c r="BI46" i="3"/>
  <c r="BJ13" i="3"/>
  <c r="BF24" i="3"/>
  <c r="BK35" i="3"/>
  <c r="BA45" i="3"/>
  <c r="Z62" i="2"/>
  <c r="Z91" i="2"/>
  <c r="BC22" i="3"/>
  <c r="FE5" i="4" a="1"/>
  <c r="FE16" i="4" a="1"/>
  <c r="Y106" i="2"/>
  <c r="Z94" i="2"/>
  <c r="BQ26" i="3"/>
  <c r="BK42" i="3"/>
  <c r="BV32" i="3"/>
  <c r="BT11" i="3"/>
  <c r="BP33" i="3"/>
  <c r="BH34" i="3"/>
  <c r="BT13" i="3"/>
  <c r="BH45" i="3"/>
  <c r="BC18" i="3"/>
  <c r="AA64" i="2"/>
  <c r="BA33" i="3"/>
  <c r="FC15" i="4" a="1"/>
  <c r="BU32" i="3"/>
  <c r="BH24" i="3"/>
  <c r="BR39" i="3"/>
  <c r="BP36" i="3"/>
  <c r="BP29" i="3"/>
  <c r="BI16" i="3"/>
  <c r="BP26" i="3"/>
  <c r="AA41" i="2"/>
  <c r="BB32" i="3"/>
  <c r="AA83" i="2"/>
  <c r="BQ21" i="3"/>
  <c r="BK26" i="3"/>
  <c r="BV27" i="3"/>
  <c r="BO36" i="3"/>
  <c r="BE9" i="3"/>
  <c r="BU33" i="3"/>
  <c r="BL26" i="3"/>
  <c r="BR40" i="3"/>
  <c r="BG26" i="3"/>
  <c r="BP23" i="3"/>
  <c r="BE20" i="3"/>
  <c r="BP34" i="3"/>
  <c r="AA110" i="2"/>
  <c r="BC41" i="3"/>
  <c r="Z21" i="2"/>
  <c r="AA66" i="2"/>
  <c r="BQ22" i="3"/>
  <c r="BQ5" i="3"/>
  <c r="BR12" i="3"/>
  <c r="BJ10" i="3"/>
  <c r="BS19" i="3"/>
  <c r="BE16" i="3"/>
  <c r="BG20" i="3"/>
  <c r="BH25" i="3"/>
  <c r="BH36" i="3"/>
  <c r="Y21" i="2"/>
  <c r="AA107" i="2"/>
  <c r="BB18" i="3"/>
  <c r="BB26" i="3"/>
  <c r="Y90" i="2"/>
  <c r="FD11" i="4" a="1"/>
  <c r="AA72" i="2"/>
  <c r="Y60" i="2"/>
  <c r="BU17" i="3"/>
  <c r="BT34" i="3"/>
  <c r="BR24" i="3"/>
  <c r="BO32" i="3"/>
  <c r="BJ18" i="3"/>
  <c r="BL6" i="3"/>
  <c r="BL33" i="3"/>
  <c r="BI30" i="3"/>
  <c r="Z9" i="2"/>
  <c r="Z54" i="2"/>
  <c r="BQ18" i="3"/>
  <c r="BP12" i="3"/>
  <c r="BV24" i="3"/>
  <c r="BS32" i="3"/>
  <c r="BJ26" i="3"/>
  <c r="BH8" i="3"/>
  <c r="BF40" i="3"/>
  <c r="BK31" i="3"/>
  <c r="Y24" i="2"/>
  <c r="AA92" i="2"/>
  <c r="Z76" i="2"/>
  <c r="Z85" i="2"/>
  <c r="BD34" i="3"/>
  <c r="EZ5" i="4" a="1"/>
  <c r="EX15" i="4" a="1"/>
  <c r="BU12" i="3"/>
  <c r="BT7" i="3"/>
  <c r="BR19" i="3"/>
  <c r="BO27" i="3"/>
  <c r="BK41" i="3"/>
  <c r="BK28" i="3"/>
  <c r="BN12" i="3"/>
  <c r="BM16" i="3"/>
  <c r="AA94" i="2"/>
  <c r="Z97" i="2"/>
  <c r="Z18" i="2"/>
  <c r="Z88" i="2"/>
  <c r="FB16" i="4" a="1"/>
  <c r="BQ19" i="3"/>
  <c r="BP24" i="3"/>
  <c r="BV25" i="3"/>
  <c r="BS33" i="3"/>
  <c r="BL37" i="3"/>
  <c r="BN11" i="3"/>
  <c r="BL17" i="3"/>
  <c r="BI34" i="3"/>
  <c r="BD33" i="3"/>
  <c r="Z80" i="2"/>
  <c r="Z47" i="2"/>
  <c r="BA21" i="3"/>
  <c r="FD14" i="4" a="1"/>
  <c r="EY6" i="4" a="1"/>
  <c r="AA32" i="2"/>
  <c r="BH18" i="3"/>
  <c r="BU25" i="3"/>
  <c r="BM41" i="3"/>
  <c r="BR32" i="3"/>
  <c r="BP5" i="3"/>
  <c r="BP25" i="3"/>
  <c r="BL32" i="3"/>
  <c r="BT9" i="3"/>
  <c r="BJ40" i="3"/>
  <c r="BD18" i="3"/>
  <c r="AA59" i="2"/>
  <c r="Y46" i="2"/>
  <c r="Z72" i="2"/>
  <c r="EY7" i="4" a="1"/>
  <c r="AA99" i="2"/>
  <c r="Y54" i="2"/>
  <c r="AA15" i="2"/>
  <c r="BQ32" i="3"/>
  <c r="BL22" i="3"/>
  <c r="BV38" i="3"/>
  <c r="BP32" i="3"/>
  <c r="BP13" i="3"/>
  <c r="BM14" i="3"/>
  <c r="BP20" i="3"/>
  <c r="AB39" i="3"/>
  <c r="BD22" i="3"/>
  <c r="Y72" i="2"/>
  <c r="BD38" i="3"/>
  <c r="Y19" i="2"/>
  <c r="BU38" i="3"/>
  <c r="BJ45" i="3"/>
  <c r="BO5" i="3"/>
  <c r="BE45" i="3"/>
  <c r="BK8" i="3"/>
  <c r="BM36" i="3"/>
  <c r="BM35" i="3"/>
  <c r="Y95" i="2"/>
  <c r="BD39" i="3"/>
  <c r="BA10" i="3"/>
  <c r="BQ27" i="3"/>
  <c r="BN5" i="3"/>
  <c r="BV33" i="3"/>
  <c r="BT21" i="3"/>
  <c r="BK18" i="3"/>
  <c r="BU39" i="3"/>
  <c r="BM8" i="3"/>
  <c r="BO6" i="3"/>
  <c r="BN7" i="3"/>
  <c r="BI9" i="3"/>
  <c r="BI40" i="3"/>
  <c r="BK38" i="3"/>
  <c r="Y22" i="2"/>
  <c r="BA29" i="3"/>
  <c r="BC17" i="3"/>
  <c r="AA93" i="2"/>
  <c r="BQ28" i="3"/>
  <c r="BF9" i="3"/>
  <c r="BV34" i="3"/>
  <c r="BQ11" i="3"/>
  <c r="BO45" i="3"/>
  <c r="BV17" i="3"/>
  <c r="BS25" i="3"/>
  <c r="BE36" i="3"/>
  <c r="BE25" i="3"/>
  <c r="BL45" i="3"/>
  <c r="BM12" i="3"/>
  <c r="Z55" i="2"/>
  <c r="AA10" i="2"/>
  <c r="AA74" i="2"/>
  <c r="Y57" i="2"/>
  <c r="Z52" i="2"/>
  <c r="FB5" i="4" a="1"/>
  <c r="Z99" i="2"/>
  <c r="AA68" i="2"/>
  <c r="BU23" i="3"/>
  <c r="BM33" i="3"/>
  <c r="BR30" i="3"/>
  <c r="BO41" i="3"/>
  <c r="BT40" i="3"/>
  <c r="BN25" i="3"/>
  <c r="BH11" i="3"/>
  <c r="BJ16" i="3"/>
  <c r="BB20" i="3"/>
  <c r="AA6" i="2"/>
  <c r="BQ24" i="3"/>
  <c r="BI35" i="3"/>
  <c r="BV30" i="3"/>
  <c r="BO42" i="3"/>
  <c r="BT46" i="3"/>
  <c r="BN27" i="3"/>
  <c r="BJ30" i="3"/>
  <c r="BN22" i="3"/>
  <c r="BD42" i="3"/>
  <c r="AA11" i="2"/>
  <c r="C5" i="2"/>
  <c r="BB6" i="3"/>
  <c r="BC24" i="3"/>
  <c r="FE13" i="4" a="1"/>
  <c r="EY9" i="4" a="1"/>
  <c r="BU18" i="3"/>
  <c r="BP18" i="3"/>
  <c r="BR25" i="3"/>
  <c r="BO33" i="3"/>
  <c r="BH31" i="3"/>
  <c r="BH10" i="3"/>
  <c r="BM46" i="3"/>
  <c r="BG33" i="3"/>
  <c r="BD32" i="3"/>
  <c r="Y99" i="2"/>
  <c r="Y11" i="2"/>
  <c r="BB35" i="3"/>
  <c r="Y48" i="2"/>
  <c r="BQ25" i="3"/>
  <c r="BE39" i="3"/>
  <c r="BV31" i="3"/>
  <c r="BS46" i="3"/>
  <c r="BP17" i="3"/>
  <c r="BJ31" i="3"/>
  <c r="BP6" i="3"/>
  <c r="BL35" i="3"/>
  <c r="BB17" i="3"/>
  <c r="Z19" i="2"/>
  <c r="BQ17" i="3"/>
  <c r="BV23" i="3"/>
  <c r="BF12" i="3"/>
  <c r="BH27" i="3"/>
  <c r="Z63" i="2"/>
  <c r="AA75" i="2"/>
  <c r="Y111" i="2"/>
  <c r="Z100" i="2"/>
  <c r="BU29" i="3"/>
  <c r="BR36" i="3"/>
  <c r="BP11" i="3"/>
  <c r="BT18" i="3"/>
  <c r="BB9" i="3"/>
  <c r="BQ30" i="3"/>
  <c r="BV36" i="3"/>
  <c r="BP19" i="3"/>
  <c r="BT30" i="3"/>
  <c r="AY29" i="3"/>
  <c r="AA65" i="2"/>
  <c r="EZ12" i="4" a="1"/>
  <c r="EZ13" i="4" a="1"/>
  <c r="BI37" i="3"/>
  <c r="BS45" i="3"/>
  <c r="BN29" i="3"/>
  <c r="BH29" i="3"/>
  <c r="Y15" i="2"/>
  <c r="Z24" i="2"/>
  <c r="BQ31" i="3"/>
  <c r="BV37" i="3"/>
  <c r="BP35" i="3"/>
  <c r="BP8" i="3"/>
  <c r="Y73" i="2"/>
  <c r="BA42" i="3"/>
  <c r="Y7" i="2"/>
  <c r="FB8" i="4" a="1"/>
  <c r="FF5" i="4" a="1"/>
  <c r="FE14" i="4" a="1"/>
  <c r="BU37" i="3"/>
  <c r="BM42" i="3"/>
  <c r="BO28" i="3"/>
  <c r="BM7" i="3"/>
  <c r="BF14" i="3"/>
  <c r="BK19" i="3"/>
  <c r="BC12" i="3"/>
  <c r="BC45" i="3"/>
  <c r="Y67" i="2"/>
  <c r="FA11" i="4" a="1"/>
  <c r="BA8" i="3"/>
  <c r="Z8" i="2"/>
  <c r="BQ46" i="3"/>
  <c r="BV14" i="3"/>
  <c r="BS34" i="3"/>
  <c r="BE13" i="3"/>
  <c r="BN34" i="3"/>
  <c r="BG37" i="3"/>
  <c r="BB15" i="3"/>
  <c r="BB46" i="3"/>
  <c r="EX9" i="4" a="1"/>
  <c r="BV9" i="3"/>
  <c r="BR21" i="3"/>
  <c r="BT17" i="3"/>
  <c r="BG18" i="3"/>
  <c r="BJ38" i="3"/>
  <c r="BH7" i="3"/>
  <c r="Z20" i="2"/>
  <c r="BL29" i="3"/>
  <c r="BT41" i="3"/>
  <c r="BS5" i="3"/>
  <c r="BI8" i="3"/>
  <c r="BU27" i="3"/>
  <c r="BJ32" i="3"/>
  <c r="BO30" i="3"/>
  <c r="BP37" i="3"/>
  <c r="BJ20" i="3"/>
  <c r="BG25" i="3"/>
  <c r="BA17" i="3"/>
  <c r="BA5" i="3"/>
  <c r="Z89" i="2"/>
  <c r="BT6" i="3"/>
  <c r="BV28" i="3"/>
  <c r="BT33" i="3"/>
  <c r="BN13" i="3"/>
  <c r="Y34" i="2"/>
  <c r="BO31" i="3"/>
  <c r="EY16" i="4" a="1"/>
  <c r="BL18" i="3"/>
  <c r="X6" i="2"/>
  <c r="BU28" i="3"/>
  <c r="Y75" i="2"/>
  <c r="BB13" i="3"/>
  <c r="BQ23" i="3"/>
  <c r="BV29" i="3"/>
  <c r="BT36" i="3"/>
  <c r="BL41" i="3"/>
  <c r="BC20" i="3"/>
  <c r="Z107" i="2"/>
  <c r="BB11" i="3"/>
  <c r="BA12" i="3"/>
  <c r="BU35" i="3"/>
  <c r="BR42" i="3"/>
  <c r="BG6" i="3"/>
  <c r="BE29" i="3"/>
  <c r="BB22" i="3"/>
  <c r="BQ36" i="3"/>
  <c r="BV42" i="3"/>
  <c r="BK6" i="3"/>
  <c r="BG30" i="3"/>
  <c r="BC25" i="3"/>
  <c r="AA22" i="2"/>
  <c r="FA5" i="4" a="1"/>
  <c r="BC42" i="3"/>
  <c r="BN17" i="3"/>
  <c r="BP10" i="3"/>
  <c r="BE10" i="3"/>
  <c r="AA56" i="2"/>
  <c r="Z69" i="2"/>
  <c r="AA25" i="2"/>
  <c r="BQ37" i="3"/>
  <c r="BV45" i="3"/>
  <c r="BI7" i="3"/>
  <c r="BG32" i="3"/>
  <c r="BB25" i="3"/>
  <c r="BA35" i="3"/>
  <c r="AA44" i="2"/>
  <c r="FB7" i="4" a="1"/>
  <c r="Y62" i="2"/>
  <c r="BN37" i="3"/>
  <c r="BU45" i="3"/>
  <c r="BR14" i="3"/>
  <c r="BP22" i="3"/>
  <c r="BK12" i="3"/>
  <c r="BH33" i="3"/>
  <c r="Y84" i="2"/>
  <c r="AA88" i="2"/>
  <c r="Z23" i="2"/>
  <c r="Z26" i="2"/>
  <c r="FE9" i="4" a="1"/>
  <c r="Z66" i="2"/>
  <c r="EZ8" i="4" a="1"/>
  <c r="BR9" i="3"/>
  <c r="BV20" i="3"/>
  <c r="BE41" i="3"/>
  <c r="BM17" i="3"/>
  <c r="BF32" i="3"/>
  <c r="AA62" i="2"/>
  <c r="Z108" i="2"/>
  <c r="Y97" i="2"/>
  <c r="AA20" i="2"/>
  <c r="BO38" i="3"/>
  <c r="BR27" i="3"/>
  <c r="BF27" i="3"/>
  <c r="BE23" i="3"/>
  <c r="BL9" i="3"/>
  <c r="Z49" i="2"/>
  <c r="Z5" i="2"/>
  <c r="BQ9" i="3"/>
  <c r="BJ25" i="3"/>
  <c r="BS11" i="3"/>
  <c r="BN30" i="3"/>
  <c r="BQ62" i="3"/>
  <c r="BR16" i="3"/>
  <c r="BO37" i="3"/>
  <c r="BG14" i="3"/>
  <c r="BL39" i="3"/>
  <c r="BM40" i="3"/>
  <c r="BB38" i="3"/>
  <c r="AA28" i="2"/>
  <c r="BQ10" i="3"/>
  <c r="BM29" i="3"/>
  <c r="BV40" i="3"/>
  <c r="BU10" i="3"/>
  <c r="BE40" i="3"/>
  <c r="Z59" i="2"/>
  <c r="BM34" i="3"/>
  <c r="BU22" i="3"/>
  <c r="BJ8" i="3"/>
  <c r="BC34" i="3"/>
  <c r="BT25" i="3"/>
  <c r="BD25" i="3"/>
  <c r="BA11" i="3"/>
  <c r="BM19" i="3"/>
  <c r="BM27" i="3"/>
  <c r="BB24" i="3"/>
  <c r="BI29" i="3"/>
  <c r="BB45" i="3"/>
  <c r="Z64" i="2"/>
  <c r="BC16" i="3"/>
  <c r="FA16" i="4" a="1"/>
  <c r="BK7" i="3"/>
  <c r="BC6" i="3"/>
  <c r="BD26" i="3"/>
  <c r="EY14" i="4" a="1"/>
  <c r="FB11" i="4" a="1"/>
  <c r="BF41" i="3"/>
  <c r="BL23" i="3"/>
  <c r="BA34" i="3"/>
  <c r="BK23" i="3"/>
  <c r="BR41" i="3"/>
  <c r="AA57" i="2"/>
  <c r="BL10" i="3"/>
  <c r="Z77" i="2"/>
  <c r="BD17" i="3"/>
  <c r="FB12" i="4" a="1"/>
  <c r="Z16" i="2"/>
  <c r="Y98" i="2"/>
  <c r="Z79" i="2"/>
  <c r="BS31" i="3"/>
  <c r="EX8" i="4" a="1"/>
  <c r="BL14" i="3"/>
  <c r="BE6" i="3"/>
  <c r="BN40" i="3"/>
  <c r="BH16" i="3"/>
  <c r="BT38" i="3"/>
  <c r="BK45" i="3"/>
  <c r="BR31" i="3"/>
  <c r="BA31" i="3"/>
  <c r="AV10" i="3"/>
  <c r="BQ29" i="3"/>
  <c r="BV35" i="3"/>
  <c r="BP39" i="3"/>
  <c r="BT8" i="3"/>
  <c r="BA26" i="3"/>
  <c r="Z75" i="2"/>
  <c r="FA6" i="4" a="1"/>
  <c r="BC21" i="3"/>
  <c r="BU41" i="3"/>
  <c r="BO8" i="3"/>
  <c r="BE11" i="3"/>
  <c r="BM45" i="3"/>
  <c r="BA19" i="3"/>
  <c r="BQ42" i="3"/>
  <c r="BS8" i="3"/>
  <c r="BI11" i="3"/>
  <c r="BJ5" i="3"/>
  <c r="BC11" i="3"/>
  <c r="AA61" i="2"/>
  <c r="FA12" i="4" a="1"/>
  <c r="Z17" i="2"/>
  <c r="BF37" i="3"/>
  <c r="BG36" i="3"/>
  <c r="BE30" i="3"/>
  <c r="AA24" i="2"/>
  <c r="BC14" i="3"/>
  <c r="BB36" i="3"/>
  <c r="BQ45" i="3"/>
  <c r="BS9" i="3"/>
  <c r="BG12" i="3"/>
  <c r="BL8" i="3"/>
  <c r="BD23" i="3"/>
  <c r="Z58" i="2"/>
  <c r="Y70" i="2"/>
  <c r="FE6" i="4" a="1"/>
  <c r="Z95" i="2"/>
  <c r="BI18" i="3"/>
  <c r="BV8" i="3"/>
  <c r="BR20" i="3"/>
  <c r="BI39" i="3"/>
  <c r="BI17" i="3"/>
  <c r="BL25" i="3"/>
  <c r="Y89" i="2"/>
  <c r="AA67" i="2"/>
  <c r="Z35" i="2"/>
  <c r="Z57" i="2"/>
  <c r="FA9" i="4" a="1"/>
  <c r="Z27" i="2"/>
  <c r="FD6" i="4" a="1"/>
  <c r="BS37" i="3"/>
  <c r="BV26" i="3"/>
  <c r="BF23" i="3"/>
  <c r="BK22" i="3"/>
  <c r="BN36" i="3"/>
  <c r="AA17" i="2"/>
  <c r="AA9" i="2"/>
  <c r="Y8" i="2"/>
  <c r="BM13" i="3"/>
  <c r="BT35" i="3"/>
  <c r="BR33" i="3"/>
  <c r="BM6" i="3"/>
  <c r="BG38" i="3"/>
  <c r="BT19" i="3"/>
  <c r="AA14" i="2"/>
  <c r="Z71" i="2"/>
  <c r="BQ15" i="3"/>
  <c r="BG7" i="3"/>
  <c r="BS17" i="3"/>
  <c r="BP21" i="3"/>
  <c r="BV10" i="3"/>
  <c r="BR22" i="3"/>
  <c r="BT27" i="3"/>
  <c r="BE19" i="3"/>
  <c r="BF8" i="3"/>
  <c r="BN16" i="3"/>
  <c r="Y17" i="2"/>
  <c r="Z60" i="2"/>
  <c r="BQ16" i="3"/>
  <c r="BH28" i="3"/>
  <c r="BS6" i="3"/>
  <c r="BH30" i="3"/>
  <c r="Z68" i="2"/>
  <c r="BD24" i="3"/>
  <c r="BE15" i="3"/>
  <c r="BM32" i="3"/>
  <c r="Y105" i="2"/>
  <c r="Z53" i="2"/>
  <c r="BL13" i="3"/>
  <c r="AA50" i="2"/>
  <c r="Z33" i="2"/>
  <c r="BN6" i="3"/>
  <c r="BT28" i="3"/>
  <c r="BD13" i="3"/>
  <c r="BT32" i="3"/>
  <c r="Y44" i="2"/>
  <c r="EY11" i="4" a="1"/>
  <c r="Z29" i="2"/>
  <c r="BV5" i="3"/>
  <c r="Z36" i="2"/>
  <c r="BA25" i="3"/>
  <c r="Y9" i="2"/>
  <c r="FD16" i="4" a="1"/>
  <c r="BL34" i="3"/>
  <c r="Y49" i="2"/>
  <c r="BM10" i="3"/>
  <c r="BD15" i="3"/>
  <c r="Z22" i="2"/>
  <c r="BF33" i="3"/>
  <c r="BG40" i="3"/>
  <c r="BO19" i="3"/>
  <c r="Y100" i="2"/>
  <c r="Y18" i="2"/>
  <c r="FC6" i="4" a="1"/>
  <c r="BA18" i="3"/>
  <c r="BO25" i="3"/>
  <c r="AA76" i="2"/>
  <c r="BG23" i="3"/>
  <c r="BS39" i="3"/>
  <c r="Y35" i="2"/>
  <c r="Z44" i="2"/>
  <c r="Y36" i="2"/>
  <c r="Y55" i="2"/>
  <c r="BL30" i="3"/>
  <c r="BG24" i="3"/>
  <c r="Y92" i="2"/>
  <c r="BK24" i="3"/>
  <c r="FF11" i="4" a="1"/>
  <c r="BD12" i="3"/>
  <c r="BA20" i="3"/>
  <c r="Z81" i="2"/>
  <c r="FF15" i="4" a="1"/>
  <c r="Z105" i="2"/>
  <c r="Z74" i="2"/>
  <c r="BE5" i="3"/>
  <c r="Y74" i="2"/>
  <c r="BA16" i="3"/>
  <c r="BF5" i="3"/>
  <c r="Z32" i="2"/>
  <c r="BT22" i="3"/>
  <c r="Y51" i="2"/>
  <c r="BE8" i="3"/>
  <c r="Z28" i="2"/>
  <c r="BP9" i="3"/>
  <c r="BG45" i="3"/>
  <c r="AA85" i="2"/>
  <c r="BF19" i="3"/>
  <c r="BQ35" i="3"/>
  <c r="BV41" i="3"/>
  <c r="BM5" i="3"/>
  <c r="BI27" i="3"/>
  <c r="BC8" i="3"/>
  <c r="AA71" i="2"/>
  <c r="FE12" i="4" a="1"/>
  <c r="AA27" i="2"/>
  <c r="BV6" i="3"/>
  <c r="BO14" i="3"/>
  <c r="BM15" i="3"/>
  <c r="BL20" i="3"/>
  <c r="Y6" i="2"/>
  <c r="BR7" i="3"/>
  <c r="BS14" i="3"/>
  <c r="BG16" i="3"/>
  <c r="BH22" i="3"/>
  <c r="AA63" i="2"/>
  <c r="BD28" i="3"/>
  <c r="FB14" i="4" a="1"/>
  <c r="BT20" i="3"/>
  <c r="BG19" i="3"/>
  <c r="BJ17" i="3"/>
  <c r="BF34" i="3"/>
  <c r="AA73" i="2"/>
  <c r="BA40" i="3"/>
  <c r="BA30" i="3"/>
  <c r="BR8" i="3"/>
  <c r="BS15" i="3"/>
  <c r="BE17" i="3"/>
  <c r="BF25" i="3"/>
  <c r="Z25" i="2"/>
  <c r="AA97" i="2"/>
  <c r="Y108" i="2"/>
  <c r="EX7" i="4" a="1"/>
  <c r="Z84" i="2"/>
  <c r="BM38" i="3"/>
  <c r="BS36" i="3"/>
  <c r="BR38" i="3"/>
  <c r="BJ21" i="3"/>
  <c r="BG22" i="3"/>
  <c r="BP14" i="3"/>
  <c r="Y28" i="2"/>
  <c r="AA30" i="2"/>
  <c r="Y82" i="2"/>
  <c r="BD27" i="3"/>
  <c r="FA13" i="4" a="1"/>
  <c r="FA7" i="4" a="1"/>
  <c r="FF8" i="4" a="1"/>
  <c r="BT29" i="3"/>
  <c r="BV46" i="3"/>
  <c r="BG5" i="3"/>
  <c r="BK36" i="3"/>
  <c r="BK34" i="3"/>
  <c r="Y47" i="2"/>
  <c r="AA80" i="2"/>
  <c r="Y80" i="2"/>
  <c r="BU8" i="3"/>
  <c r="BP46" i="3"/>
  <c r="BO11" i="3"/>
  <c r="BK27" i="3"/>
  <c r="BL16" i="3"/>
  <c r="BF13" i="3"/>
  <c r="Z109" i="2"/>
  <c r="BC13" i="3"/>
  <c r="BQ33" i="3"/>
  <c r="BG27" i="3"/>
  <c r="BS23" i="3"/>
  <c r="BM39" i="3"/>
  <c r="BS40" i="3"/>
  <c r="BR28" i="3"/>
  <c r="BF31" i="3"/>
  <c r="BM23" i="3"/>
  <c r="BJ22" i="3"/>
  <c r="Y52" i="2"/>
  <c r="Y109" i="2"/>
  <c r="AA86" i="2"/>
  <c r="BQ34" i="3"/>
  <c r="BI10" i="3"/>
  <c r="BS12" i="3"/>
  <c r="Y12" i="2"/>
  <c r="EY13" i="4" a="1"/>
  <c r="AA26" i="2"/>
  <c r="BR29" i="3"/>
  <c r="Y29" i="2"/>
  <c r="Z67" i="2"/>
  <c r="Y86" i="2"/>
  <c r="FC9" i="4" a="1"/>
  <c r="BE14" i="3"/>
  <c r="AA95" i="2"/>
  <c r="BT26" i="3"/>
  <c r="BM28" i="3"/>
  <c r="Y66" i="2"/>
  <c r="AA84" i="2"/>
  <c r="Z92" i="2"/>
  <c r="Y71" i="2"/>
  <c r="BU24" i="3"/>
  <c r="BK32" i="3"/>
  <c r="BM24" i="3"/>
  <c r="BC30" i="3"/>
  <c r="BJ33" i="3"/>
  <c r="BL7" i="3"/>
  <c r="BG17" i="3"/>
  <c r="Y14" i="2"/>
  <c r="BD14" i="3"/>
  <c r="BR45" i="3"/>
  <c r="BA9" i="3"/>
  <c r="FB15" i="4" a="1"/>
  <c r="BK11" i="3"/>
  <c r="Y45" i="2"/>
  <c r="BA38" i="3"/>
  <c r="BC5" i="3"/>
  <c r="BT23" i="3"/>
  <c r="BL46" i="3"/>
  <c r="BI33" i="3"/>
  <c r="Y63" i="2"/>
  <c r="BC35" i="3"/>
  <c r="EY15" i="4" a="1"/>
  <c r="BP38" i="3"/>
  <c r="BK25" i="3"/>
  <c r="BJ11" i="3"/>
  <c r="AA87" i="2"/>
  <c r="BU14" i="3"/>
  <c r="BO17" i="3"/>
  <c r="BN35" i="3"/>
  <c r="AA79" i="2"/>
  <c r="BQ39" i="3"/>
  <c r="BS29" i="3"/>
  <c r="BU66" i="3"/>
  <c r="BK9" i="3"/>
  <c r="BT31" i="3"/>
  <c r="Y33" i="2"/>
  <c r="BQ40" i="3"/>
  <c r="BS18" i="3"/>
  <c r="BD37" i="3"/>
  <c r="BN28" i="3"/>
  <c r="BD29" i="3"/>
  <c r="BC15" i="3"/>
  <c r="FF14" i="4" a="1"/>
  <c r="BU34" i="3"/>
  <c r="FD5" i="4" a="1"/>
  <c r="Y65" i="2"/>
  <c r="AA52" i="2"/>
  <c r="BJ9" i="3"/>
  <c r="AA12" i="2"/>
  <c r="BB27" i="3"/>
  <c r="FB13" i="4" a="1"/>
  <c r="BF11" i="3"/>
  <c r="BT14" i="3"/>
  <c r="BM9" i="3"/>
  <c r="AA49" i="2"/>
  <c r="BE28" i="3"/>
  <c r="FE11" i="4" a="1"/>
  <c r="Y88" i="2"/>
  <c r="BG28" i="3"/>
  <c r="BR5" i="3"/>
  <c r="Z50" i="2"/>
  <c r="AA82" i="2"/>
  <c r="Z78" i="2"/>
  <c r="FC13" i="4" a="1"/>
  <c r="BD31" i="3"/>
  <c r="BA28" i="3"/>
  <c r="BP15" i="3"/>
  <c r="BA7" i="3"/>
  <c r="Y59" i="2"/>
  <c r="Z87" i="2"/>
  <c r="Y107" i="2"/>
  <c r="AA34" i="2"/>
  <c r="BS16" i="3"/>
  <c r="BT16" i="3"/>
  <c r="BV15" i="3"/>
  <c r="BO12" i="3"/>
  <c r="BN38" i="3"/>
  <c r="BK14" i="3"/>
  <c r="BA37" i="3"/>
  <c r="Y27" i="2"/>
  <c r="BK33" i="3"/>
  <c r="BQ20" i="3"/>
  <c r="Z65" i="2"/>
  <c r="BP41" i="3"/>
  <c r="BV21" i="3"/>
  <c r="BO18" i="3"/>
  <c r="BK21" i="3"/>
  <c r="BB5" i="3"/>
  <c r="Y76" i="2"/>
  <c r="BC32" i="3"/>
  <c r="BB7" i="3"/>
  <c r="BD21" i="3"/>
  <c r="AA60" i="2"/>
  <c r="BN20" i="3"/>
  <c r="BH46" i="3"/>
  <c r="BJ35" i="3"/>
  <c r="BH9" i="3"/>
  <c r="BF7" i="3"/>
  <c r="BC40" i="3"/>
  <c r="AA98" i="2"/>
  <c r="BL15" i="3"/>
  <c r="BR15" i="3"/>
  <c r="BI23" i="3"/>
  <c r="BU21" i="3"/>
  <c r="BF36" i="3"/>
  <c r="BA24" i="3"/>
  <c r="BE12" i="3"/>
  <c r="BH35" i="3"/>
  <c r="BB34" i="3"/>
  <c r="BF28" i="3"/>
  <c r="Z46" i="2"/>
  <c r="Z70" i="2"/>
  <c r="Z6" i="2"/>
  <c r="Z30" i="2"/>
  <c r="Y30" i="2"/>
  <c r="BH12" i="3"/>
  <c r="BH13" i="3"/>
  <c r="BB10" i="3"/>
  <c r="BG15" i="3"/>
  <c r="Y61" i="2"/>
  <c r="BE38" i="3"/>
  <c r="Z56" i="2"/>
  <c r="Z7" i="2"/>
  <c r="BO9" i="3"/>
  <c r="BA22" i="3"/>
  <c r="BH38" i="3"/>
  <c r="BE32" i="3"/>
  <c r="AA8" i="2"/>
  <c r="BD40" i="3"/>
  <c r="BD5" i="3"/>
  <c r="BF21" i="3"/>
  <c r="BE24" i="3"/>
  <c r="BN9" i="3"/>
  <c r="BA15" i="3"/>
  <c r="Y42" i="2"/>
  <c r="AA51" i="2"/>
  <c r="BN41" i="3"/>
  <c r="BF18" i="3"/>
  <c r="BJ27" i="3"/>
  <c r="BC28" i="3"/>
  <c r="BU20" i="3"/>
  <c r="BO23" i="3"/>
  <c r="BL21" i="3"/>
  <c r="AA48" i="2"/>
  <c r="BQ56" i="3"/>
  <c r="BP42" i="3"/>
  <c r="BM30" i="3"/>
  <c r="BJ15" i="3"/>
  <c r="AA35" i="2"/>
  <c r="BS24" i="3"/>
  <c r="BF17" i="3"/>
  <c r="BR17" i="3"/>
  <c r="Z12" i="2"/>
  <c r="BA23" i="3"/>
  <c r="BP31" i="3"/>
  <c r="BO7" i="3"/>
  <c r="BS42" i="3"/>
  <c r="Y81" i="2"/>
  <c r="AA46" i="2"/>
  <c r="EZ14" i="4" a="1"/>
  <c r="BA46" i="3"/>
  <c r="BG13" i="3"/>
  <c r="BB33" i="3"/>
  <c r="AA47" i="2"/>
  <c r="FC14" i="4" a="1"/>
  <c r="AA7" i="2"/>
  <c r="BC38" i="3"/>
  <c r="BT45" i="3"/>
  <c r="BI12" i="3"/>
  <c r="FA14" i="4" a="1"/>
  <c r="AA100" i="2"/>
  <c r="BO13" i="3"/>
  <c r="BC23" i="3"/>
  <c r="BG11" i="3"/>
  <c r="BD10" i="3"/>
  <c r="Y25" i="2"/>
  <c r="BM26" i="3"/>
  <c r="BU42" i="3"/>
  <c r="AA78" i="2"/>
  <c r="FF12" i="4" a="1"/>
  <c r="BP40" i="3"/>
  <c r="BH21" i="3"/>
  <c r="BR37" i="3"/>
  <c r="BO22" i="3"/>
  <c r="BS28" i="3"/>
  <c r="FC16" i="4" a="1"/>
  <c r="BI13" i="3"/>
  <c r="BV22" i="3"/>
  <c r="FA8" i="4" a="1"/>
  <c r="BD35" i="3"/>
  <c r="BI41" i="3"/>
  <c r="BN31" i="3"/>
  <c r="BJ34" i="3"/>
  <c r="EZ6" i="4" a="1"/>
  <c r="BI36" i="3"/>
  <c r="AA111" i="2"/>
  <c r="BG34" i="3"/>
  <c r="AA54" i="2"/>
  <c r="FF13" i="4" a="1"/>
  <c r="BP27" i="3"/>
  <c r="Z48" i="2"/>
  <c r="BM20" i="3"/>
  <c r="BF42" i="3"/>
  <c r="Y79" i="2"/>
  <c r="Z42" i="2"/>
  <c r="FC12" i="4" a="1"/>
  <c r="BN39" i="3"/>
  <c r="BL11" i="3"/>
  <c r="BH26" i="3"/>
  <c r="BA32" i="3"/>
  <c r="AA58" i="2"/>
  <c r="BA36" i="3"/>
  <c r="BI24" i="3"/>
  <c r="BT12" i="3"/>
  <c r="BK5" i="3"/>
  <c r="BC7" i="3"/>
  <c r="BU26" i="3"/>
  <c r="BO29" i="3"/>
  <c r="BH17" i="3"/>
  <c r="BC37" i="3"/>
  <c r="BR10" i="3"/>
  <c r="BH6" i="3"/>
  <c r="BJ7" i="3"/>
  <c r="BH37" i="3"/>
  <c r="BH32" i="3"/>
  <c r="AA77" i="2"/>
  <c r="BR11" i="3"/>
  <c r="BS30" i="3"/>
  <c r="BA6" i="3"/>
  <c r="BI42" i="3"/>
  <c r="BD8" i="3"/>
  <c r="BC39" i="3"/>
  <c r="BF46" i="3"/>
  <c r="BJ42" i="3"/>
  <c r="BU40" i="3"/>
  <c r="Y5" i="2"/>
  <c r="BE37" i="3"/>
  <c r="BI45" i="3"/>
  <c r="FD7" i="4" a="1"/>
  <c r="BB23" i="3"/>
  <c r="Y58" i="2"/>
  <c r="BK46" i="3"/>
  <c r="BI5" i="3"/>
  <c r="BN21" i="3"/>
  <c r="BD20" i="3"/>
  <c r="BB16" i="3"/>
  <c r="FC7" i="4" a="1"/>
  <c r="EY12" i="4" a="1"/>
  <c r="Z82" i="2"/>
  <c r="BH14" i="3"/>
  <c r="BC19" i="3"/>
  <c r="BM11" i="3"/>
  <c r="BP16" i="3"/>
  <c r="Y13" i="2"/>
  <c r="BF38" i="3"/>
  <c r="BE35" i="3"/>
  <c r="C4" i="2"/>
  <c r="AA21" i="2"/>
  <c r="BQ8" i="3"/>
  <c r="Y23" i="2"/>
  <c r="BG46" i="3"/>
  <c r="BF26" i="3"/>
  <c r="BL28" i="3"/>
  <c r="BJ24" i="3"/>
  <c r="BR34" i="3"/>
  <c r="BK40" i="3"/>
  <c r="AA81" i="2"/>
  <c r="Y31" i="2"/>
  <c r="BG31" i="3"/>
  <c r="BI32" i="3"/>
  <c r="EZ15" i="4" a="1"/>
  <c r="BC46" i="3"/>
  <c r="FF6" i="4" a="1"/>
  <c r="BL5" i="3"/>
  <c r="BJ29" i="3"/>
  <c r="BM31" i="3"/>
  <c r="BP28" i="3"/>
  <c r="W6" i="2"/>
  <c r="EZ11" i="4" a="1"/>
  <c r="FE8" i="4" a="1"/>
  <c r="BN42" i="3"/>
  <c r="BM25" i="3"/>
  <c r="BG10" i="3"/>
  <c r="Z11" i="2"/>
  <c r="BL38" i="3"/>
  <c r="BD16" i="3"/>
  <c r="BU7" i="3"/>
  <c r="BO10" i="3"/>
  <c r="AA29" i="2"/>
  <c r="BQ14" i="3"/>
  <c r="BG35" i="3"/>
  <c r="AA106" i="2"/>
  <c r="BE26" i="3"/>
  <c r="BI6" i="3"/>
  <c r="EX14" i="4" a="1"/>
  <c r="BU9" i="3"/>
  <c r="AA33" i="2"/>
  <c r="BB28" i="3"/>
  <c r="BH23" i="3"/>
  <c r="FD9" i="4" a="1"/>
  <c r="BL42" i="3"/>
  <c r="BL24" i="3"/>
  <c r="BL27" i="3"/>
  <c r="BC33" i="3"/>
  <c r="BO16" i="3"/>
  <c r="Z13" i="2"/>
  <c r="Y91" i="2"/>
  <c r="BH15" i="3"/>
  <c r="BL19" i="3"/>
  <c r="BG29" i="3"/>
  <c r="BU15" i="3"/>
  <c r="BJ39" i="3"/>
  <c r="Z51" i="2"/>
  <c r="BV16" i="3"/>
  <c r="BE42" i="3"/>
  <c r="Z83" i="2"/>
  <c r="FB6" i="4" a="1"/>
  <c r="Z96" i="2"/>
  <c r="BV11" i="3"/>
  <c r="BI26" i="3"/>
  <c r="Z31" i="2"/>
  <c r="BB42" i="3"/>
  <c r="Z98" i="2"/>
  <c r="Y10" i="2"/>
  <c r="BN8" i="3"/>
  <c r="BQ38" i="3"/>
  <c r="BC27" i="3"/>
  <c r="BI38" i="3"/>
  <c r="BV39" i="3"/>
  <c r="BO24" i="3"/>
  <c r="Z73" i="2"/>
  <c r="BF16" i="3"/>
  <c r="FC11" i="4" a="1"/>
  <c r="Y93" i="2"/>
  <c r="FE15" i="4" a="1"/>
  <c r="BR35" i="3"/>
  <c r="FD13" i="4" a="1"/>
  <c r="BO40" i="3"/>
  <c r="AA55" i="2"/>
  <c r="BD19" i="3"/>
  <c r="BE33" i="3"/>
  <c r="Z90" i="2"/>
  <c r="BN15" i="3"/>
  <c r="Z15" i="2"/>
  <c r="FD15" i="4" a="1"/>
  <c r="BE7" i="3"/>
  <c r="Y78" i="2"/>
  <c r="BG41" i="3"/>
  <c r="BJ12" i="3"/>
  <c r="BD6" i="3"/>
  <c r="EX11" i="4" a="1"/>
  <c r="EX5" i="4" a="1"/>
  <c r="BI22" i="3"/>
  <c r="BP45" i="3"/>
  <c r="BF45" i="3"/>
  <c r="BA41" i="3"/>
  <c r="FC8" i="4" a="1"/>
  <c r="BC36" i="3"/>
  <c r="BF10" i="3"/>
  <c r="BG8" i="3"/>
  <c r="BG21" i="3"/>
  <c r="BC29" i="3"/>
  <c r="BU46" i="3"/>
  <c r="BO35" i="3"/>
  <c r="BJ36" i="3"/>
  <c r="BB37" i="3"/>
  <c r="BO39" i="3"/>
  <c r="BF29" i="3"/>
  <c r="BK29" i="3"/>
  <c r="BT24" i="3"/>
  <c r="BG9" i="3"/>
  <c r="BB19" i="3"/>
  <c r="BS41" i="3"/>
  <c r="BS38" i="3"/>
  <c r="Y110" i="2"/>
  <c r="Y77" i="2"/>
  <c r="Z93" i="2"/>
  <c r="Z86" i="2"/>
  <c r="BT39" i="3"/>
  <c r="BT37" i="3"/>
  <c r="BR23" i="3"/>
  <c r="BD9" i="3"/>
  <c r="FF9" i="4" a="1"/>
  <c r="BF22" i="3"/>
  <c r="FD12" i="4" a="1"/>
  <c r="Z43" i="2"/>
  <c r="BC26" i="3"/>
  <c r="BB21" i="3"/>
  <c r="BJ23" i="3"/>
  <c r="BH41" i="3"/>
  <c r="BJ14" i="3"/>
  <c r="AA43" i="2"/>
  <c r="BB41" i="3"/>
  <c r="BT10" i="3"/>
  <c r="AA16" i="2"/>
  <c r="AA42" i="2"/>
  <c r="BH40" i="3"/>
  <c r="BU30" i="3"/>
  <c r="AA53" i="2"/>
  <c r="Y85" i="2"/>
  <c r="FE7" i="4" a="1"/>
  <c r="BR46" i="3"/>
  <c r="EZ9" i="4" a="1"/>
  <c r="BS10" i="3"/>
  <c r="BF15" i="3"/>
  <c r="Y64" i="2"/>
  <c r="AA89" i="2"/>
  <c r="BE46" i="3"/>
  <c r="BN46" i="3"/>
  <c r="BN33" i="3"/>
  <c r="BB31" i="3"/>
  <c r="EX6" i="4" a="1"/>
  <c r="AA90" i="2"/>
  <c r="BI31" i="3"/>
  <c r="BD11" i="3"/>
  <c r="BI28" i="3"/>
  <c r="BB14" i="3"/>
  <c r="BU36" i="3"/>
  <c r="BT42" i="3"/>
  <c r="BC31" i="3"/>
  <c r="BM37" i="3"/>
  <c r="AA19" i="2"/>
  <c r="BH20" i="3"/>
  <c r="BI19" i="3"/>
  <c r="FA15" i="4" a="1"/>
  <c r="FF7" i="4" a="1"/>
  <c r="Y96" i="2"/>
  <c r="Y20" i="2"/>
  <c r="Y68" i="2"/>
  <c r="Z61" i="2"/>
  <c r="AA70" i="2"/>
  <c r="BE31" i="3"/>
  <c r="BN19" i="3"/>
  <c r="BA14" i="3"/>
  <c r="BU13" i="3"/>
  <c r="BB8" i="3"/>
  <c r="BS22" i="3"/>
  <c r="EX13" i="4" a="1"/>
  <c r="BE22" i="3"/>
  <c r="BD46" i="3"/>
  <c r="BU16" i="3"/>
  <c r="BF35" i="3"/>
  <c r="EX16" i="4" a="1"/>
  <c r="AA108" i="2"/>
  <c r="Y53" i="2"/>
  <c r="BN45" i="3"/>
  <c r="BC9" i="3"/>
  <c r="BU31" i="3"/>
  <c r="BB30" i="3"/>
  <c r="Z106" i="2"/>
  <c r="Y56" i="2"/>
  <c r="FB9" i="4" a="1"/>
  <c r="BH96" i="3"/>
  <c r="BF84" i="3"/>
  <c r="CL146" i="1" s="1"/>
  <c r="BU48" i="3"/>
  <c r="BH80" i="3"/>
  <c r="BF82" i="3"/>
  <c r="CL145" i="1" s="1"/>
  <c r="BO89" i="3"/>
  <c r="BR72" i="3"/>
  <c r="BN89" i="3"/>
  <c r="BG84" i="3"/>
  <c r="BJ75" i="3"/>
  <c r="GJ12" i="4" a="1"/>
  <c r="FV11" i="4" a="1"/>
  <c r="FN11" i="4" a="1"/>
  <c r="FT13" i="4" a="1"/>
  <c r="GJ15" i="4" a="1"/>
  <c r="BR61" i="3"/>
  <c r="BB74" i="3"/>
  <c r="BI97" i="3"/>
  <c r="BL82" i="3"/>
  <c r="BQ82" i="3"/>
  <c r="BS73" i="3"/>
  <c r="BV79" i="3"/>
  <c r="BN70" i="3"/>
  <c r="BI63" i="3"/>
  <c r="BK76" i="3"/>
  <c r="HG6" i="4" a="1"/>
  <c r="GP7" i="4" a="1"/>
  <c r="BG79" i="3"/>
  <c r="BC47" i="3"/>
  <c r="BB92" i="3"/>
  <c r="BI83" i="3"/>
  <c r="BL66" i="3"/>
  <c r="BQ74" i="3"/>
  <c r="BO87" i="3"/>
  <c r="BR90" i="3"/>
  <c r="BN58" i="3"/>
  <c r="BH59" i="3"/>
  <c r="BH66" i="3"/>
  <c r="BF60" i="3"/>
  <c r="CL122" i="1" s="1"/>
  <c r="BU61" i="3"/>
  <c r="BH48" i="3"/>
  <c r="BQ93" i="3"/>
  <c r="BO57" i="3"/>
  <c r="BR75" i="3"/>
  <c r="BN59" i="3"/>
  <c r="BH93" i="3"/>
  <c r="BL63" i="3"/>
  <c r="BK74" i="3"/>
  <c r="BU68" i="3"/>
  <c r="BH56" i="3"/>
  <c r="BQ91" i="3"/>
  <c r="BO58" i="3"/>
  <c r="BR47" i="3"/>
  <c r="BN80" i="3"/>
  <c r="BH91" i="3"/>
  <c r="BJ83" i="3"/>
  <c r="FH14" i="4" a="1"/>
  <c r="BA93" i="3"/>
  <c r="BG81" i="3"/>
  <c r="BE90" i="3"/>
  <c r="BD61" i="3"/>
  <c r="BI82" i="3"/>
  <c r="BT69" i="3"/>
  <c r="BU80" i="3"/>
  <c r="BT77" i="3"/>
  <c r="BO60" i="3"/>
  <c r="BJ60" i="3"/>
  <c r="BL88" i="3"/>
  <c r="Z114" i="2"/>
  <c r="BP62" i="3"/>
  <c r="BL83" i="3"/>
  <c r="BQ89" i="3"/>
  <c r="BO65" i="3"/>
  <c r="BR85" i="3"/>
  <c r="BN54" i="3"/>
  <c r="BL54" i="3"/>
  <c r="BK73" i="3"/>
  <c r="BA91" i="3"/>
  <c r="BG80" i="3"/>
  <c r="BM81" i="3"/>
  <c r="BD73" i="3"/>
  <c r="BI62" i="3"/>
  <c r="BT50" i="3"/>
  <c r="BU86" i="3"/>
  <c r="BC49" i="3"/>
  <c r="BB55" i="3"/>
  <c r="BI69" i="3"/>
  <c r="BL64" i="3"/>
  <c r="BQ72" i="3"/>
  <c r="BO79" i="3"/>
  <c r="BR69" i="3"/>
  <c r="BN90" i="3"/>
  <c r="BE47" i="3"/>
  <c r="BK88" i="3"/>
  <c r="FO5" i="4" a="1"/>
  <c r="FO15" i="4" a="1"/>
  <c r="FJ15" i="4" a="1"/>
  <c r="GT7" i="4" a="1"/>
  <c r="BG63" i="3"/>
  <c r="BN84" i="3"/>
  <c r="BB78" i="3"/>
  <c r="BB57" i="3"/>
  <c r="BL79" i="3"/>
  <c r="BU76" i="3"/>
  <c r="BS77" i="3"/>
  <c r="BV80" i="3"/>
  <c r="BP69" i="3"/>
  <c r="BM69" i="3"/>
  <c r="BK97" i="3"/>
  <c r="GJ9" i="4" a="1"/>
  <c r="FR6" i="4" a="1"/>
  <c r="BK64" i="3"/>
  <c r="BM91" i="3"/>
  <c r="BB85" i="3"/>
  <c r="BI84" i="3"/>
  <c r="BL92" i="3"/>
  <c r="BQ83" i="3"/>
  <c r="BS88" i="3"/>
  <c r="BV54" i="3"/>
  <c r="BN72" i="3"/>
  <c r="BG66" i="3"/>
  <c r="BC72" i="3"/>
  <c r="BB95" i="3"/>
  <c r="BI89" i="3"/>
  <c r="BL68" i="3"/>
  <c r="BQ97" i="3"/>
  <c r="BO90" i="3"/>
  <c r="BR94" i="3"/>
  <c r="BN60" i="3"/>
  <c r="BG59" i="3"/>
  <c r="BC94" i="3"/>
  <c r="BB49" i="3"/>
  <c r="BI93" i="3"/>
  <c r="BL57" i="3"/>
  <c r="BQ94" i="3"/>
  <c r="BO92" i="3"/>
  <c r="BR97" i="3"/>
  <c r="BN62" i="3"/>
  <c r="BE58" i="3"/>
  <c r="BK67" i="3"/>
  <c r="GH5" i="4" a="1"/>
  <c r="BQ77" i="3"/>
  <c r="BM72" i="3"/>
  <c r="BP93" i="3"/>
  <c r="BH65" i="3"/>
  <c r="BI59" i="3"/>
  <c r="BN88" i="3"/>
  <c r="BU94" i="3"/>
  <c r="BT82" i="3"/>
  <c r="BS70" i="3"/>
  <c r="BH62" i="3"/>
  <c r="BR56" i="3"/>
  <c r="BB69" i="3"/>
  <c r="BI74" i="3"/>
  <c r="BL80" i="3"/>
  <c r="BQ81" i="3"/>
  <c r="BS85" i="3"/>
  <c r="BV50" i="3"/>
  <c r="BN68" i="3"/>
  <c r="BE81" i="3"/>
  <c r="BK62" i="3"/>
  <c r="GQ6" i="4" a="1"/>
  <c r="FO7" i="4" a="1"/>
  <c r="FR7" i="4" a="1"/>
  <c r="HG11" i="4" a="1"/>
  <c r="BA48" i="3"/>
  <c r="BG78" i="3"/>
  <c r="BG77" i="3"/>
  <c r="BA74" i="3"/>
  <c r="BE80" i="3"/>
  <c r="BR54" i="3"/>
  <c r="BS57" i="3"/>
  <c r="BV63" i="3"/>
  <c r="BF69" i="3"/>
  <c r="BF74" i="3"/>
  <c r="CL137" i="1" s="1"/>
  <c r="FM5" i="4" a="1"/>
  <c r="FX9" i="4" a="1"/>
  <c r="FP11" i="4" a="1"/>
  <c r="BL81" i="3"/>
  <c r="BP70" i="3"/>
  <c r="BB89" i="3"/>
  <c r="BB75" i="3"/>
  <c r="BL69" i="3"/>
  <c r="BU87" i="3"/>
  <c r="BS97" i="3"/>
  <c r="BV76" i="3"/>
  <c r="BP95" i="3"/>
  <c r="BK78" i="3"/>
  <c r="BM64" i="3"/>
  <c r="BB63" i="3"/>
  <c r="BI96" i="3"/>
  <c r="BL94" i="3"/>
  <c r="BQ69" i="3"/>
  <c r="BS68" i="3"/>
  <c r="BV57" i="3"/>
  <c r="BN63" i="3"/>
  <c r="BK70" i="3"/>
  <c r="BM50" i="3"/>
  <c r="BB73" i="3"/>
  <c r="BI48" i="3"/>
  <c r="BL67" i="3"/>
  <c r="BQ75" i="3"/>
  <c r="BS90" i="3"/>
  <c r="BV95" i="3"/>
  <c r="BN69" i="3"/>
  <c r="BI56" i="3"/>
  <c r="BK57" i="3"/>
  <c r="FS8" i="4" a="1"/>
  <c r="BH87" i="3"/>
  <c r="BM67" i="3"/>
  <c r="BD83" i="3"/>
  <c r="BH85" i="3"/>
  <c r="BF61" i="3"/>
  <c r="BO71" i="3"/>
  <c r="BR48" i="3"/>
  <c r="BT97" i="3"/>
  <c r="BP63" i="3"/>
  <c r="BP61" i="3"/>
  <c r="BM82" i="3"/>
  <c r="BB68" i="3"/>
  <c r="BB76" i="3"/>
  <c r="BL48" i="3"/>
  <c r="BQ87" i="3"/>
  <c r="BS59" i="3"/>
  <c r="BV67" i="3"/>
  <c r="BN81" i="3"/>
  <c r="BI79" i="3"/>
  <c r="BK94" i="3"/>
  <c r="BH47" i="3"/>
  <c r="BM62" i="3"/>
  <c r="BD89" i="3"/>
  <c r="BH94" i="3"/>
  <c r="BF78" i="3"/>
  <c r="CL142" i="1" s="1"/>
  <c r="CL148" i="1" s="1"/>
  <c r="BO76" i="3"/>
  <c r="BR78" i="3"/>
  <c r="BN57" i="3"/>
  <c r="BG82" i="3"/>
  <c r="BJ65" i="3"/>
  <c r="FZ6" i="4" a="1"/>
  <c r="GN8" i="4" a="1"/>
  <c r="FX8" i="4" a="1"/>
  <c r="HC12" i="4" a="1"/>
  <c r="FP15" i="4" a="1"/>
  <c r="GW11" i="4" a="1"/>
  <c r="BL90" i="3"/>
  <c r="BB84" i="3"/>
  <c r="BG86" i="3"/>
  <c r="BN49" i="3"/>
  <c r="BB87" i="3"/>
  <c r="BB82" i="3"/>
  <c r="BL87" i="3"/>
  <c r="BU75" i="3"/>
  <c r="BS47" i="3"/>
  <c r="BV84" i="3"/>
  <c r="BP54" i="3"/>
  <c r="BI50" i="3"/>
  <c r="BK65" i="3"/>
  <c r="FL9" i="4" a="1"/>
  <c r="FL6" i="4" a="1"/>
  <c r="GN5" i="4" a="1"/>
  <c r="HA12" i="4" a="1"/>
  <c r="BA50" i="3"/>
  <c r="BG65" i="3"/>
  <c r="BH68" i="3"/>
  <c r="BC60" i="3"/>
  <c r="BE88" i="3"/>
  <c r="BV60" i="3"/>
  <c r="BU71" i="3"/>
  <c r="BT59" i="3"/>
  <c r="BO54" i="3"/>
  <c r="BJ82" i="3"/>
  <c r="HF7" i="4" a="1"/>
  <c r="GS9" i="4" a="1"/>
  <c r="GV14" i="4" a="1"/>
  <c r="BA49" i="3"/>
  <c r="BG88" i="3"/>
  <c r="BG93" i="3"/>
  <c r="BA79" i="3"/>
  <c r="BE93" i="3"/>
  <c r="BR57" i="3"/>
  <c r="BS56" i="3"/>
  <c r="BV55" i="3"/>
  <c r="BF55" i="3"/>
  <c r="BL84" i="3"/>
  <c r="BP71" i="3"/>
  <c r="BB67" i="3"/>
  <c r="BB54" i="3"/>
  <c r="BL61" i="3"/>
  <c r="BR62" i="3"/>
  <c r="BS96" i="3"/>
  <c r="BV58" i="3"/>
  <c r="BP90" i="3"/>
  <c r="BF87" i="3"/>
  <c r="CL152" i="1" s="1"/>
  <c r="BP66" i="3"/>
  <c r="BB72" i="3"/>
  <c r="BB86" i="3"/>
  <c r="BE66" i="3"/>
  <c r="BR70" i="3"/>
  <c r="BS93" i="3"/>
  <c r="BV61" i="3"/>
  <c r="BP75" i="3"/>
  <c r="BM54" i="3"/>
  <c r="BK63" i="3"/>
  <c r="FT8" i="4" a="1"/>
  <c r="BL72" i="3"/>
  <c r="BK72" i="3"/>
  <c r="BG55" i="3"/>
  <c r="BA78" i="3"/>
  <c r="BR63" i="3"/>
  <c r="BV96" i="3"/>
  <c r="BF68" i="3"/>
  <c r="CL134" i="1" s="1"/>
  <c r="GD7" i="4" a="1"/>
  <c r="FT11" i="4" a="1"/>
  <c r="BA55" i="3"/>
  <c r="BF88" i="3"/>
  <c r="CL127" i="1" s="1"/>
  <c r="BI57" i="3"/>
  <c r="BU90" i="3"/>
  <c r="BO96" i="3"/>
  <c r="FI6" i="4" a="1"/>
  <c r="FZ7" i="4" a="1"/>
  <c r="BG85" i="3"/>
  <c r="BD92" i="3"/>
  <c r="BV83" i="3"/>
  <c r="BT67" i="3"/>
  <c r="BA68" i="3"/>
  <c r="BG97" i="3"/>
  <c r="BE60" i="3"/>
  <c r="BS50" i="3"/>
  <c r="BF48" i="3"/>
  <c r="BG87" i="3"/>
  <c r="BA83" i="3"/>
  <c r="BV71" i="3"/>
  <c r="BV69" i="3"/>
  <c r="BF62" i="3"/>
  <c r="CL124" i="1" s="1"/>
  <c r="CL128" i="1" s="1"/>
  <c r="GO12" i="4" a="1"/>
  <c r="BB97" i="3"/>
  <c r="BA97" i="3"/>
  <c r="BQ78" i="3"/>
  <c r="BR95" i="3"/>
  <c r="BP74" i="3"/>
  <c r="BJ90" i="3"/>
  <c r="BG75" i="3"/>
  <c r="BD76" i="3"/>
  <c r="BE63" i="3"/>
  <c r="BT61" i="3"/>
  <c r="BR49" i="3"/>
  <c r="BP79" i="3"/>
  <c r="BJ66" i="3"/>
  <c r="BA72" i="3"/>
  <c r="Z112" i="2"/>
  <c r="BB81" i="3"/>
  <c r="BE87" i="3"/>
  <c r="BO67" i="3"/>
  <c r="BV93" i="3"/>
  <c r="BP82" i="3"/>
  <c r="BF72" i="3"/>
  <c r="CL135" i="1" s="1"/>
  <c r="GS7" i="4" a="1"/>
  <c r="GC8" i="4" a="1"/>
  <c r="GZ12" i="4" a="1"/>
  <c r="GL11" i="4" a="1"/>
  <c r="GR16" i="4" a="1"/>
  <c r="BA90" i="3"/>
  <c r="BG92" i="3"/>
  <c r="BP47" i="3"/>
  <c r="BH73" i="3"/>
  <c r="BI76" i="3"/>
  <c r="BN65" i="3"/>
  <c r="BA85" i="3"/>
  <c r="BG54" i="3"/>
  <c r="BM96" i="3"/>
  <c r="BQ48" i="3"/>
  <c r="BI58" i="3"/>
  <c r="BT93" i="3"/>
  <c r="BP60" i="3"/>
  <c r="BU63" i="3"/>
  <c r="BB71" i="3"/>
  <c r="BI92" i="3"/>
  <c r="BL96" i="3"/>
  <c r="BQ71" i="3"/>
  <c r="BS83" i="3"/>
  <c r="BR67" i="3"/>
  <c r="BN56" i="3"/>
  <c r="BE73" i="3"/>
  <c r="BK60" i="3"/>
  <c r="GW5" i="4" a="1"/>
  <c r="BA69" i="3"/>
  <c r="BG89" i="3"/>
  <c r="BH54" i="3"/>
  <c r="BC85" i="3"/>
  <c r="BE48" i="3"/>
  <c r="BV65" i="3"/>
  <c r="BU60" i="3"/>
  <c r="BT63" i="3"/>
  <c r="BO48" i="3"/>
  <c r="BJ49" i="3"/>
  <c r="FJ7" i="4" a="1"/>
  <c r="GO7" i="4" a="1"/>
  <c r="HB13" i="4" a="1"/>
  <c r="GK14" i="4" a="1"/>
  <c r="GJ14" i="4" a="1"/>
  <c r="BJ47" i="3"/>
  <c r="FX7" i="4" a="1"/>
  <c r="FL8" i="4" a="1"/>
  <c r="GB14" i="4" a="1"/>
  <c r="FM15" i="4" a="1"/>
  <c r="BC64" i="3"/>
  <c r="HH8" i="4" a="1"/>
  <c r="BN64" i="3"/>
  <c r="FT7" i="4" a="1"/>
  <c r="FM6" i="4" a="1"/>
  <c r="FW13" i="4" a="1"/>
  <c r="BV86" i="3"/>
  <c r="HH7" i="4" a="1"/>
  <c r="GM11" i="4" a="1"/>
  <c r="HF12" i="4" a="1"/>
  <c r="GB16" i="4" a="1"/>
  <c r="FG16" i="4" a="1"/>
  <c r="BD90" i="3"/>
  <c r="GH15" i="4" a="1"/>
  <c r="Y114" i="2"/>
  <c r="BK91" i="3"/>
  <c r="GF5" i="4" a="1"/>
  <c r="FR8" i="4" a="1"/>
  <c r="GC15" i="4" a="1"/>
  <c r="FW14" i="4" a="1"/>
  <c r="BD60" i="3"/>
  <c r="GD5" i="4" a="1"/>
  <c r="BU65" i="3"/>
  <c r="FN6" i="4" a="1"/>
  <c r="FW9" i="4" a="1"/>
  <c r="HD11" i="4" a="1"/>
  <c r="HH15" i="4" a="1"/>
  <c r="GO15" i="4" a="1"/>
  <c r="BD96" i="3"/>
  <c r="GR9" i="4" a="1"/>
  <c r="BD71" i="3"/>
  <c r="BL85" i="3"/>
  <c r="BR76" i="3"/>
  <c r="FU7" i="4" a="1"/>
  <c r="HC6" i="4" a="1"/>
  <c r="FO12" i="4" a="1"/>
  <c r="FJ16" i="4" a="1"/>
  <c r="GS15" i="4" a="1"/>
  <c r="BD79" i="3"/>
  <c r="BK59" i="3"/>
  <c r="FS13" i="4" a="1"/>
  <c r="FS7" i="4" a="1"/>
  <c r="HA13" i="4" a="1"/>
  <c r="GL12" i="4" a="1"/>
  <c r="BC76" i="3"/>
  <c r="BJ94" i="3"/>
  <c r="BF70" i="3"/>
  <c r="CL133" i="1" s="1"/>
  <c r="HA6" i="4" a="1"/>
  <c r="GY5" i="4" a="1"/>
  <c r="FL14" i="4" a="1"/>
  <c r="HB14" i="4" a="1"/>
  <c r="BC75" i="3"/>
  <c r="BD84" i="3"/>
  <c r="FS12" i="4" a="1"/>
  <c r="BO64" i="3"/>
  <c r="HA7" i="4" a="1"/>
  <c r="GR6" i="4" a="1"/>
  <c r="GY11" i="4" a="1"/>
  <c r="GD14" i="4" a="1"/>
  <c r="GU16" i="4" a="1"/>
  <c r="GK16" i="4" a="1"/>
  <c r="BN82" i="3"/>
  <c r="GF14" i="4" a="1"/>
  <c r="FZ5" i="4" a="1"/>
  <c r="GZ13" i="4" a="1"/>
  <c r="GV16" i="4" a="1"/>
  <c r="FY16" i="4" a="1"/>
  <c r="Z113" i="2"/>
  <c r="BC55" i="3"/>
  <c r="FI14" i="4" a="1"/>
  <c r="BV66" i="3"/>
  <c r="FZ11" i="4" a="1"/>
  <c r="HD8" i="4" a="1"/>
  <c r="BT64" i="3"/>
  <c r="FZ15" i="4" a="1"/>
  <c r="GB13" i="4" a="1"/>
  <c r="FO16" i="4" a="1"/>
  <c r="BT85" i="3"/>
  <c r="BK93" i="3"/>
  <c r="FG11" i="4" a="1"/>
  <c r="GN15" i="4" a="1"/>
  <c r="HC14" i="4" a="1"/>
  <c r="BK58" i="3"/>
  <c r="BJ50" i="3"/>
  <c r="GM6" i="4" a="1"/>
  <c r="GE8" i="4" a="1"/>
  <c r="FH12" i="4" a="1"/>
  <c r="GY14" i="4" a="1"/>
  <c r="GW16" i="4" a="1"/>
  <c r="FN7" i="4" a="1"/>
  <c r="BG83" i="3"/>
  <c r="BC57" i="3"/>
  <c r="BV81" i="3"/>
  <c r="BT58" i="3"/>
  <c r="BJ74" i="3"/>
  <c r="GX8" i="4" a="1"/>
  <c r="FG15" i="4" a="1"/>
  <c r="BP73" i="3"/>
  <c r="BD49" i="3"/>
  <c r="BF47" i="3"/>
  <c r="BU70" i="3"/>
  <c r="BS54" i="3"/>
  <c r="GH9" i="4" a="1"/>
  <c r="FT6" i="4" a="1"/>
  <c r="BM93" i="3"/>
  <c r="BQ60" i="3"/>
  <c r="BT91" i="3"/>
  <c r="BT78" i="3"/>
  <c r="BA58" i="3"/>
  <c r="BE55" i="3"/>
  <c r="BE97" i="3"/>
  <c r="BU69" i="3"/>
  <c r="BO56" i="3"/>
  <c r="BG49" i="3"/>
  <c r="BD86" i="3"/>
  <c r="BT74" i="3"/>
  <c r="BT76" i="3"/>
  <c r="BJ58" i="3"/>
  <c r="BP67" i="3"/>
  <c r="BB47" i="3"/>
  <c r="BL77" i="3"/>
  <c r="BR89" i="3"/>
  <c r="BR73" i="3"/>
  <c r="AA113" i="2"/>
  <c r="BA56" i="3"/>
  <c r="BM80" i="3"/>
  <c r="BI64" i="3"/>
  <c r="BE68" i="3"/>
  <c r="BN78" i="3"/>
  <c r="BR79" i="3"/>
  <c r="AA112" i="2"/>
  <c r="BJ87" i="3"/>
  <c r="BQ59" i="3"/>
  <c r="BB58" i="3"/>
  <c r="BA76" i="3"/>
  <c r="BI85" i="3"/>
  <c r="BS71" i="3"/>
  <c r="BV82" i="3"/>
  <c r="AA114" i="2"/>
  <c r="BJ68" i="3"/>
  <c r="GH6" i="4" a="1"/>
  <c r="GW12" i="4" a="1"/>
  <c r="FR5" i="4" a="1"/>
  <c r="GF12" i="4" a="1"/>
  <c r="FH13" i="4" a="1"/>
  <c r="BA89" i="3"/>
  <c r="BM74" i="3"/>
  <c r="BD55" i="3"/>
  <c r="BH88" i="3"/>
  <c r="BF49" i="3"/>
  <c r="BO80" i="3"/>
  <c r="BQ85" i="3"/>
  <c r="BM68" i="3"/>
  <c r="BD75" i="3"/>
  <c r="BH57" i="3"/>
  <c r="BI67" i="3"/>
  <c r="BN76" i="3"/>
  <c r="BP80" i="3"/>
  <c r="BM73" i="3"/>
  <c r="BB94" i="3"/>
  <c r="BB77" i="3"/>
  <c r="BL59" i="3"/>
  <c r="BU72" i="3"/>
  <c r="BS55" i="3"/>
  <c r="BV90" i="3"/>
  <c r="BN91" i="3"/>
  <c r="BI91" i="3"/>
  <c r="BK54" i="3"/>
  <c r="GG6" i="4" a="1"/>
  <c r="BA84" i="3"/>
  <c r="BE74" i="3"/>
  <c r="BM92" i="3"/>
  <c r="BQ54" i="3"/>
  <c r="BI94" i="3"/>
  <c r="BT75" i="3"/>
  <c r="BU85" i="3"/>
  <c r="BT47" i="3"/>
  <c r="BO91" i="3"/>
  <c r="BJ78" i="3"/>
  <c r="GU8" i="4" a="1"/>
  <c r="GU7" i="4" a="1"/>
  <c r="GK6" i="4" a="1"/>
  <c r="GA11" i="4" a="1"/>
  <c r="GL9" i="4" a="1"/>
  <c r="BJ69" i="3"/>
  <c r="GK9" i="4" a="1"/>
  <c r="FL7" i="4" a="1"/>
  <c r="GG11" i="4" a="1"/>
  <c r="GD8" i="4" a="1"/>
  <c r="BC79" i="3"/>
  <c r="BC84" i="3"/>
  <c r="BS81" i="3"/>
  <c r="HC5" i="4" a="1"/>
  <c r="FJ6" i="4" a="1"/>
  <c r="GR11" i="4" a="1"/>
  <c r="BN96" i="3"/>
  <c r="GH8" i="4" a="1"/>
  <c r="HC7" i="4" a="1"/>
  <c r="FM8" i="4" a="1"/>
  <c r="HB16" i="4" a="1"/>
  <c r="GE16" i="4" a="1"/>
  <c r="HB5" i="4" a="1"/>
  <c r="HH16" i="4" a="1"/>
  <c r="BU96" i="3"/>
  <c r="GR5" i="4" a="1"/>
  <c r="HG7" i="4" a="1"/>
  <c r="HA11" i="4" a="1"/>
  <c r="HF15" i="4" a="1"/>
  <c r="GM15" i="4" a="1"/>
  <c r="BD63" i="3"/>
  <c r="GE12" i="4" a="1"/>
  <c r="HH9" i="4" a="1"/>
  <c r="HH12" i="4" a="1"/>
  <c r="FL13" i="4" a="1"/>
  <c r="GF16" i="4" a="1"/>
  <c r="FK16" i="4" a="1"/>
  <c r="GA8" i="4" a="1"/>
  <c r="BM83" i="3"/>
  <c r="FW6" i="4" a="1"/>
  <c r="GJ16" i="4" a="1"/>
  <c r="HE5" i="4" a="1"/>
  <c r="BD97" i="3"/>
  <c r="GB7" i="4" a="1"/>
  <c r="HB7" i="4" a="1"/>
  <c r="GT8" i="4" a="1"/>
  <c r="FH15" i="4" a="1"/>
  <c r="BC66" i="3"/>
  <c r="BD95" i="3"/>
  <c r="FN15" i="4" a="1"/>
  <c r="BE69" i="3"/>
  <c r="FQ12" i="4" a="1"/>
  <c r="FY12" i="4" a="1"/>
  <c r="FJ13" i="4" a="1"/>
  <c r="FN12" i="4" a="1"/>
  <c r="GY12" i="4" a="1"/>
  <c r="BO83" i="3"/>
  <c r="GL7" i="4" a="1"/>
  <c r="BE62" i="3"/>
  <c r="BQ55" i="3"/>
  <c r="BT80" i="3"/>
  <c r="BT56" i="3"/>
  <c r="BJ80" i="3"/>
  <c r="GO5" i="4" a="1"/>
  <c r="GE11" i="4" a="1"/>
  <c r="BH70" i="3"/>
  <c r="BU54" i="3"/>
  <c r="BF93" i="3"/>
  <c r="BR59" i="3"/>
  <c r="BG90" i="3"/>
  <c r="HE12" i="4" a="1"/>
  <c r="GF11" i="4" a="1"/>
  <c r="BM61" i="3"/>
  <c r="BH69" i="3"/>
  <c r="BO63" i="3"/>
  <c r="BT89" i="3"/>
  <c r="BA60" i="3"/>
  <c r="BP86" i="3"/>
  <c r="BI81" i="3"/>
  <c r="BU92" i="3"/>
  <c r="BS66" i="3"/>
  <c r="BM78" i="3"/>
  <c r="BQ88" i="3"/>
  <c r="BT73" i="3"/>
  <c r="BT81" i="3"/>
  <c r="BJ93" i="3"/>
  <c r="BF79" i="3"/>
  <c r="BB60" i="3"/>
  <c r="BL76" i="3"/>
  <c r="BV59" i="3"/>
  <c r="BV72" i="3"/>
  <c r="BH89" i="3"/>
  <c r="BA95" i="3"/>
  <c r="BM79" i="3"/>
  <c r="BA54" i="3"/>
  <c r="BI68" i="3"/>
  <c r="BO75" i="3"/>
  <c r="BV78" i="3"/>
  <c r="BO61" i="3"/>
  <c r="BJ63" i="3"/>
  <c r="BL86" i="3"/>
  <c r="BB66" i="3"/>
  <c r="BA61" i="3"/>
  <c r="BQ70" i="3"/>
  <c r="BS65" i="3"/>
  <c r="BV87" i="3"/>
  <c r="BO86" i="3"/>
  <c r="BJ91" i="3"/>
  <c r="FR15" i="4" a="1"/>
  <c r="FT5" i="4" a="1"/>
  <c r="FJ8" i="4" a="1"/>
  <c r="FZ13" i="4" a="1"/>
  <c r="FU11" i="4" a="1"/>
  <c r="BQ49" i="3"/>
  <c r="BM90" i="3"/>
  <c r="BP49" i="3"/>
  <c r="BL55" i="3"/>
  <c r="BQ86" i="3"/>
  <c r="BO70" i="3"/>
  <c r="BH81" i="3"/>
  <c r="BM94" i="3"/>
  <c r="BD54" i="3"/>
  <c r="BH74" i="3"/>
  <c r="BF54" i="3"/>
  <c r="BO81" i="3"/>
  <c r="BJ88" i="3"/>
  <c r="BP89" i="3"/>
  <c r="BG64" i="3"/>
  <c r="BA66" i="3"/>
  <c r="BE84" i="3"/>
  <c r="BR50" i="3"/>
  <c r="BS69" i="3"/>
  <c r="BV92" i="3"/>
  <c r="BF67" i="3"/>
  <c r="BM89" i="3"/>
  <c r="GT14" i="4" a="1"/>
  <c r="GB11" i="4" a="1"/>
  <c r="BQ58" i="3"/>
  <c r="BM49" i="3"/>
  <c r="BD88" i="3"/>
  <c r="BH79" i="3"/>
  <c r="BF71" i="3"/>
  <c r="BO49" i="3"/>
  <c r="BU88" i="3"/>
  <c r="BT54" i="3"/>
  <c r="BS89" i="3"/>
  <c r="BJ62" i="3"/>
  <c r="GZ8" i="4" a="1"/>
  <c r="FQ6" i="4" a="1"/>
  <c r="GW8" i="4" a="1"/>
  <c r="FW12" i="4" a="1"/>
  <c r="FJ14" i="4" a="1"/>
  <c r="BK90" i="3"/>
  <c r="FI5" i="4" a="1"/>
  <c r="GL13" i="4" a="1"/>
  <c r="HF14" i="4" a="1"/>
  <c r="HD13" i="4" a="1"/>
  <c r="BD48" i="3"/>
  <c r="GH16" i="4" a="1"/>
  <c r="BI60" i="3"/>
  <c r="GC14" i="4" a="1"/>
  <c r="FP14" i="4" a="1"/>
  <c r="FL15" i="4" a="1"/>
  <c r="BG68" i="3"/>
  <c r="FY6" i="4" a="1"/>
  <c r="GG7" i="4" a="1"/>
  <c r="FU12" i="4" a="1"/>
  <c r="GJ7" i="4" a="1"/>
  <c r="HC16" i="4" a="1"/>
  <c r="GD13" i="4" a="1"/>
  <c r="BC81" i="3"/>
  <c r="BV89" i="3"/>
  <c r="GX9" i="4" a="1"/>
  <c r="GG12" i="4" a="1"/>
  <c r="FI13" i="4" a="1"/>
  <c r="GD16" i="4" a="1"/>
  <c r="FI16" i="4" a="1"/>
  <c r="HF11" i="4" a="1"/>
  <c r="GN16" i="4" a="1"/>
  <c r="BN85" i="3"/>
  <c r="FV5" i="4" a="1"/>
  <c r="FV6" i="4" a="1"/>
  <c r="FP9" i="4" a="1"/>
  <c r="HF16" i="4" a="1"/>
  <c r="GI16" i="4" a="1"/>
  <c r="GR8" i="4" a="1"/>
  <c r="GA9" i="4" a="1"/>
  <c r="GW6" i="4" a="1"/>
  <c r="BJ97" i="3"/>
  <c r="BP85" i="3"/>
  <c r="GC6" i="4" a="1"/>
  <c r="FM7" i="4" a="1"/>
  <c r="GF9" i="4" a="1"/>
  <c r="HE7" i="4" a="1"/>
  <c r="GM16" i="4" a="1"/>
  <c r="BR55" i="3"/>
  <c r="FO8" i="4" a="1"/>
  <c r="GF8" i="4" a="1"/>
  <c r="FR12" i="4" a="1"/>
  <c r="FL16" i="4" a="1"/>
  <c r="GU15" i="4" a="1"/>
  <c r="BD66" i="3"/>
  <c r="BK61" i="3"/>
  <c r="BK80" i="3"/>
  <c r="FU14" i="4" a="1"/>
  <c r="GP11" i="4" a="1"/>
  <c r="GE14" i="4" a="1"/>
  <c r="FP13" i="4" a="1"/>
  <c r="BC62" i="3"/>
  <c r="GL8" i="4" a="1"/>
  <c r="GQ16" i="4" a="1"/>
  <c r="BF56" i="3"/>
  <c r="CL117" i="1" s="1"/>
  <c r="GI6" i="4" a="1"/>
  <c r="FU6" i="4" a="1"/>
  <c r="FQ14" i="4" a="1"/>
  <c r="HG14" i="4" a="1"/>
  <c r="BC73" i="3"/>
  <c r="FO11" i="4" a="1"/>
  <c r="BI65" i="3"/>
  <c r="FK13" i="4" a="1"/>
  <c r="FV13" i="4" a="1"/>
  <c r="FO13" i="4" a="1"/>
  <c r="GI12" i="4" a="1"/>
  <c r="GN13" i="4" a="1"/>
  <c r="GZ16" i="4" a="1"/>
  <c r="BD58" i="3"/>
  <c r="GM7" i="4" a="1"/>
  <c r="FI15" i="4" a="1"/>
  <c r="FM13" i="4" a="1"/>
  <c r="GM14" i="4" a="1"/>
  <c r="BA67" i="3"/>
  <c r="BG94" i="3"/>
  <c r="BE72" i="3"/>
  <c r="BF73" i="3"/>
  <c r="HF9" i="4" a="1"/>
  <c r="BE56" i="3"/>
  <c r="BQ57" i="3"/>
  <c r="BT55" i="3"/>
  <c r="BJ96" i="3"/>
  <c r="FK6" i="4" a="1"/>
  <c r="BH76" i="3"/>
  <c r="BU67" i="3"/>
  <c r="BO85" i="3"/>
  <c r="BA47" i="3"/>
  <c r="BV70" i="3"/>
  <c r="BG56" i="3"/>
  <c r="BE50" i="3"/>
  <c r="BM48" i="3"/>
  <c r="BH71" i="3"/>
  <c r="BO55" i="3"/>
  <c r="BT60" i="3"/>
  <c r="BJ64" i="3"/>
  <c r="GB6" i="4" a="1"/>
  <c r="FZ12" i="4" a="1"/>
  <c r="BC71" i="3"/>
  <c r="BI73" i="3"/>
  <c r="BQ63" i="3"/>
  <c r="BR96" i="3"/>
  <c r="BE79" i="3"/>
  <c r="GA5" i="4" a="1"/>
  <c r="BE85" i="3"/>
  <c r="BF63" i="3"/>
  <c r="CL125" i="1" s="1"/>
  <c r="BH84" i="3"/>
  <c r="BO50" i="3"/>
  <c r="BN95" i="3"/>
  <c r="BP64" i="3"/>
  <c r="BD94" i="3"/>
  <c r="BF94" i="3"/>
  <c r="BR88" i="3"/>
  <c r="BS58" i="3"/>
  <c r="BM86" i="3"/>
  <c r="BH49" i="3"/>
  <c r="BO68" i="3"/>
  <c r="BT95" i="3"/>
  <c r="BJ57" i="3"/>
  <c r="BA87" i="3"/>
  <c r="BG60" i="3"/>
  <c r="BL89" i="3"/>
  <c r="BO62" i="3"/>
  <c r="BV74" i="3"/>
  <c r="BE91" i="3"/>
  <c r="BQ65" i="3"/>
  <c r="BB62" i="3"/>
  <c r="BA86" i="3"/>
  <c r="BI66" i="3"/>
  <c r="BS48" i="3"/>
  <c r="BV73" i="3"/>
  <c r="BS74" i="3"/>
  <c r="BK48" i="3"/>
  <c r="BC82" i="3"/>
  <c r="BB83" i="3"/>
  <c r="BH83" i="3"/>
  <c r="BQ67" i="3"/>
  <c r="BS86" i="3"/>
  <c r="BT96" i="3"/>
  <c r="BS76" i="3"/>
  <c r="BK81" i="3"/>
  <c r="HD6" i="4" a="1"/>
  <c r="HD7" i="4" a="1"/>
  <c r="GJ8" i="4" a="1"/>
  <c r="FT14" i="4" a="1"/>
  <c r="GA14" i="4" a="1"/>
  <c r="BH78" i="3"/>
  <c r="BB70" i="3"/>
  <c r="BI80" i="3"/>
  <c r="BL62" i="3"/>
  <c r="BQ64" i="3"/>
  <c r="BS80" i="3"/>
  <c r="BL97" i="3"/>
  <c r="BB96" i="3"/>
  <c r="BP68" i="3"/>
  <c r="BL49" i="3"/>
  <c r="BQ84" i="3"/>
  <c r="BO72" i="3"/>
  <c r="BA96" i="3"/>
  <c r="BG96" i="3"/>
  <c r="BH55" i="3"/>
  <c r="BC56" i="3"/>
  <c r="BE61" i="3"/>
  <c r="BV47" i="3"/>
  <c r="BU59" i="3"/>
  <c r="BT68" i="3"/>
  <c r="BO47" i="3"/>
  <c r="BF50" i="3"/>
  <c r="GN6" i="4" a="1"/>
  <c r="FW15" i="4" a="1"/>
  <c r="BH72" i="3"/>
  <c r="BM76" i="3"/>
  <c r="BU47" i="3"/>
  <c r="BH90" i="3"/>
  <c r="BF80" i="3"/>
  <c r="CL159" i="1" s="1"/>
  <c r="BO88" i="3"/>
  <c r="BR74" i="3"/>
  <c r="BN79" i="3"/>
  <c r="BG47" i="3"/>
  <c r="BJ73" i="3"/>
  <c r="FT12" i="4" a="1"/>
  <c r="FJ11" i="4" a="1"/>
  <c r="HD9" i="4" a="1"/>
  <c r="FQ13" i="4" a="1"/>
  <c r="BU56" i="3"/>
  <c r="GB5" i="4" a="1"/>
  <c r="GG8" i="4" a="1"/>
  <c r="GN11" i="4" a="1"/>
  <c r="GZ15" i="4" a="1"/>
  <c r="GG15" i="4" a="1"/>
  <c r="BD57" i="3"/>
  <c r="GQ15" i="4" a="1"/>
  <c r="BJ70" i="3"/>
  <c r="GV7" i="4" a="1"/>
  <c r="HH5" i="4" a="1"/>
  <c r="HB15" i="4" a="1"/>
  <c r="BI87" i="3"/>
  <c r="HD14" i="4" a="1"/>
  <c r="GE6" i="4" a="1"/>
  <c r="GE13" i="4" a="1"/>
  <c r="FX13" i="4" a="1"/>
  <c r="BC54" i="3"/>
  <c r="FK5" i="4" a="1"/>
  <c r="GX7" i="4" a="1"/>
  <c r="BN47" i="3"/>
  <c r="FH5" i="4" a="1"/>
  <c r="GZ5" i="4" a="1"/>
  <c r="FK9" i="4" a="1"/>
  <c r="HD16" i="4" a="1"/>
  <c r="GG16" i="4" a="1"/>
  <c r="FJ12" i="4" a="1"/>
  <c r="GJ11" i="4" a="1"/>
  <c r="BH97" i="3"/>
  <c r="GR7" i="4" a="1"/>
  <c r="FU9" i="4" a="1"/>
  <c r="GC12" i="4" a="1"/>
  <c r="HB8" i="4" a="1"/>
  <c r="HG16" i="4" a="1"/>
  <c r="GG5" i="4" a="1"/>
  <c r="FU13" i="4" a="1"/>
  <c r="GQ11" i="4" a="1"/>
  <c r="BK82" i="3"/>
  <c r="BL73" i="3"/>
  <c r="FM9" i="4" a="1"/>
  <c r="GZ6" i="4" a="1"/>
  <c r="GN12" i="4" a="1"/>
  <c r="GQ9" i="4" a="1"/>
  <c r="GG9" i="4" a="1"/>
  <c r="BT70" i="3"/>
  <c r="HE8" i="4" a="1"/>
  <c r="GZ7" i="4" a="1"/>
  <c r="GG13" i="4" a="1"/>
  <c r="GL16" i="4" a="1"/>
  <c r="FQ16" i="4" a="1"/>
  <c r="BC48" i="3"/>
  <c r="FY8" i="4" a="1"/>
  <c r="FS5" i="4" a="1"/>
  <c r="FH7" i="4" a="1"/>
  <c r="FS11" i="4" a="1"/>
  <c r="GR15" i="4" a="1"/>
  <c r="FQ15" i="4" a="1"/>
  <c r="BD65" i="3"/>
  <c r="GD6" i="4" a="1"/>
  <c r="BC59" i="3"/>
  <c r="BJ61" i="3"/>
  <c r="FP8" i="4" a="1"/>
  <c r="FT9" i="4" a="1"/>
  <c r="FQ9" i="4" a="1"/>
  <c r="FY15" i="4" a="1"/>
  <c r="BC89" i="3"/>
  <c r="FZ14" i="4" a="1"/>
  <c r="BJ84" i="3"/>
  <c r="HB6" i="4" a="1"/>
  <c r="FY14" i="4" a="1"/>
  <c r="BC63" i="3"/>
  <c r="BS61" i="3"/>
  <c r="GE15" i="4" a="1"/>
  <c r="GU13" i="4" a="1"/>
  <c r="BT84" i="3"/>
  <c r="BA82" i="3"/>
  <c r="BE92" i="3"/>
  <c r="BG50" i="3"/>
  <c r="BV64" i="3"/>
  <c r="BA73" i="3"/>
  <c r="BE70" i="3"/>
  <c r="BS49" i="3"/>
  <c r="HC9" i="4" a="1"/>
  <c r="BO59" i="3"/>
  <c r="BK83" i="3"/>
  <c r="BD62" i="3"/>
  <c r="BS62" i="3"/>
  <c r="BH67" i="3"/>
  <c r="BA75" i="3"/>
  <c r="BF95" i="3"/>
  <c r="CL164" i="1" s="1"/>
  <c r="FL5" i="4" a="1"/>
  <c r="BU79" i="3"/>
  <c r="BO95" i="3"/>
  <c r="BI75" i="3"/>
  <c r="BB64" i="3"/>
  <c r="BF59" i="3"/>
  <c r="BT88" i="3"/>
  <c r="BK79" i="3"/>
  <c r="BG95" i="3"/>
  <c r="BQ96" i="3"/>
  <c r="BT83" i="3"/>
  <c r="BK85" i="3"/>
  <c r="GW7" i="4" a="1"/>
  <c r="FY7" i="4" a="1"/>
  <c r="BC65" i="3"/>
  <c r="BB91" i="3"/>
  <c r="BQ95" i="3"/>
  <c r="BU50" i="3"/>
  <c r="BI88" i="3"/>
  <c r="BQ66" i="3"/>
  <c r="BA71" i="3"/>
  <c r="BM88" i="3"/>
  <c r="BI90" i="3"/>
  <c r="BU77" i="3"/>
  <c r="BO78" i="3"/>
  <c r="GK8" i="4" a="1"/>
  <c r="BK50" i="3"/>
  <c r="BI49" i="3"/>
  <c r="BQ76" i="3"/>
  <c r="BR77" i="3"/>
  <c r="BE49" i="3"/>
  <c r="HA9" i="4" a="1"/>
  <c r="GN14" i="4" a="1"/>
  <c r="BV68" i="3"/>
  <c r="GU6" i="4" a="1"/>
  <c r="FX16" i="4" a="1"/>
  <c r="BD81" i="3"/>
  <c r="BJ79" i="3"/>
  <c r="FK8" i="4" a="1"/>
  <c r="BJ72" i="3"/>
  <c r="GA6" i="4" a="1"/>
  <c r="FX15" i="4" a="1"/>
  <c r="GD11" i="4" a="1"/>
  <c r="BG48" i="3"/>
  <c r="GV8" i="4" a="1"/>
  <c r="FV8" i="4" a="1"/>
  <c r="GX13" i="4" a="1"/>
  <c r="BM47" i="3"/>
  <c r="GD9" i="4" a="1"/>
  <c r="HH13" i="4" a="1"/>
  <c r="GX5" i="4" a="1"/>
  <c r="GP15" i="4" a="1"/>
  <c r="BM63" i="3"/>
  <c r="FW5" i="4" a="1"/>
  <c r="FV14" i="4" a="1"/>
  <c r="BF81" i="3"/>
  <c r="CL144" i="1" s="1"/>
  <c r="FG8" i="4" a="1"/>
  <c r="GO11" i="4" a="1"/>
  <c r="BR84" i="3"/>
  <c r="FG6" i="4" a="1"/>
  <c r="GH12" i="4" a="1"/>
  <c r="GY15" i="4" a="1"/>
  <c r="FW8" i="4" a="1"/>
  <c r="BK66" i="3"/>
  <c r="FL12" i="4" a="1"/>
  <c r="GK13" i="4" a="1"/>
  <c r="HG12" i="4" a="1"/>
  <c r="FJ9" i="4" a="1"/>
  <c r="FQ11" i="4" a="1"/>
  <c r="BC86" i="3"/>
  <c r="BC69" i="3"/>
  <c r="BN75" i="3"/>
  <c r="GX16" i="4" a="1"/>
  <c r="FM14" i="4" a="1"/>
  <c r="BK92" i="3"/>
  <c r="BJ81" i="3"/>
  <c r="GW9" i="4" a="1"/>
  <c r="FZ8" i="4" a="1"/>
  <c r="GS13" i="4" a="1"/>
  <c r="FK14" i="4" a="1"/>
  <c r="GN7" i="4" a="1"/>
  <c r="GD15" i="4" a="1"/>
  <c r="BU84" i="3"/>
  <c r="GO8" i="4" a="1"/>
  <c r="GC13" i="4" a="1"/>
  <c r="GY7" i="4" a="1"/>
  <c r="HG9" i="4" a="1"/>
  <c r="Y113" i="2"/>
  <c r="GO13" i="4" a="1"/>
  <c r="GN9" i="4" a="1"/>
  <c r="FW11" i="4" a="1"/>
  <c r="BC92" i="3"/>
  <c r="GU14" i="4" a="1"/>
  <c r="BD47" i="3"/>
  <c r="BB79" i="3"/>
  <c r="GE9" i="4" a="1"/>
  <c r="HE15" i="4" a="1"/>
  <c r="FQ8" i="4" a="1"/>
  <c r="HD12" i="4" a="1"/>
  <c r="FX12" i="4" a="1"/>
  <c r="HE16" i="4" a="1"/>
  <c r="FU5" i="4" a="1"/>
  <c r="FH16" i="4" a="1"/>
  <c r="FX5" i="4" a="1"/>
  <c r="BC67" i="3"/>
  <c r="GE7" i="4" a="1"/>
  <c r="GO16" i="4" a="1"/>
  <c r="FZ9" i="4" a="1"/>
  <c r="FP16" i="4" a="1"/>
  <c r="BD77" i="3"/>
  <c r="BC80" i="3"/>
  <c r="HF6" i="4" a="1"/>
  <c r="BU64" i="3"/>
  <c r="BM71" i="3"/>
  <c r="BO73" i="3"/>
  <c r="BN50" i="3"/>
  <c r="BH95" i="3"/>
  <c r="BE65" i="3"/>
  <c r="BL60" i="3"/>
  <c r="BE59" i="3"/>
  <c r="BP57" i="3"/>
  <c r="BP48" i="3"/>
  <c r="BS60" i="3"/>
  <c r="BT87" i="3"/>
  <c r="BB56" i="3"/>
  <c r="BN66" i="3"/>
  <c r="GV6" i="4" a="1"/>
  <c r="HE6" i="4" a="1"/>
  <c r="GF6" i="4" a="1"/>
  <c r="FY5" i="4" a="1"/>
  <c r="FK12" i="4" a="1"/>
  <c r="FG5" i="4" a="1"/>
  <c r="GH13" i="4" a="1"/>
  <c r="GW15" i="4" a="1"/>
  <c r="BC88" i="3"/>
  <c r="HF8" i="4" a="1"/>
  <c r="BC77" i="3"/>
  <c r="HB9" i="4" a="1"/>
  <c r="GT15" i="4" a="1"/>
  <c r="BD64" i="3"/>
  <c r="FN13" i="4" a="1"/>
  <c r="GV13" i="4" a="1"/>
  <c r="BR81" i="3"/>
  <c r="BT48" i="3"/>
  <c r="BQ68" i="3"/>
  <c r="BH50" i="3"/>
  <c r="BG76" i="3"/>
  <c r="BI77" i="3"/>
  <c r="FG12" i="4" a="1"/>
  <c r="BP87" i="3"/>
  <c r="BE57" i="3"/>
  <c r="BS72" i="3"/>
  <c r="BH92" i="3"/>
  <c r="BJ71" i="3"/>
  <c r="BS78" i="3"/>
  <c r="GV12" i="4" a="1"/>
  <c r="FM12" i="4" a="1"/>
  <c r="GS8" i="4" a="1"/>
  <c r="FS16" i="4" a="1"/>
  <c r="GC11" i="4" a="1"/>
  <c r="GH11" i="4" a="1"/>
  <c r="BC93" i="3"/>
  <c r="GB12" i="4" a="1"/>
  <c r="GL5" i="4" a="1"/>
  <c r="BC95" i="3"/>
  <c r="GI8" i="4" a="1"/>
  <c r="BR87" i="3"/>
  <c r="FR16" i="4" a="1"/>
  <c r="FP5" i="4" a="1"/>
  <c r="HG15" i="4" a="1"/>
  <c r="BQ73" i="3"/>
  <c r="BM95" i="3"/>
  <c r="FH6" i="4" a="1"/>
  <c r="BJ59" i="3"/>
  <c r="BA59" i="3"/>
  <c r="BE71" i="3"/>
  <c r="BU58" i="3"/>
  <c r="BN61" i="3"/>
  <c r="BA81" i="3"/>
  <c r="GT9" i="4" a="1"/>
  <c r="GI13" i="4" a="1"/>
  <c r="BV91" i="3"/>
  <c r="FH9" i="4" a="1"/>
  <c r="FK7" i="4" a="1"/>
  <c r="BD67" i="3"/>
  <c r="FH8" i="4" a="1"/>
  <c r="GT5" i="4" a="1"/>
  <c r="FM16" i="4" a="1"/>
  <c r="GL15" i="4" a="1"/>
  <c r="GB9" i="4" a="1"/>
  <c r="BE67" i="3"/>
  <c r="HE11" i="4" a="1"/>
  <c r="HA16" i="4" a="1"/>
  <c r="BN86" i="3"/>
  <c r="BI47" i="3"/>
  <c r="GH7" i="4" a="1"/>
  <c r="FO14" i="4" a="1"/>
  <c r="BO94" i="3"/>
  <c r="FV7" i="4" a="1"/>
  <c r="BU55" i="3"/>
  <c r="BS94" i="3"/>
  <c r="BV85" i="3"/>
  <c r="BP81" i="3"/>
  <c r="BU82" i="3"/>
  <c r="GL6" i="4" a="1"/>
  <c r="BI95" i="3"/>
  <c r="BS75" i="3"/>
  <c r="BM85" i="3"/>
  <c r="BG73" i="3"/>
  <c r="BQ90" i="3"/>
  <c r="BT65" i="3"/>
  <c r="BP50" i="3"/>
  <c r="BP97" i="3"/>
  <c r="BR92" i="3"/>
  <c r="BN93" i="3"/>
  <c r="BK56" i="3"/>
  <c r="FI12" i="4" a="1"/>
  <c r="HB12" i="4" a="1"/>
  <c r="BM56" i="3"/>
  <c r="BA80" i="3"/>
  <c r="BR93" i="3"/>
  <c r="BM65" i="3"/>
  <c r="BB61" i="3"/>
  <c r="BU78" i="3"/>
  <c r="BQ61" i="3"/>
  <c r="BD82" i="3"/>
  <c r="BF89" i="3"/>
  <c r="CL153" i="1" s="1"/>
  <c r="BU81" i="3"/>
  <c r="BS87" i="3"/>
  <c r="GB8" i="4" a="1"/>
  <c r="BR71" i="3"/>
  <c r="BI86" i="3"/>
  <c r="BQ80" i="3"/>
  <c r="BV62" i="3"/>
  <c r="BE77" i="3"/>
  <c r="FS6" i="4" a="1"/>
  <c r="GS6" i="4" a="1"/>
  <c r="GJ5" i="4" a="1"/>
  <c r="GS11" i="4" a="1"/>
  <c r="HG8" i="4" a="1"/>
  <c r="GU9" i="4" a="1"/>
  <c r="BM75" i="3"/>
  <c r="BJ89" i="3"/>
  <c r="FP6" i="4" a="1"/>
  <c r="BJ54" i="3"/>
  <c r="BE54" i="3"/>
  <c r="GA13" i="4" a="1"/>
  <c r="FU16" i="4" a="1"/>
  <c r="GC5" i="4" a="1"/>
  <c r="FU15" i="4" a="1"/>
  <c r="GO9" i="4" a="1"/>
  <c r="BD87" i="3"/>
  <c r="FW7" i="4" a="1"/>
  <c r="BK55" i="3"/>
  <c r="GI7" i="4" a="1"/>
  <c r="BC70" i="3"/>
  <c r="GI14" i="4" a="1"/>
  <c r="BC90" i="3"/>
  <c r="HC13" i="4" a="1"/>
  <c r="BR82" i="3"/>
  <c r="BD80" i="3"/>
  <c r="BJ67" i="3"/>
  <c r="GM9" i="4" a="1"/>
  <c r="FG14" i="4" a="1"/>
  <c r="GJ13" i="4" a="1"/>
  <c r="BH58" i="3"/>
  <c r="BP88" i="3"/>
  <c r="BC50" i="3"/>
  <c r="BF97" i="3"/>
  <c r="GP9" i="4" a="1"/>
  <c r="BO97" i="3"/>
  <c r="BL74" i="3"/>
  <c r="BK87" i="3"/>
  <c r="HB11" i="4" a="1"/>
  <c r="GK5" i="4" a="1"/>
  <c r="GQ14" i="4" a="1"/>
  <c r="HH14" i="4" a="1"/>
  <c r="BT86" i="3"/>
  <c r="FQ5" i="4" a="1"/>
  <c r="GI15" i="4" a="1"/>
  <c r="BF86" i="3"/>
  <c r="BH86" i="3"/>
  <c r="BN74" i="3"/>
  <c r="BM87" i="3"/>
  <c r="BR66" i="3"/>
  <c r="BE95" i="3"/>
  <c r="FM11" i="4" a="1"/>
  <c r="FZ16" i="4" a="1"/>
  <c r="FX11" i="4" a="1"/>
  <c r="BD69" i="3"/>
  <c r="GB15" i="4" a="1"/>
  <c r="BD70" i="3"/>
  <c r="BO93" i="3"/>
  <c r="GO14" i="4" a="1"/>
  <c r="BL93" i="3"/>
  <c r="BJ77" i="3"/>
  <c r="BF90" i="3"/>
  <c r="CL126" i="1" s="1"/>
  <c r="BR60" i="3"/>
  <c r="BP55" i="3"/>
  <c r="BN73" i="3"/>
  <c r="BL78" i="3"/>
  <c r="BU95" i="3"/>
  <c r="BF96" i="3"/>
  <c r="CL163" i="1" s="1"/>
  <c r="BB50" i="3"/>
  <c r="FR13" i="4" a="1"/>
  <c r="HD15" i="4" a="1"/>
  <c r="BC87" i="3"/>
  <c r="GF15" i="4" a="1"/>
  <c r="FI9" i="4" a="1"/>
  <c r="BC61" i="3"/>
  <c r="GP12" i="4" a="1"/>
  <c r="BA70" i="3"/>
  <c r="BF65" i="3"/>
  <c r="CL150" i="1" s="1"/>
  <c r="GM5" i="4" a="1"/>
  <c r="BM59" i="3"/>
  <c r="BO82" i="3"/>
  <c r="GS5" i="4" a="1"/>
  <c r="BI54" i="3"/>
  <c r="BV48" i="3"/>
  <c r="BT90" i="3"/>
  <c r="BE75" i="3"/>
  <c r="BU93" i="3"/>
  <c r="GQ7" i="4" a="1"/>
  <c r="BI78" i="3"/>
  <c r="BS92" i="3"/>
  <c r="BF57" i="3"/>
  <c r="CL118" i="1" s="1"/>
  <c r="BE96" i="3"/>
  <c r="BR65" i="3"/>
  <c r="BT66" i="3"/>
  <c r="BP77" i="3"/>
  <c r="BP58" i="3"/>
  <c r="BV56" i="3"/>
  <c r="BN71" i="3"/>
  <c r="BK89" i="3"/>
  <c r="FN5" i="4" a="1"/>
  <c r="GX15" i="4" a="1"/>
  <c r="BP78" i="3"/>
  <c r="BA57" i="3"/>
  <c r="BV77" i="3"/>
  <c r="BP84" i="3"/>
  <c r="BA94" i="3"/>
  <c r="BR91" i="3"/>
  <c r="BH63" i="3"/>
  <c r="BD93" i="3"/>
  <c r="BF66" i="3"/>
  <c r="CL151" i="1" s="1"/>
  <c r="BR64" i="3"/>
  <c r="BG62" i="3"/>
  <c r="GX11" i="4" a="1"/>
  <c r="BM77" i="3"/>
  <c r="BB80" i="3"/>
  <c r="BU74" i="3"/>
  <c r="BV88" i="3"/>
  <c r="BI61" i="3"/>
  <c r="GA7" i="4" a="1"/>
  <c r="HF5" i="4" a="1"/>
  <c r="BS79" i="3"/>
  <c r="FO9" i="4" a="1"/>
  <c r="FV15" i="4" a="1"/>
  <c r="GG14" i="4" a="1"/>
  <c r="HG5" i="4" a="1"/>
  <c r="GX12" i="4" a="1"/>
  <c r="BK95" i="3"/>
  <c r="GV5" i="4" a="1"/>
  <c r="FR14" i="4" a="1"/>
  <c r="FY13" i="4" a="1"/>
  <c r="BJ95" i="3"/>
  <c r="FP7" i="4" a="1"/>
  <c r="GA15" i="4" a="1"/>
  <c r="HH11" i="4" a="1"/>
  <c r="BK69" i="3"/>
  <c r="GV9" i="4" a="1"/>
  <c r="FY11" i="4" a="1"/>
  <c r="HA5" i="4" a="1"/>
  <c r="BT71" i="3"/>
  <c r="BK75" i="3"/>
  <c r="GO6" i="4" a="1"/>
  <c r="GA12" i="4" a="1"/>
  <c r="BF58" i="3"/>
  <c r="CL119" i="1" s="1"/>
  <c r="FJ5" i="4" a="1"/>
  <c r="GL14" i="4" a="1"/>
  <c r="BE89" i="3"/>
  <c r="GC7" i="4" a="1"/>
  <c r="GT11" i="4" a="1"/>
  <c r="GS16" i="4" a="1"/>
  <c r="FN8" i="4" a="1"/>
  <c r="HH6" i="4" a="1"/>
  <c r="GM12" i="4" a="1"/>
  <c r="HA15" i="4" a="1"/>
  <c r="BS82" i="3"/>
  <c r="FU8" i="4" a="1"/>
  <c r="GV15" i="4" a="1"/>
  <c r="BD91" i="3"/>
  <c r="GI9" i="4" a="1"/>
  <c r="BF64" i="3"/>
  <c r="CL149" i="1" s="1"/>
  <c r="GZ11" i="4" a="1"/>
  <c r="FN16" i="4" a="1"/>
  <c r="GQ13" i="4" a="1"/>
  <c r="GR13" i="4" a="1"/>
  <c r="FW16" i="4" a="1"/>
  <c r="BR68" i="3"/>
  <c r="HD5" i="4" a="1"/>
  <c r="FV16" i="4" a="1"/>
  <c r="BD68" i="3"/>
  <c r="FS9" i="4" a="1"/>
  <c r="BP56" i="3"/>
  <c r="BU89" i="3"/>
  <c r="FX14" i="4" a="1"/>
  <c r="BB65" i="3"/>
  <c r="BN67" i="3"/>
  <c r="BA92" i="3"/>
  <c r="BF85" i="3"/>
  <c r="CL147" i="1" s="1"/>
  <c r="BM70" i="3"/>
  <c r="BT72" i="3"/>
  <c r="BD78" i="3"/>
  <c r="BF75" i="3"/>
  <c r="BC58" i="3"/>
  <c r="BE94" i="3"/>
  <c r="BV97" i="3"/>
  <c r="BH75" i="3"/>
  <c r="BD85" i="3"/>
  <c r="BS91" i="3"/>
  <c r="BP65" i="3"/>
  <c r="BM60" i="3"/>
  <c r="BL58" i="3"/>
  <c r="BU49" i="3"/>
  <c r="BL95" i="3"/>
  <c r="HC8" i="4" a="1"/>
  <c r="GR12" i="4" a="1"/>
  <c r="GD12" i="4" a="1"/>
  <c r="BB48" i="3"/>
  <c r="BL75" i="3"/>
  <c r="BP92" i="3"/>
  <c r="BB59" i="3"/>
  <c r="BL70" i="3"/>
  <c r="BS63" i="3"/>
  <c r="BE82" i="3"/>
  <c r="BQ50" i="3"/>
  <c r="BT92" i="3"/>
  <c r="BT57" i="3"/>
  <c r="BJ76" i="3"/>
  <c r="BL71" i="3"/>
  <c r="BO77" i="3"/>
  <c r="BN55" i="3"/>
  <c r="GS14" i="4" a="1"/>
  <c r="GU12" i="4" a="1"/>
  <c r="GZ9" i="4" a="1"/>
  <c r="GP6" i="4" a="1"/>
  <c r="GR14" i="4" a="1"/>
  <c r="BC83" i="3"/>
  <c r="GP14" i="4" a="1"/>
  <c r="BH64" i="3"/>
  <c r="FG7" i="4" a="1"/>
  <c r="BN48" i="3"/>
  <c r="BU91" i="3"/>
  <c r="BT79" i="3"/>
  <c r="BE64" i="3"/>
  <c r="BE76" i="3"/>
  <c r="BP76" i="3"/>
  <c r="BU97" i="3"/>
  <c r="FK11" i="4" a="1"/>
  <c r="BG74" i="3"/>
  <c r="BE86" i="3"/>
  <c r="BB88" i="3"/>
  <c r="BL65" i="3"/>
  <c r="BM84" i="3"/>
  <c r="BH61" i="3"/>
  <c r="GY6" i="4" a="1"/>
  <c r="GS12" i="4" a="1"/>
  <c r="GY9" i="4" a="1"/>
  <c r="GP16" i="4" a="1"/>
  <c r="BS95" i="3"/>
  <c r="BK86" i="3"/>
  <c r="BH82" i="3"/>
  <c r="BD50" i="3"/>
  <c r="BI55" i="3"/>
  <c r="BP94" i="3"/>
  <c r="BP72" i="3"/>
  <c r="BU73" i="3"/>
  <c r="HG13" i="4" a="1"/>
  <c r="BG57" i="3"/>
  <c r="BG58" i="3"/>
  <c r="BO84" i="3"/>
  <c r="BB90" i="3"/>
  <c r="BK49" i="3"/>
  <c r="GQ8" i="4" a="1"/>
  <c r="BU57" i="3"/>
  <c r="GY13" i="4" a="1"/>
  <c r="BC78" i="3"/>
  <c r="GK12" i="4" a="1"/>
  <c r="BC68" i="3"/>
  <c r="FN14" i="4" a="1"/>
  <c r="BF76" i="3"/>
  <c r="BQ92" i="3"/>
  <c r="GW13" i="4" a="1"/>
  <c r="BM97" i="3"/>
  <c r="BH77" i="3"/>
  <c r="BL47" i="3"/>
  <c r="BK77" i="3"/>
  <c r="BE78" i="3"/>
  <c r="FK15" i="4" a="1"/>
  <c r="GP13" i="4" a="1"/>
  <c r="FS14" i="4" a="1"/>
  <c r="BU83" i="3"/>
  <c r="BD56" i="3"/>
  <c r="BC97" i="3"/>
  <c r="BD74" i="3"/>
  <c r="FI8" i="4" a="1"/>
  <c r="BD59" i="3"/>
  <c r="HC11" i="4" a="1"/>
  <c r="GE5" i="4" a="1"/>
  <c r="GT16" i="4" a="1"/>
  <c r="FG9" i="4" a="1"/>
  <c r="GC16" i="4" a="1"/>
  <c r="BA63" i="3"/>
  <c r="BU62" i="3"/>
  <c r="FR9" i="4" a="1"/>
  <c r="BF83" i="3"/>
  <c r="CL160" i="1" s="1"/>
  <c r="BT62" i="3"/>
  <c r="FI7" i="4" a="1"/>
  <c r="BF92" i="3"/>
  <c r="CL155" i="1" s="1"/>
  <c r="BG91" i="3"/>
  <c r="BO66" i="3"/>
  <c r="BP91" i="3"/>
  <c r="BR86" i="3"/>
  <c r="FR11" i="4" a="1"/>
  <c r="BA64" i="3"/>
  <c r="BF91" i="3"/>
  <c r="CL154" i="1" s="1"/>
  <c r="BT49" i="3"/>
  <c r="BP96" i="3"/>
  <c r="BV75" i="3"/>
  <c r="BN94" i="3"/>
  <c r="BJ56" i="3"/>
  <c r="BI72" i="3"/>
  <c r="BN92" i="3"/>
  <c r="BN83" i="3"/>
  <c r="GQ5" i="4" a="1"/>
  <c r="GF7" i="4" a="1"/>
  <c r="FT16" i="4" a="1"/>
  <c r="BG71" i="3"/>
  <c r="BQ47" i="3"/>
  <c r="BT94" i="3"/>
  <c r="BG67" i="3"/>
  <c r="BA88" i="3"/>
  <c r="BV49" i="3"/>
  <c r="BK68" i="3"/>
  <c r="BP59" i="3"/>
  <c r="BQ79" i="3"/>
  <c r="BR80" i="3"/>
  <c r="BL50" i="3"/>
  <c r="FY9" i="4" a="1"/>
  <c r="BG70" i="3"/>
  <c r="BA77" i="3"/>
  <c r="BR58" i="3"/>
  <c r="BV94" i="3"/>
  <c r="BM55" i="3"/>
  <c r="GJ6" i="4" a="1"/>
  <c r="FH11" i="4" a="1"/>
  <c r="BI71" i="3"/>
  <c r="GT13" i="4" a="1"/>
  <c r="GT12" i="4" a="1"/>
  <c r="FT15" i="4" a="1"/>
  <c r="FQ7" i="4" a="1"/>
  <c r="FP12" i="4" a="1"/>
  <c r="FX6" i="4" a="1"/>
  <c r="GV11" i="4" a="1"/>
  <c r="GK15" i="4" a="1"/>
  <c r="HE14" i="4" a="1"/>
  <c r="BJ85" i="3"/>
  <c r="GC9" i="4" a="1"/>
  <c r="FI11" i="4" a="1"/>
  <c r="FL11" i="4" a="1"/>
  <c r="BK47" i="3"/>
  <c r="FN9" i="4" a="1"/>
  <c r="GH14" i="4" a="1"/>
  <c r="GT6" i="4" a="1"/>
  <c r="BN87" i="3"/>
  <c r="BK71" i="3"/>
  <c r="HE9" i="4" a="1"/>
  <c r="GX14" i="4" a="1"/>
  <c r="BJ48" i="3"/>
  <c r="HA8" i="4" a="1"/>
  <c r="HE13" i="4" a="1"/>
  <c r="GU11" i="4" a="1"/>
  <c r="FG13" i="4" a="1"/>
  <c r="GX6" i="4" a="1"/>
  <c r="GM13" i="4" a="1"/>
  <c r="BK96" i="3"/>
  <c r="GI11" i="4" a="1"/>
  <c r="GP8" i="4" a="1"/>
  <c r="BM66" i="3"/>
  <c r="BH60" i="3"/>
  <c r="BJ55" i="3"/>
  <c r="BS84" i="3"/>
  <c r="HA14" i="4" a="1"/>
  <c r="GA16" i="4" a="1"/>
  <c r="BC91" i="3"/>
  <c r="BC74" i="3"/>
  <c r="BC96" i="3"/>
  <c r="GY8" i="4" a="1"/>
  <c r="GZ14" i="4" a="1"/>
  <c r="FV9" i="4" a="1"/>
  <c r="BB93" i="3"/>
  <c r="GK7" i="4" a="1"/>
  <c r="BO69" i="3"/>
  <c r="GU5" i="4" a="1"/>
  <c r="BJ92" i="3"/>
  <c r="BS67" i="3"/>
  <c r="BL91" i="3"/>
  <c r="BJ86" i="3"/>
  <c r="BM57" i="3"/>
  <c r="BN77" i="3"/>
  <c r="BP83" i="3"/>
  <c r="BL56" i="3"/>
  <c r="BN97" i="3"/>
  <c r="GP5" i="4" a="1"/>
  <c r="GY16" i="4" a="1"/>
  <c r="GI5" i="4" a="1"/>
  <c r="FS15" i="4" a="1"/>
  <c r="BD72" i="3"/>
  <c r="GM8" i="4" a="1"/>
  <c r="GW14" i="4" a="1"/>
  <c r="GQ12" i="4" a="1"/>
  <c r="GF13" i="4" a="1"/>
  <c r="HF13" i="4" a="1"/>
  <c r="Y112" i="2"/>
  <c r="GK11" i="4" a="1"/>
  <c r="BA62" i="3"/>
  <c r="BG61" i="3"/>
  <c r="BG69" i="3"/>
  <c r="BE83" i="3"/>
  <c r="BR83" i="3"/>
  <c r="BM58" i="3"/>
  <c r="BI70" i="3"/>
  <c r="BO74" i="3"/>
  <c r="BG72" i="3"/>
  <c r="BS64" i="3"/>
  <c r="BF77" i="3"/>
  <c r="CL140" i="1" s="1"/>
  <c r="FV12" i="4" a="1"/>
  <c r="FO6" i="4" a="1"/>
  <c r="BA65" i="3"/>
  <c r="HC15" i="4" a="1"/>
  <c r="AA193" i="1" l="1"/>
  <c r="AA195" i="1" s="1"/>
  <c r="AA54" i="1"/>
  <c r="AA52" i="1"/>
  <c r="CL143" i="1"/>
  <c r="CL138" i="1"/>
  <c r="CL120" i="1"/>
  <c r="CL161" i="1"/>
  <c r="CL156" i="1"/>
  <c r="CL74" i="1"/>
  <c r="CL73" i="1"/>
  <c r="CL46" i="1"/>
  <c r="CL24" i="1"/>
  <c r="CL39" i="1"/>
  <c r="CL13" i="1"/>
  <c r="CL63" i="1"/>
  <c r="CL20" i="1"/>
  <c r="CL26" i="1" s="1"/>
  <c r="CL47" i="1"/>
  <c r="CL64" i="1"/>
  <c r="CL51" i="1"/>
  <c r="CL21" i="1"/>
  <c r="CL25" i="1"/>
  <c r="CL22" i="1"/>
  <c r="CL32" i="1"/>
  <c r="CL15" i="1"/>
  <c r="CL36" i="1"/>
  <c r="CL45" i="1"/>
  <c r="CL35" i="1"/>
  <c r="CL23" i="1"/>
  <c r="CL14" i="1"/>
  <c r="CL8" i="1"/>
  <c r="CL9" i="1"/>
  <c r="CJ135" i="1"/>
  <c r="KE16" i="4" s="1"/>
  <c r="JW16" i="4" s="1"/>
  <c r="KG9" i="4" s="1"/>
  <c r="CJ137" i="1"/>
  <c r="CJ117" i="1"/>
  <c r="CK117" i="1" s="1"/>
  <c r="JU14" i="4" s="1"/>
  <c r="CJ74" i="1"/>
  <c r="KB16" i="4" s="1"/>
  <c r="KE9" i="4" s="1"/>
  <c r="JQ7" i="4" s="1"/>
  <c r="CJ147" i="1"/>
  <c r="CJ142" i="1"/>
  <c r="CJ134" i="1"/>
  <c r="CJ154" i="1"/>
  <c r="KC16" i="4" s="1"/>
  <c r="KD9" i="4" s="1"/>
  <c r="JV15" i="4" s="1"/>
  <c r="JS9" i="4" s="1"/>
  <c r="JQ9" i="4" s="1"/>
  <c r="CH74" i="1"/>
  <c r="CJ133" i="1"/>
  <c r="CK133" i="1" s="1"/>
  <c r="KB9" i="4" s="1"/>
  <c r="CI74" i="1"/>
  <c r="KA9" i="4" s="1"/>
  <c r="CJ159" i="1"/>
  <c r="CJ152" i="1"/>
  <c r="JU16" i="4" s="1"/>
  <c r="CJ145" i="1"/>
  <c r="JV7" i="4" s="1"/>
  <c r="JT16" i="4" s="1"/>
  <c r="CJ149" i="1"/>
  <c r="KF9" i="4" s="1"/>
  <c r="CJ140" i="1"/>
  <c r="CK140" i="1" s="1"/>
  <c r="JY7" i="4" s="1"/>
  <c r="KG16" i="4" s="1"/>
  <c r="X73" i="1"/>
  <c r="JX9" i="4" s="1"/>
  <c r="CJ144" i="1"/>
  <c r="JV16" i="4" s="1"/>
  <c r="CK73" i="1"/>
  <c r="CJ124" i="1"/>
  <c r="CK124" i="1" s="1"/>
  <c r="JW14" i="4" s="1"/>
  <c r="JT8" i="4" s="1"/>
  <c r="CJ150" i="1"/>
  <c r="JY9" i="4" s="1"/>
  <c r="JU9" i="4" s="1"/>
  <c r="JY16" i="4" s="1"/>
  <c r="CJ118" i="1"/>
  <c r="CK74" i="1"/>
  <c r="CJ119" i="1"/>
  <c r="CJ151" i="1"/>
  <c r="JR16" i="4" s="1"/>
  <c r="KA16" i="4" s="1"/>
  <c r="JS7" i="4" s="1"/>
  <c r="JW9" i="4" s="1"/>
  <c r="JQ16" i="4" s="1"/>
  <c r="JQ21" i="4" s="1"/>
  <c r="CK77" i="1" s="1"/>
  <c r="JX16" i="4" s="1"/>
  <c r="JT14" i="4" s="1"/>
  <c r="JR14" i="4" s="1"/>
  <c r="KE8" i="4" s="1"/>
  <c r="CJ127" i="1"/>
  <c r="CJ164" i="1"/>
  <c r="JZ16" i="4" s="1"/>
  <c r="KH9" i="4" s="1"/>
  <c r="CJ125" i="1"/>
  <c r="KA15" i="4" s="1"/>
  <c r="KH15" i="4" s="1"/>
  <c r="KH16" i="4" s="1"/>
  <c r="KH21" i="4" s="1"/>
  <c r="KF16" i="4" s="1"/>
  <c r="JS8" i="4" s="1"/>
  <c r="Z74" i="1"/>
  <c r="Z73" i="1"/>
  <c r="CJ73" i="1"/>
  <c r="JY8" i="4" s="1"/>
  <c r="JS16" i="4" s="1"/>
  <c r="KG8" i="4" s="1"/>
  <c r="Y73" i="1"/>
  <c r="KD16" i="4" s="1"/>
  <c r="CJ146" i="1"/>
  <c r="JU7" i="4" s="1"/>
  <c r="CJ143" i="1"/>
  <c r="CJ163" i="1"/>
  <c r="CK163" i="1" s="1"/>
  <c r="CJ122" i="1"/>
  <c r="X74" i="1"/>
  <c r="CJ126" i="1"/>
  <c r="JS15" i="4" s="1"/>
  <c r="JS20" i="4" s="1"/>
  <c r="JX14" i="4" s="1"/>
  <c r="JR7" i="4" s="1"/>
  <c r="CJ155" i="1"/>
  <c r="CG73" i="1"/>
  <c r="KC9" i="4" s="1"/>
  <c r="CG74" i="1"/>
  <c r="JR9" i="4" s="1"/>
  <c r="CJ153" i="1"/>
  <c r="CJ160" i="1"/>
  <c r="JV9" i="4" s="1"/>
  <c r="CH73" i="1"/>
  <c r="JZ9" i="4" s="1"/>
  <c r="CI73" i="1"/>
  <c r="Y74" i="1"/>
  <c r="X151" i="1"/>
  <c r="Z78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X137" i="1"/>
  <c r="X171" i="1"/>
  <c r="Z22" i="1"/>
  <c r="CH23" i="1"/>
  <c r="CJ15" i="1"/>
  <c r="CK64" i="1"/>
  <c r="X132" i="1"/>
  <c r="JN9" i="4" s="1"/>
  <c r="Z151" i="1"/>
  <c r="CH151" i="1" s="1"/>
  <c r="Z117" i="1"/>
  <c r="Z118" i="1"/>
  <c r="CH118" i="1" s="1"/>
  <c r="CI118" i="1" s="1"/>
  <c r="CH22" i="1"/>
  <c r="CI47" i="1"/>
  <c r="Y118" i="1"/>
  <c r="JP9" i="4" s="1"/>
  <c r="Y170" i="1"/>
  <c r="X144" i="1"/>
  <c r="CI39" i="1"/>
  <c r="CJ8" i="1"/>
  <c r="X145" i="1"/>
  <c r="Y23" i="1"/>
  <c r="Z153" i="1"/>
  <c r="Y142" i="1"/>
  <c r="CH51" i="1"/>
  <c r="Y171" i="1"/>
  <c r="CK51" i="1"/>
  <c r="Y149" i="1"/>
  <c r="Y24" i="1"/>
  <c r="CH32" i="1"/>
  <c r="Z46" i="1"/>
  <c r="CK47" i="1"/>
  <c r="Z47" i="1"/>
  <c r="CJ20" i="1"/>
  <c r="Y13" i="1"/>
  <c r="Z147" i="1"/>
  <c r="CH147" i="1" s="1"/>
  <c r="X35" i="1"/>
  <c r="CK46" i="1"/>
  <c r="CM46" i="1" s="1"/>
  <c r="CN46" i="1" s="1"/>
  <c r="CO46" i="1" s="1"/>
  <c r="CP46" i="1" s="1"/>
  <c r="CQ46" i="1" s="1"/>
  <c r="CR46" i="1" s="1"/>
  <c r="CS46" i="1" s="1"/>
  <c r="CT46" i="1" s="1"/>
  <c r="CU46" i="1" s="1"/>
  <c r="X24" i="1"/>
  <c r="CH20" i="1"/>
  <c r="CJ9" i="1"/>
  <c r="X155" i="1"/>
  <c r="CH35" i="1"/>
  <c r="JP7" i="4" s="1"/>
  <c r="CG8" i="1"/>
  <c r="Z144" i="1"/>
  <c r="Z155" i="1"/>
  <c r="CH155" i="1" s="1"/>
  <c r="Y117" i="1"/>
  <c r="X160" i="1"/>
  <c r="Y124" i="1"/>
  <c r="Z67" i="1"/>
  <c r="CJ46" i="1"/>
  <c r="JO16" i="4" s="1"/>
  <c r="Z145" i="1"/>
  <c r="X36" i="1"/>
  <c r="CJ13" i="1"/>
  <c r="CI35" i="1"/>
  <c r="Z9" i="1"/>
  <c r="Z122" i="1"/>
  <c r="CH122" i="1" s="1"/>
  <c r="CI122" i="1" s="1"/>
  <c r="X147" i="1"/>
  <c r="CG35" i="1"/>
  <c r="Y15" i="1"/>
  <c r="Z51" i="1"/>
  <c r="Z124" i="1"/>
  <c r="CI32" i="1"/>
  <c r="Z149" i="1"/>
  <c r="X117" i="1"/>
  <c r="CG24" i="1"/>
  <c r="Y9" i="1"/>
  <c r="CH13" i="1"/>
  <c r="X39" i="1"/>
  <c r="Y39" i="1"/>
  <c r="Y8" i="1"/>
  <c r="Y122" i="1"/>
  <c r="CH45" i="1"/>
  <c r="CK14" i="1"/>
  <c r="CJ22" i="1"/>
  <c r="X159" i="1"/>
  <c r="Y133" i="1"/>
  <c r="X32" i="1"/>
  <c r="X77" i="1"/>
  <c r="Y135" i="1"/>
  <c r="Y131" i="1" s="1"/>
  <c r="CG32" i="1"/>
  <c r="Y145" i="1"/>
  <c r="Y163" i="1"/>
  <c r="X126" i="1"/>
  <c r="X154" i="1" s="1"/>
  <c r="CK32" i="1"/>
  <c r="CK194" i="1" s="1"/>
  <c r="Z125" i="1"/>
  <c r="CH125" i="1" s="1"/>
  <c r="CI125" i="1" s="1"/>
  <c r="Z15" i="1"/>
  <c r="Z150" i="1"/>
  <c r="CH150" i="1" s="1"/>
  <c r="X133" i="1"/>
  <c r="CI24" i="1"/>
  <c r="CJ39" i="1"/>
  <c r="X46" i="1"/>
  <c r="Z160" i="1"/>
  <c r="CH160" i="1" s="1"/>
  <c r="Z135" i="1"/>
  <c r="CH135" i="1" s="1"/>
  <c r="CI135" i="1" s="1"/>
  <c r="CI46" i="1"/>
  <c r="CJ23" i="1"/>
  <c r="X20" i="1"/>
  <c r="Z164" i="1"/>
  <c r="CH164" i="1" s="1"/>
  <c r="CI164" i="1" s="1"/>
  <c r="CK23" i="1"/>
  <c r="JO9" i="4" s="1"/>
  <c r="X170" i="1"/>
  <c r="X47" i="1"/>
  <c r="X15" i="1"/>
  <c r="Z170" i="1"/>
  <c r="X79" i="1"/>
  <c r="X150" i="1"/>
  <c r="Y79" i="1"/>
  <c r="X146" i="1"/>
  <c r="Z146" i="1"/>
  <c r="CH146" i="1" s="1"/>
  <c r="Z39" i="1"/>
  <c r="Y164" i="1"/>
  <c r="X78" i="1"/>
  <c r="Y36" i="1"/>
  <c r="CK21" i="1"/>
  <c r="Z142" i="1"/>
  <c r="CJ32" i="1"/>
  <c r="X8" i="1"/>
  <c r="Z32" i="1"/>
  <c r="X149" i="1"/>
  <c r="Y45" i="1"/>
  <c r="CG20" i="1"/>
  <c r="X143" i="1"/>
  <c r="Y143" i="1"/>
  <c r="Y147" i="1"/>
  <c r="CG9" i="1"/>
  <c r="CJ14" i="1"/>
  <c r="X153" i="1"/>
  <c r="Y119" i="1"/>
  <c r="X51" i="1"/>
  <c r="Z159" i="1"/>
  <c r="CG25" i="1"/>
  <c r="X25" i="1"/>
  <c r="CJ24" i="1"/>
  <c r="X125" i="1"/>
  <c r="CG36" i="1"/>
  <c r="Y47" i="1"/>
  <c r="X119" i="1"/>
  <c r="Y46" i="1"/>
  <c r="Z163" i="1"/>
  <c r="Y151" i="1"/>
  <c r="CK24" i="1"/>
  <c r="Y137" i="1"/>
  <c r="X21" i="1"/>
  <c r="Z20" i="1"/>
  <c r="Z21" i="1"/>
  <c r="Y32" i="1"/>
  <c r="Y127" i="1"/>
  <c r="Y51" i="1"/>
  <c r="Y155" i="1"/>
  <c r="CJ35" i="1"/>
  <c r="CI23" i="1"/>
  <c r="Y21" i="1"/>
  <c r="CI15" i="1"/>
  <c r="CK15" i="1"/>
  <c r="CI22" i="1"/>
  <c r="CG47" i="1"/>
  <c r="CB13" i="1"/>
  <c r="CK8" i="1"/>
  <c r="Y160" i="1"/>
  <c r="CJ21" i="1"/>
  <c r="Y144" i="1"/>
  <c r="Z127" i="1"/>
  <c r="CH127" i="1" s="1"/>
  <c r="CI127" i="1" s="1"/>
  <c r="CG45" i="1"/>
  <c r="CJ47" i="1"/>
  <c r="CI8" i="1"/>
  <c r="CI20" i="1"/>
  <c r="Y132" i="1"/>
  <c r="CG15" i="1"/>
  <c r="CJ36" i="1"/>
  <c r="CI45" i="1"/>
  <c r="Y125" i="1"/>
  <c r="CK35" i="1"/>
  <c r="Y78" i="1"/>
  <c r="Y35" i="1"/>
  <c r="Z126" i="1"/>
  <c r="CH126" i="1" s="1"/>
  <c r="CI126" i="1" s="1"/>
  <c r="X164" i="1"/>
  <c r="Z119" i="1"/>
  <c r="CH119" i="1" s="1"/>
  <c r="CG46" i="1"/>
  <c r="CH36" i="1"/>
  <c r="Z36" i="1"/>
  <c r="Y136" i="1"/>
  <c r="CK13" i="1"/>
  <c r="CI51" i="1"/>
  <c r="CI36" i="1"/>
  <c r="CK39" i="1"/>
  <c r="CG14" i="1"/>
  <c r="CH15" i="1"/>
  <c r="Y77" i="1"/>
  <c r="CI9" i="1"/>
  <c r="CG21" i="1"/>
  <c r="CH24" i="1"/>
  <c r="CI14" i="1"/>
  <c r="X9" i="1"/>
  <c r="CG51" i="1"/>
  <c r="X142" i="1"/>
  <c r="X23" i="1"/>
  <c r="Z133" i="1"/>
  <c r="CH133" i="1" s="1"/>
  <c r="CI133" i="1" s="1"/>
  <c r="CE39" i="1"/>
  <c r="X67" i="1"/>
  <c r="Y22" i="1"/>
  <c r="CH21" i="1"/>
  <c r="X124" i="1"/>
  <c r="CH46" i="1"/>
  <c r="X13" i="1"/>
  <c r="CH8" i="1"/>
  <c r="Z13" i="1"/>
  <c r="CJ51" i="1"/>
  <c r="Z8" i="1"/>
  <c r="CH9" i="1"/>
  <c r="Z137" i="1"/>
  <c r="CH137" i="1" s="1"/>
  <c r="CI137" i="1" s="1"/>
  <c r="Y150" i="1"/>
  <c r="X127" i="1"/>
  <c r="Z143" i="1"/>
  <c r="CH143" i="1" s="1"/>
  <c r="Y153" i="1"/>
  <c r="CK36" i="1"/>
  <c r="CI21" i="1"/>
  <c r="CG39" i="1"/>
  <c r="CG13" i="1"/>
  <c r="CK63" i="1"/>
  <c r="X22" i="1"/>
  <c r="X140" i="1"/>
  <c r="Z23" i="1"/>
  <c r="Y140" i="1"/>
  <c r="X122" i="1"/>
  <c r="CJ25" i="1"/>
  <c r="Z45" i="1"/>
  <c r="CG22" i="1"/>
  <c r="Y146" i="1"/>
  <c r="Y126" i="1"/>
  <c r="Y154" i="1" s="1"/>
  <c r="Y25" i="1"/>
  <c r="Z172" i="1"/>
  <c r="CJ45" i="1"/>
  <c r="Y159" i="1"/>
  <c r="Z140" i="1"/>
  <c r="CH47" i="1"/>
  <c r="CH25" i="1"/>
  <c r="Z77" i="1"/>
  <c r="CK20" i="1"/>
  <c r="CK9" i="1"/>
  <c r="Z132" i="1"/>
  <c r="CH132" i="1" s="1"/>
  <c r="CI25" i="1"/>
  <c r="Y172" i="1"/>
  <c r="Z24" i="1"/>
  <c r="X135" i="1"/>
  <c r="X131" i="1" s="1"/>
  <c r="X45" i="1"/>
  <c r="CK25" i="1"/>
  <c r="JP16" i="4" s="1"/>
  <c r="JP21" i="4" s="1"/>
  <c r="CJ77" i="1" s="1"/>
  <c r="Z79" i="1"/>
  <c r="JN16" i="4" s="1"/>
  <c r="JN21" i="4" s="1"/>
  <c r="CH77" i="1" s="1"/>
  <c r="Z171" i="1"/>
  <c r="X172" i="1"/>
  <c r="Y20" i="1"/>
  <c r="X163" i="1"/>
  <c r="CK45" i="1"/>
  <c r="CM45" i="1" s="1"/>
  <c r="CH39" i="1"/>
  <c r="CH14" i="1"/>
  <c r="CJ63" i="1"/>
  <c r="X118" i="1"/>
  <c r="X136" i="1"/>
  <c r="Z136" i="1"/>
  <c r="CH136" i="1" s="1"/>
  <c r="CI136" i="1" s="1"/>
  <c r="CK22" i="1"/>
  <c r="Y67" i="1"/>
  <c r="Z35" i="1"/>
  <c r="CI13" i="1"/>
  <c r="Z25" i="1"/>
  <c r="AC35" i="1"/>
  <c r="O5" i="6" a="1"/>
  <c r="AS18" i="3"/>
  <c r="AY12" i="3"/>
  <c r="AO6" i="6" a="1"/>
  <c r="AF23" i="3"/>
  <c r="EM11" i="4" a="1"/>
  <c r="EO13" i="4" a="1"/>
  <c r="AX6" i="3"/>
  <c r="EM9" i="4" a="1"/>
  <c r="AF32" i="3"/>
  <c r="AV33" i="3"/>
  <c r="AY11" i="3"/>
  <c r="AX11" i="3"/>
  <c r="AS42" i="3"/>
  <c r="EL7" i="4" a="1"/>
  <c r="AY45" i="3"/>
  <c r="AO5" i="6" a="1"/>
  <c r="AV28" i="3"/>
  <c r="AP5" i="6" a="1"/>
  <c r="AY41" i="3"/>
  <c r="EW14" i="4" a="1"/>
  <c r="AF13" i="3"/>
  <c r="AX38" i="3"/>
  <c r="ET9" i="4" a="1"/>
  <c r="AX7" i="3"/>
  <c r="AS36" i="3"/>
  <c r="AW36" i="3"/>
  <c r="AH6" i="6" a="1"/>
  <c r="ES14" i="4" a="1"/>
  <c r="EN8" i="4" a="1"/>
  <c r="AU10" i="3"/>
  <c r="EM5" i="4" a="1"/>
  <c r="ET14" i="4" a="1"/>
  <c r="AZ28" i="3"/>
  <c r="AW41" i="3"/>
  <c r="AU11" i="3"/>
  <c r="AS14" i="3"/>
  <c r="ET7" i="4" a="1"/>
  <c r="AS8" i="3"/>
  <c r="AV45" i="3"/>
  <c r="AZ6" i="3"/>
  <c r="AX16" i="3"/>
  <c r="AU21" i="3"/>
  <c r="AS26" i="3"/>
  <c r="AW32" i="3"/>
  <c r="ER8" i="4" a="1"/>
  <c r="EP6" i="4" a="1"/>
  <c r="AX23" i="3"/>
  <c r="AX18" i="3"/>
  <c r="AF24" i="3"/>
  <c r="AZ31" i="3"/>
  <c r="AV5" i="6" a="1"/>
  <c r="AT40" i="3"/>
  <c r="AF18" i="3"/>
  <c r="AS33" i="3"/>
  <c r="AL6" i="6" a="1"/>
  <c r="C6" i="4" a="1"/>
  <c r="EN9" i="4" a="1"/>
  <c r="ES9" i="4" a="1"/>
  <c r="R6" i="6" a="1"/>
  <c r="AY13" i="3"/>
  <c r="AW39" i="3"/>
  <c r="AX5" i="3"/>
  <c r="AZ37" i="3"/>
  <c r="AU40" i="3"/>
  <c r="AP7" i="3"/>
  <c r="EN12" i="4" a="1"/>
  <c r="AY39" i="3"/>
  <c r="F46" i="3"/>
  <c r="AW23" i="3"/>
  <c r="O6" i="6" a="1"/>
  <c r="AU12" i="3"/>
  <c r="AB6" i="6" a="1"/>
  <c r="AF45" i="3"/>
  <c r="AX32" i="3"/>
  <c r="EV5" i="4" a="1"/>
  <c r="AY28" i="3"/>
  <c r="AF33" i="3"/>
  <c r="EP5" i="4" a="1"/>
  <c r="AT22" i="3"/>
  <c r="S5" i="6" a="1"/>
  <c r="AP6" i="3"/>
  <c r="AS27" i="3"/>
  <c r="AV21" i="3"/>
  <c r="AT25" i="3"/>
  <c r="AS32" i="3"/>
  <c r="AU15" i="3"/>
  <c r="AS39" i="3"/>
  <c r="AB5" i="3"/>
  <c r="C5" i="3"/>
  <c r="AU18" i="3"/>
  <c r="AT21" i="3"/>
  <c r="AF7" i="3"/>
  <c r="ER5" i="4" a="1"/>
  <c r="AS31" i="3"/>
  <c r="AV29" i="3"/>
  <c r="AV39" i="3"/>
  <c r="AS40" i="3"/>
  <c r="AX37" i="3"/>
  <c r="EU11" i="4" a="1"/>
  <c r="AW28" i="3"/>
  <c r="AX21" i="3"/>
  <c r="AU26" i="3"/>
  <c r="AZ34" i="3"/>
  <c r="AU5" i="3"/>
  <c r="AI6" i="6" a="1"/>
  <c r="AW18" i="3"/>
  <c r="EN13" i="4" a="1"/>
  <c r="AZ8" i="3"/>
  <c r="AY17" i="3"/>
  <c r="AT6" i="6" a="1"/>
  <c r="EP15" i="4" a="1"/>
  <c r="EN6" i="4" a="1"/>
  <c r="EU7" i="4" a="1"/>
  <c r="I5" i="6" a="1"/>
  <c r="ET12" i="4" a="1"/>
  <c r="AX20" i="3"/>
  <c r="AT10" i="3"/>
  <c r="AZ39" i="3"/>
  <c r="ER6" i="4" a="1"/>
  <c r="AP6" i="6" a="1"/>
  <c r="AW38" i="3"/>
  <c r="W6" i="6" a="1"/>
  <c r="EQ14" i="4" a="1"/>
  <c r="EP9" i="4" a="1"/>
  <c r="AY35" i="3"/>
  <c r="AW6" i="6" a="1"/>
  <c r="AV41" i="3"/>
  <c r="AV16" i="3"/>
  <c r="ET16" i="4" a="1"/>
  <c r="AY25" i="3"/>
  <c r="AX15" i="3"/>
  <c r="AF26" i="3"/>
  <c r="AS30" i="3"/>
  <c r="EU6" i="4" a="1"/>
  <c r="AF16" i="3"/>
  <c r="AY5" i="3"/>
  <c r="AT12" i="3"/>
  <c r="M5" i="6" a="1"/>
  <c r="EU13" i="4" a="1"/>
  <c r="AU34" i="3"/>
  <c r="AU27" i="3"/>
  <c r="AU28" i="3"/>
  <c r="AS24" i="3"/>
  <c r="AZ32" i="3"/>
  <c r="AS25" i="3"/>
  <c r="AX6" i="6" a="1"/>
  <c r="EQ5" i="4" a="1"/>
  <c r="AW11" i="3"/>
  <c r="AZ30" i="3"/>
  <c r="EU12" i="4" a="1"/>
  <c r="AS34" i="3"/>
  <c r="AW35" i="3"/>
  <c r="AT11" i="3"/>
  <c r="EL11" i="4" a="1"/>
  <c r="AX5" i="6" a="1"/>
  <c r="EP13" i="4" a="1"/>
  <c r="AX27" i="3"/>
  <c r="AV30" i="3"/>
  <c r="AE5" i="6" a="1"/>
  <c r="AZ13" i="3"/>
  <c r="EW9" i="4" a="1"/>
  <c r="AU25" i="3"/>
  <c r="L6" i="6" a="1"/>
  <c r="Z5" i="6" a="1"/>
  <c r="AF46" i="3"/>
  <c r="AZ27" i="3"/>
  <c r="EL14" i="4" a="1"/>
  <c r="AY27" i="3"/>
  <c r="AH5" i="6" a="1"/>
  <c r="AF39" i="3"/>
  <c r="ES5" i="4" a="1"/>
  <c r="AZ46" i="3"/>
  <c r="AV20" i="3"/>
  <c r="AT5" i="3"/>
  <c r="V6" i="6" a="1"/>
  <c r="EL16" i="4" a="1"/>
  <c r="AT42" i="3"/>
  <c r="AU39" i="3"/>
  <c r="EQ15" i="4" a="1"/>
  <c r="AX9" i="3"/>
  <c r="AU37" i="3"/>
  <c r="C6" i="6" a="1"/>
  <c r="AY9" i="3"/>
  <c r="AT31" i="3"/>
  <c r="AT5" i="6" a="1"/>
  <c r="EN16" i="4" a="1"/>
  <c r="AY24" i="3"/>
  <c r="AV8" i="3"/>
  <c r="AF5" i="3"/>
  <c r="AZ26" i="3"/>
  <c r="EV16" i="4" a="1"/>
  <c r="AF31" i="3"/>
  <c r="AP5" i="3"/>
  <c r="AV32" i="3"/>
  <c r="C5" i="4" a="1"/>
  <c r="AV25" i="3"/>
  <c r="EP11" i="4" a="1"/>
  <c r="N5" i="6" a="1"/>
  <c r="C5" i="6" a="1"/>
  <c r="N6" i="6" a="1"/>
  <c r="AV19" i="3"/>
  <c r="EW16" i="4" a="1"/>
  <c r="EU5" i="4" a="1"/>
  <c r="AW13" i="3"/>
  <c r="AU22" i="3"/>
  <c r="AS13" i="3"/>
  <c r="AT19" i="3"/>
  <c r="AY40" i="3"/>
  <c r="AZ24" i="3"/>
  <c r="AZ22" i="3"/>
  <c r="BK84" i="3"/>
  <c r="AU41" i="3"/>
  <c r="AF6" i="6" a="1"/>
  <c r="AY21" i="3"/>
  <c r="AT32" i="3"/>
  <c r="AU30" i="3"/>
  <c r="ES16" i="4" a="1"/>
  <c r="EV13" i="4" a="1"/>
  <c r="ER12" i="4" a="1"/>
  <c r="AF41" i="3"/>
  <c r="AZ20" i="3"/>
  <c r="ES11" i="4" a="1"/>
  <c r="AF12" i="3"/>
  <c r="Y6" i="6" a="1"/>
  <c r="ES15" i="4" a="1"/>
  <c r="F45" i="3"/>
  <c r="U6" i="6" a="1"/>
  <c r="AZ29" i="3"/>
  <c r="ET5" i="4" a="1"/>
  <c r="EN15" i="4" a="1"/>
  <c r="ET15" i="4" a="1"/>
  <c r="AY32" i="3"/>
  <c r="AF8" i="3"/>
  <c r="AU32" i="3"/>
  <c r="EL15" i="4" a="1"/>
  <c r="AY8" i="3"/>
  <c r="AS37" i="3"/>
  <c r="AC5" i="6" a="1"/>
  <c r="EV14" i="4" a="1"/>
  <c r="AW20" i="3"/>
  <c r="AW29" i="3"/>
  <c r="AS35" i="3"/>
  <c r="AU14" i="3"/>
  <c r="AZ42" i="3"/>
  <c r="AF37" i="3"/>
  <c r="AX45" i="3"/>
  <c r="AF11" i="3"/>
  <c r="AY23" i="3"/>
  <c r="AU17" i="3"/>
  <c r="AC6" i="6" a="1"/>
  <c r="AZ25" i="3"/>
  <c r="AX46" i="3"/>
  <c r="Y5" i="6" a="1"/>
  <c r="AV11" i="3"/>
  <c r="AW12" i="3"/>
  <c r="AS21" i="3"/>
  <c r="AU45" i="3"/>
  <c r="AU7" i="3"/>
  <c r="EV15" i="4" a="1"/>
  <c r="AZ16" i="3"/>
  <c r="AS6" i="3"/>
  <c r="AW31" i="3"/>
  <c r="AX42" i="3"/>
  <c r="M6" i="6" a="1"/>
  <c r="AF17" i="3"/>
  <c r="AA5" i="6" a="1"/>
  <c r="AT23" i="3"/>
  <c r="S6" i="6" a="1"/>
  <c r="AY5" i="6" a="1"/>
  <c r="AW5" i="3"/>
  <c r="AY34" i="3"/>
  <c r="AY33" i="3"/>
  <c r="EP14" i="4" a="1"/>
  <c r="ES13" i="4" a="1"/>
  <c r="AY20" i="3"/>
  <c r="EP8" i="4" a="1"/>
  <c r="AW15" i="3"/>
  <c r="AU9" i="3"/>
  <c r="AV5" i="3"/>
  <c r="EN11" i="4" a="1"/>
  <c r="AV46" i="3"/>
  <c r="AF30" i="3"/>
  <c r="AW10" i="3"/>
  <c r="AN5" i="6" a="1"/>
  <c r="EQ6" i="4" a="1"/>
  <c r="AE6" i="6" a="1"/>
  <c r="AT7" i="3"/>
  <c r="EN7" i="4" a="1"/>
  <c r="AW40" i="3"/>
  <c r="AF10" i="3"/>
  <c r="AX39" i="3"/>
  <c r="EV9" i="4" a="1"/>
  <c r="AF28" i="3"/>
  <c r="G6" i="6" a="1"/>
  <c r="AT35" i="3"/>
  <c r="AS6" i="6" a="1"/>
  <c r="AY6" i="6" a="1"/>
  <c r="AU24" i="3"/>
  <c r="EQ13" i="4" a="1"/>
  <c r="AV38" i="3"/>
  <c r="AZ36" i="3"/>
  <c r="AZ45" i="3"/>
  <c r="AY38" i="3"/>
  <c r="EV8" i="4" a="1"/>
  <c r="G5" i="6" a="1"/>
  <c r="AX22" i="3"/>
  <c r="T6" i="6" a="1"/>
  <c r="AZ5" i="3"/>
  <c r="EO12" i="4" a="1"/>
  <c r="AY30" i="3"/>
  <c r="AZ7" i="3"/>
  <c r="AV27" i="3"/>
  <c r="EO7" i="4" a="1"/>
  <c r="AS23" i="3"/>
  <c r="AW6" i="3"/>
  <c r="AT17" i="3"/>
  <c r="AS29" i="3"/>
  <c r="ER16" i="4" a="1"/>
  <c r="AZ33" i="3"/>
  <c r="AY18" i="3"/>
  <c r="AT34" i="3"/>
  <c r="EU16" i="4" a="1"/>
  <c r="AY14" i="3"/>
  <c r="AY10" i="3"/>
  <c r="AZ38" i="3"/>
  <c r="F5" i="6" a="1"/>
  <c r="P6" i="6" a="1"/>
  <c r="AY36" i="3"/>
  <c r="ES6" i="4" a="1"/>
  <c r="AX33" i="3"/>
  <c r="E5" i="6" a="1"/>
  <c r="AK6" i="6" a="1"/>
  <c r="Z6" i="6" a="1"/>
  <c r="AZ14" i="3"/>
  <c r="AX14" i="3"/>
  <c r="AR5" i="6" a="1"/>
  <c r="EW7" i="4" a="1"/>
  <c r="J5" i="6" a="1"/>
  <c r="AT39" i="3"/>
  <c r="AV13" i="3"/>
  <c r="AF15" i="3"/>
  <c r="EQ7" i="4" a="1"/>
  <c r="AT8" i="3"/>
  <c r="AF29" i="3"/>
  <c r="EP12" i="4" a="1"/>
  <c r="T5" i="6" a="1"/>
  <c r="AS7" i="3"/>
  <c r="AZ10" i="3"/>
  <c r="AY16" i="3"/>
  <c r="EU15" i="4" a="1"/>
  <c r="H5" i="6" a="1"/>
  <c r="AV22" i="3"/>
  <c r="AU8" i="3"/>
  <c r="AT37" i="3"/>
  <c r="AV14" i="3"/>
  <c r="AX8" i="3"/>
  <c r="EV6" i="4" a="1"/>
  <c r="EU8" i="4" a="1"/>
  <c r="D6" i="6" a="1"/>
  <c r="AU33" i="3"/>
  <c r="AW46" i="3"/>
  <c r="AG6" i="6" a="1"/>
  <c r="AV31" i="3"/>
  <c r="ER9" i="4" a="1"/>
  <c r="AS16" i="3"/>
  <c r="EW6" i="4" a="1"/>
  <c r="AW45" i="3"/>
  <c r="ES8" i="4" a="1"/>
  <c r="AS17" i="3"/>
  <c r="AV9" i="3"/>
  <c r="AV35" i="3"/>
  <c r="ER7" i="4" a="1"/>
  <c r="AW37" i="3"/>
  <c r="K5" i="6" a="1"/>
  <c r="AV12" i="3"/>
  <c r="EV7" i="4" a="1"/>
  <c r="AU20" i="3"/>
  <c r="AU19" i="3"/>
  <c r="AZ17" i="3"/>
  <c r="AX34" i="3"/>
  <c r="AT28" i="3"/>
  <c r="AU46" i="3"/>
  <c r="AZ12" i="3"/>
  <c r="AA6" i="6" a="1"/>
  <c r="AM5" i="6" a="1"/>
  <c r="EM14" i="4" a="1"/>
  <c r="AQ5" i="6" a="1"/>
  <c r="AF25" i="3"/>
  <c r="AS46" i="3"/>
  <c r="AU36" i="3"/>
  <c r="AU13" i="3"/>
  <c r="AF36" i="3"/>
  <c r="AT6" i="3"/>
  <c r="ER13" i="4" a="1"/>
  <c r="AU31" i="3"/>
  <c r="AV6" i="3"/>
  <c r="AY22" i="3"/>
  <c r="AW14" i="3"/>
  <c r="AT18" i="3"/>
  <c r="AS5" i="3"/>
  <c r="ES7" i="4" a="1"/>
  <c r="EM15" i="4" a="1"/>
  <c r="AU23" i="3"/>
  <c r="R5" i="6" a="1"/>
  <c r="AF21" i="3"/>
  <c r="AS19" i="3"/>
  <c r="AU6" i="3"/>
  <c r="AW9" i="3"/>
  <c r="EP7" i="4" a="1"/>
  <c r="AZ15" i="3"/>
  <c r="AJ5" i="6" a="1"/>
  <c r="EL13" i="4" a="1"/>
  <c r="K6" i="6" a="1"/>
  <c r="AX28" i="3"/>
  <c r="AX10" i="3"/>
  <c r="AT41" i="3"/>
  <c r="U5" i="6" a="1"/>
  <c r="AM6" i="6" a="1"/>
  <c r="AY15" i="3"/>
  <c r="ET11" i="4" a="1"/>
  <c r="AF35" i="3"/>
  <c r="V5" i="6" a="1"/>
  <c r="AN6" i="6" a="1"/>
  <c r="AV17" i="3"/>
  <c r="AV6" i="6" a="1"/>
  <c r="EL9" i="4" a="1"/>
  <c r="EW11" i="4" a="1"/>
  <c r="AS9" i="3"/>
  <c r="D5" i="6" a="1"/>
  <c r="AF42" i="3"/>
  <c r="AU6" i="6" a="1"/>
  <c r="AX29" i="3"/>
  <c r="AT14" i="3"/>
  <c r="AS38" i="3"/>
  <c r="AD5" i="6" a="1"/>
  <c r="AW24" i="3"/>
  <c r="EL8" i="4" a="1"/>
  <c r="AR6" i="6" a="1"/>
  <c r="AV18" i="3"/>
  <c r="J6" i="6" a="1"/>
  <c r="AZ19" i="3"/>
  <c r="AY7" i="3"/>
  <c r="AX35" i="3"/>
  <c r="AS41" i="3"/>
  <c r="AD6" i="6" a="1"/>
  <c r="AF5" i="6" a="1"/>
  <c r="AL5" i="6" a="1"/>
  <c r="ET6" i="4" a="1"/>
  <c r="AT33" i="3"/>
  <c r="AQ6" i="6" a="1"/>
  <c r="AV42" i="3"/>
  <c r="AY42" i="3"/>
  <c r="AF19" i="3"/>
  <c r="AX31" i="3"/>
  <c r="AW5" i="6" a="1"/>
  <c r="AT38" i="3"/>
  <c r="AX24" i="3"/>
  <c r="AF27" i="3"/>
  <c r="L5" i="6" a="1"/>
  <c r="X5" i="6" a="1"/>
  <c r="ET8" i="4" a="1"/>
  <c r="AZ40" i="3"/>
  <c r="AX30" i="3"/>
  <c r="AU5" i="6" a="1"/>
  <c r="Q5" i="6" a="1"/>
  <c r="AU29" i="3"/>
  <c r="W5" i="6" a="1"/>
  <c r="AV15" i="3"/>
  <c r="EN14" i="4" a="1"/>
  <c r="EW13" i="4" a="1"/>
  <c r="H6" i="6" a="1"/>
  <c r="AF20" i="3"/>
  <c r="AW33" i="3"/>
  <c r="AF14" i="3"/>
  <c r="EQ16" i="4" a="1"/>
  <c r="EO11" i="4" a="1"/>
  <c r="EU9" i="4" a="1"/>
  <c r="AT27" i="3"/>
  <c r="AT13" i="3"/>
  <c r="AX17" i="3"/>
  <c r="AW7" i="3"/>
  <c r="AV36" i="3"/>
  <c r="AW25" i="3"/>
  <c r="EM16" i="4" a="1"/>
  <c r="AS11" i="3"/>
  <c r="AU16" i="3"/>
  <c r="EQ8" i="4" a="1"/>
  <c r="AT20" i="3"/>
  <c r="AW27" i="3"/>
  <c r="AF22" i="3"/>
  <c r="AT15" i="3"/>
  <c r="AW26" i="3"/>
  <c r="AT26" i="3"/>
  <c r="ER11" i="4" a="1"/>
  <c r="EM7" i="4" a="1"/>
  <c r="AZ18" i="3"/>
  <c r="AR6" i="3"/>
  <c r="AW34" i="3"/>
  <c r="AF6" i="3"/>
  <c r="AS10" i="3"/>
  <c r="EM12" i="4" a="1"/>
  <c r="EU14" i="4" a="1"/>
  <c r="AV7" i="3"/>
  <c r="EN5" i="4" a="1"/>
  <c r="AS5" i="6" a="1"/>
  <c r="AV23" i="3"/>
  <c r="AK5" i="6" a="1"/>
  <c r="AX25" i="3"/>
  <c r="AW42" i="3"/>
  <c r="AY6" i="3"/>
  <c r="AT30" i="3"/>
  <c r="AR5" i="3"/>
  <c r="EM13" i="4" a="1"/>
  <c r="AZ23" i="3"/>
  <c r="EW12" i="4" a="1"/>
  <c r="AX19" i="3"/>
  <c r="EQ9" i="4" a="1"/>
  <c r="AS28" i="3"/>
  <c r="Q6" i="6" a="1"/>
  <c r="AV24" i="3"/>
  <c r="EW5" i="4" a="1"/>
  <c r="AS20" i="3"/>
  <c r="AT36" i="3"/>
  <c r="AV34" i="3"/>
  <c r="ER14" i="4" a="1"/>
  <c r="ES12" i="4" a="1"/>
  <c r="AX36" i="3"/>
  <c r="F6" i="6" a="1"/>
  <c r="AX13" i="3"/>
  <c r="EO6" i="4" a="1"/>
  <c r="AT29" i="3"/>
  <c r="AB5" i="6" a="1"/>
  <c r="EO9" i="4" a="1"/>
  <c r="AW17" i="3"/>
  <c r="EQ12" i="4" a="1"/>
  <c r="EL12" i="4" a="1"/>
  <c r="AS12" i="3"/>
  <c r="E6" i="6" a="1"/>
  <c r="AT16" i="3"/>
  <c r="AU38" i="3"/>
  <c r="AT9" i="3"/>
  <c r="EL5" i="4" a="1"/>
  <c r="AS15" i="3"/>
  <c r="AF9" i="3"/>
  <c r="AZ11" i="3"/>
  <c r="AI5" i="6" a="1"/>
  <c r="AG5" i="6" a="1"/>
  <c r="AV37" i="3"/>
  <c r="EV11" i="4" a="1"/>
  <c r="EP16" i="4" a="1"/>
  <c r="AX40" i="3"/>
  <c r="EM8" i="4" a="1"/>
  <c r="EW8" i="4" a="1"/>
  <c r="AZ41" i="3"/>
  <c r="ER15" i="4" a="1"/>
  <c r="AW30" i="3"/>
  <c r="AF34" i="3"/>
  <c r="EO8" i="4" a="1"/>
  <c r="AT24" i="3"/>
  <c r="AS45" i="3"/>
  <c r="AX26" i="3"/>
  <c r="I6" i="6" a="1"/>
  <c r="EM6" i="4" a="1"/>
  <c r="AW16" i="3"/>
  <c r="P5" i="6" a="1"/>
  <c r="AU35" i="3"/>
  <c r="EO14" i="4" a="1"/>
  <c r="ET13" i="4" a="1"/>
  <c r="AZ35" i="3"/>
  <c r="AW8" i="3"/>
  <c r="EQ11" i="4" a="1"/>
  <c r="AT46" i="3"/>
  <c r="AU42" i="3"/>
  <c r="AY26" i="3"/>
  <c r="AW19" i="3"/>
  <c r="EV12" i="4" a="1"/>
  <c r="AF38" i="3"/>
  <c r="EO15" i="4" a="1"/>
  <c r="EL6" i="4" a="1"/>
  <c r="AF40" i="3"/>
  <c r="AS22" i="3"/>
  <c r="AV40" i="3"/>
  <c r="AW21" i="3"/>
  <c r="AX41" i="3"/>
  <c r="AZ21" i="3"/>
  <c r="AZ9" i="3"/>
  <c r="AY19" i="3"/>
  <c r="X6" i="6" a="1"/>
  <c r="AY46" i="3"/>
  <c r="EO16" i="4" a="1"/>
  <c r="AT45" i="3"/>
  <c r="AY37" i="3"/>
  <c r="AR7" i="3"/>
  <c r="AW22" i="3"/>
  <c r="EO5" i="4" a="1"/>
  <c r="AV26" i="3"/>
  <c r="AX12" i="3"/>
  <c r="AY31" i="3"/>
  <c r="AJ6" i="6" a="1"/>
  <c r="EW15" i="4" a="1"/>
  <c r="CL157" i="1" l="1"/>
  <c r="CL165" i="1" s="1"/>
  <c r="CL182" i="1"/>
  <c r="CL129" i="1"/>
  <c r="CL168" i="1"/>
  <c r="CL185" i="1"/>
  <c r="CL65" i="1"/>
  <c r="KG21" i="4"/>
  <c r="JT9" i="4" s="1"/>
  <c r="CL183" i="1"/>
  <c r="CL184" i="1" s="1"/>
  <c r="CL180" i="1"/>
  <c r="CL179" i="1"/>
  <c r="CH140" i="1"/>
  <c r="AA202" i="1"/>
  <c r="CJ183" i="1"/>
  <c r="CK183" i="1" s="1"/>
  <c r="JZ21" i="4"/>
  <c r="JX21" i="4"/>
  <c r="KE21" i="4"/>
  <c r="JW21" i="4"/>
  <c r="JT15" i="4"/>
  <c r="JT20" i="4" s="1"/>
  <c r="JS14" i="4"/>
  <c r="JS19" i="4" s="1"/>
  <c r="CK122" i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K164" i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L10" i="1"/>
  <c r="X120" i="1"/>
  <c r="X175" i="1" s="1"/>
  <c r="CK126" i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Y134" i="1"/>
  <c r="Y138" i="1" s="1"/>
  <c r="KC14" i="4"/>
  <c r="CK127" i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252" i="1"/>
  <c r="KA8" i="4"/>
  <c r="JQ14" i="4"/>
  <c r="JQ19" i="4" s="1"/>
  <c r="CK78" i="1" s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K125" i="1"/>
  <c r="CM125" i="1" s="1"/>
  <c r="CN125" i="1" s="1"/>
  <c r="CO125" i="1" s="1"/>
  <c r="CP125" i="1" s="1"/>
  <c r="CQ125" i="1" s="1"/>
  <c r="JN15" i="4"/>
  <c r="JS21" i="4"/>
  <c r="JO21" i="4"/>
  <c r="CI77" i="1" s="1"/>
  <c r="JP8" i="4"/>
  <c r="CK118" i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K135" i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G252" i="1"/>
  <c r="X179" i="1"/>
  <c r="KA7" i="4"/>
  <c r="X183" i="1"/>
  <c r="JZ7" i="4"/>
  <c r="Z131" i="1"/>
  <c r="Z134" i="1" s="1"/>
  <c r="Z138" i="1" s="1"/>
  <c r="AA203" i="1" s="1"/>
  <c r="AA201" i="1" s="1"/>
  <c r="JN8" i="4"/>
  <c r="CK10" i="1"/>
  <c r="X173" i="1"/>
  <c r="CH231" i="1"/>
  <c r="CK98" i="1"/>
  <c r="CH10" i="1"/>
  <c r="CI10" i="1"/>
  <c r="CI231" i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CN45" i="1"/>
  <c r="CO45" i="1" s="1"/>
  <c r="CP45" i="1" s="1"/>
  <c r="CQ45" i="1" s="1"/>
  <c r="CJ253" i="1"/>
  <c r="CJ194" i="1"/>
  <c r="CG253" i="1"/>
  <c r="CG194" i="1"/>
  <c r="Y128" i="1"/>
  <c r="Y37" i="1" s="1"/>
  <c r="CN20" i="1"/>
  <c r="CR20" i="1" s="1"/>
  <c r="CV20" i="1" s="1"/>
  <c r="CZ20" i="1" s="1"/>
  <c r="CJ26" i="1"/>
  <c r="KD15" i="4"/>
  <c r="CJ120" i="1"/>
  <c r="X26" i="1"/>
  <c r="CH149" i="1"/>
  <c r="KE14" i="4"/>
  <c r="JO7" i="4"/>
  <c r="Z120" i="1"/>
  <c r="AA207" i="1" s="1"/>
  <c r="CH117" i="1"/>
  <c r="Y26" i="1"/>
  <c r="CI132" i="1"/>
  <c r="CJ132" i="1" s="1"/>
  <c r="CK132" i="1" s="1"/>
  <c r="CL132" i="1" s="1"/>
  <c r="CL131" i="1" s="1"/>
  <c r="CI140" i="1"/>
  <c r="CI202" i="1" s="1"/>
  <c r="Z202" i="1"/>
  <c r="X156" i="1"/>
  <c r="X253" i="1"/>
  <c r="X194" i="1"/>
  <c r="CH124" i="1"/>
  <c r="Z128" i="1"/>
  <c r="JO8" i="4"/>
  <c r="JN14" i="4"/>
  <c r="JN19" i="4" s="1"/>
  <c r="CH78" i="1" s="1"/>
  <c r="JP15" i="4"/>
  <c r="JP20" i="4" s="1"/>
  <c r="CJ79" i="1" s="1"/>
  <c r="Y173" i="1"/>
  <c r="JZ15" i="4"/>
  <c r="KH14" i="4"/>
  <c r="JY14" i="4"/>
  <c r="JY19" i="4" s="1"/>
  <c r="KF15" i="4"/>
  <c r="CJ128" i="1"/>
  <c r="JV8" i="4"/>
  <c r="JV20" i="4" s="1"/>
  <c r="CJ180" i="1"/>
  <c r="CK180" i="1" s="1"/>
  <c r="KB21" i="4"/>
  <c r="AB46" i="1"/>
  <c r="X134" i="1"/>
  <c r="X138" i="1" s="1"/>
  <c r="Y161" i="1"/>
  <c r="Z10" i="1"/>
  <c r="Z231" i="1"/>
  <c r="X128" i="1"/>
  <c r="Z252" i="1"/>
  <c r="Y252" i="1"/>
  <c r="JO14" i="4"/>
  <c r="CP20" i="1"/>
  <c r="CT20" i="1" s="1"/>
  <c r="CX20" i="1" s="1"/>
  <c r="DB20" i="1" s="1"/>
  <c r="CH26" i="1"/>
  <c r="X180" i="1"/>
  <c r="JO15" i="4"/>
  <c r="KD7" i="4"/>
  <c r="KB8" i="4"/>
  <c r="KB15" i="4"/>
  <c r="KB20" i="4" s="1"/>
  <c r="JX7" i="4"/>
  <c r="JX19" i="4" s="1"/>
  <c r="KF8" i="4"/>
  <c r="JY15" i="4"/>
  <c r="JY20" i="4" s="1"/>
  <c r="JY21" i="4"/>
  <c r="JW15" i="4"/>
  <c r="JV21" i="4"/>
  <c r="KB7" i="4"/>
  <c r="CK202" i="1"/>
  <c r="JX8" i="4"/>
  <c r="JU15" i="4"/>
  <c r="Y156" i="1"/>
  <c r="JU8" i="4"/>
  <c r="KF21" i="4"/>
  <c r="CG26" i="1"/>
  <c r="CI63" i="1"/>
  <c r="CJ65" i="1"/>
  <c r="Y183" i="1"/>
  <c r="X148" i="1"/>
  <c r="CH252" i="1"/>
  <c r="CM20" i="1"/>
  <c r="CQ20" i="1" s="1"/>
  <c r="CU20" i="1" s="1"/>
  <c r="CY20" i="1" s="1"/>
  <c r="CI26" i="1"/>
  <c r="Y179" i="1"/>
  <c r="Z26" i="1"/>
  <c r="Z27" i="1" s="1"/>
  <c r="Z194" i="1"/>
  <c r="Z253" i="1"/>
  <c r="X161" i="1"/>
  <c r="CH194" i="1"/>
  <c r="CH253" i="1"/>
  <c r="Y148" i="1"/>
  <c r="CJ10" i="1"/>
  <c r="CJ231" i="1"/>
  <c r="KG14" i="4"/>
  <c r="JQ15" i="4"/>
  <c r="JZ8" i="4"/>
  <c r="KF7" i="4"/>
  <c r="KE7" i="4"/>
  <c r="CJ179" i="1"/>
  <c r="CK179" i="1" s="1"/>
  <c r="KE15" i="4"/>
  <c r="KE20" i="4" s="1"/>
  <c r="JU21" i="4"/>
  <c r="JX15" i="4"/>
  <c r="CJ148" i="1"/>
  <c r="JR15" i="4"/>
  <c r="KF14" i="4"/>
  <c r="KF19" i="4" s="1"/>
  <c r="X252" i="1"/>
  <c r="X37" i="1"/>
  <c r="CG231" i="1"/>
  <c r="CG10" i="1"/>
  <c r="CJ98" i="1"/>
  <c r="CK65" i="1"/>
  <c r="CH145" i="1"/>
  <c r="CH180" i="1" s="1"/>
  <c r="CI180" i="1" s="1"/>
  <c r="Z180" i="1"/>
  <c r="JU19" i="4"/>
  <c r="KA20" i="4"/>
  <c r="JR19" i="4"/>
  <c r="CL78" i="1" s="1"/>
  <c r="KC7" i="4"/>
  <c r="KC8" i="4"/>
  <c r="Z173" i="1"/>
  <c r="CH153" i="1"/>
  <c r="CH183" i="1" s="1"/>
  <c r="CI183" i="1" s="1"/>
  <c r="Z183" i="1"/>
  <c r="JW8" i="4"/>
  <c r="CJ156" i="1"/>
  <c r="CJ185" i="1" s="1"/>
  <c r="CJ184" i="1" s="1"/>
  <c r="CK184" i="1" s="1"/>
  <c r="Z154" i="1"/>
  <c r="CH154" i="1" s="1"/>
  <c r="Y194" i="1"/>
  <c r="Y253" i="1"/>
  <c r="CH163" i="1"/>
  <c r="CH142" i="1"/>
  <c r="Z148" i="1"/>
  <c r="AA196" i="1" s="1"/>
  <c r="Y10" i="1"/>
  <c r="Y231" i="1"/>
  <c r="CI194" i="1"/>
  <c r="CI253" i="1"/>
  <c r="Y120" i="1"/>
  <c r="KA14" i="4"/>
  <c r="KD21" i="4"/>
  <c r="KA21" i="4"/>
  <c r="KB14" i="4"/>
  <c r="JV14" i="4"/>
  <c r="JV19" i="4" s="1"/>
  <c r="KG15" i="4"/>
  <c r="KG20" i="4" s="1"/>
  <c r="KC21" i="4"/>
  <c r="CK33" i="1"/>
  <c r="CJ138" i="1"/>
  <c r="CO20" i="1"/>
  <c r="CS20" i="1" s="1"/>
  <c r="CW20" i="1" s="1"/>
  <c r="DA20" i="1" s="1"/>
  <c r="CK26" i="1"/>
  <c r="JP14" i="4"/>
  <c r="JP19" i="4" s="1"/>
  <c r="CJ78" i="1" s="1"/>
  <c r="Y202" i="1"/>
  <c r="CI252" i="1"/>
  <c r="CH159" i="1"/>
  <c r="CH161" i="1" s="1"/>
  <c r="Z161" i="1"/>
  <c r="AA209" i="1" s="1"/>
  <c r="X231" i="1"/>
  <c r="X10" i="1"/>
  <c r="JN7" i="4"/>
  <c r="Y180" i="1"/>
  <c r="CH144" i="1"/>
  <c r="CH179" i="1" s="1"/>
  <c r="CI179" i="1" s="1"/>
  <c r="Z179" i="1"/>
  <c r="KH7" i="4"/>
  <c r="KG7" i="4"/>
  <c r="KD8" i="4"/>
  <c r="JR21" i="4"/>
  <c r="CL77" i="1" s="1"/>
  <c r="KC15" i="4"/>
  <c r="JW7" i="4"/>
  <c r="JW19" i="4" s="1"/>
  <c r="JR8" i="4"/>
  <c r="KD14" i="4"/>
  <c r="KH8" i="4"/>
  <c r="KH20" i="4" s="1"/>
  <c r="JT21" i="4"/>
  <c r="JQ8" i="4"/>
  <c r="CJ161" i="1"/>
  <c r="CM133" i="1"/>
  <c r="CN133" i="1" s="1"/>
  <c r="CO133" i="1" s="1"/>
  <c r="CP133" i="1" s="1"/>
  <c r="JT7" i="4"/>
  <c r="JT19" i="4" s="1"/>
  <c r="JZ14" i="4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C46" i="1"/>
  <c r="CV46" i="1"/>
  <c r="CW46" i="1" s="1"/>
  <c r="CX46" i="1" s="1"/>
  <c r="CY46" i="1" s="1"/>
  <c r="AD35" i="1"/>
  <c r="AS58" i="3"/>
  <c r="AS86" i="3"/>
  <c r="AY94" i="3"/>
  <c r="AY61" i="3"/>
  <c r="AT77" i="3"/>
  <c r="AV57" i="3"/>
  <c r="AZ69" i="3"/>
  <c r="AZ73" i="3"/>
  <c r="AW69" i="3"/>
  <c r="C90" i="3"/>
  <c r="C70" i="3"/>
  <c r="AV89" i="3"/>
  <c r="AX75" i="3"/>
  <c r="AT55" i="3"/>
  <c r="AZ78" i="3"/>
  <c r="AF54" i="3"/>
  <c r="AX96" i="3"/>
  <c r="AY50" i="3"/>
  <c r="AF60" i="3"/>
  <c r="AF96" i="3"/>
  <c r="AV56" i="3"/>
  <c r="AX78" i="3"/>
  <c r="AW85" i="3"/>
  <c r="AS90" i="3"/>
  <c r="AT47" i="3"/>
  <c r="AU84" i="3"/>
  <c r="AW55" i="3"/>
  <c r="AX70" i="3"/>
  <c r="AV96" i="3"/>
  <c r="AT54" i="3"/>
  <c r="AZ57" i="3"/>
  <c r="AY77" i="3"/>
  <c r="AV50" i="3"/>
  <c r="C75" i="3"/>
  <c r="AV69" i="3"/>
  <c r="AU55" i="3"/>
  <c r="AS81" i="3"/>
  <c r="AT56" i="3"/>
  <c r="AS55" i="3"/>
  <c r="AT57" i="3"/>
  <c r="AF83" i="3"/>
  <c r="AF61" i="3"/>
  <c r="AU71" i="3"/>
  <c r="AX95" i="3"/>
  <c r="AX72" i="3"/>
  <c r="AV63" i="3"/>
  <c r="AW71" i="3"/>
  <c r="AW80" i="3"/>
  <c r="AU50" i="3"/>
  <c r="AU86" i="3"/>
  <c r="AX77" i="3"/>
  <c r="AX76" i="3"/>
  <c r="AX93" i="3"/>
  <c r="AY88" i="3"/>
  <c r="AF91" i="3"/>
  <c r="AY78" i="3"/>
  <c r="AS73" i="3"/>
  <c r="C77" i="3"/>
  <c r="AY85" i="3"/>
  <c r="AZ54" i="3"/>
  <c r="AV77" i="3"/>
  <c r="AT59" i="3"/>
  <c r="AW49" i="3"/>
  <c r="C60" i="3"/>
  <c r="AW97" i="3"/>
  <c r="AT80" i="3"/>
  <c r="AU73" i="3"/>
  <c r="C56" i="3"/>
  <c r="AY56" i="3"/>
  <c r="AZ61" i="3"/>
  <c r="AZ71" i="3"/>
  <c r="AV84" i="3"/>
  <c r="AU87" i="3"/>
  <c r="AW61" i="3"/>
  <c r="C68" i="3"/>
  <c r="AS78" i="3"/>
  <c r="C55" i="3"/>
  <c r="AT86" i="3"/>
  <c r="AX94" i="3"/>
  <c r="AU74" i="3"/>
  <c r="AZ95" i="3"/>
  <c r="AS87" i="3"/>
  <c r="AZ63" i="3"/>
  <c r="C97" i="3"/>
  <c r="AT78" i="3"/>
  <c r="AX82" i="3"/>
  <c r="AZ55" i="3"/>
  <c r="AZ60" i="3"/>
  <c r="C69" i="3"/>
  <c r="AV95" i="3"/>
  <c r="C63" i="3"/>
  <c r="AV78" i="3"/>
  <c r="AV72" i="3"/>
  <c r="AY69" i="3"/>
  <c r="AF67" i="3"/>
  <c r="AX87" i="3"/>
  <c r="C92" i="3"/>
  <c r="AY84" i="3"/>
  <c r="AS48" i="3"/>
  <c r="AS50" i="3"/>
  <c r="AF95" i="3"/>
  <c r="AF74" i="3"/>
  <c r="AW73" i="3"/>
  <c r="AV94" i="3"/>
  <c r="AU61" i="3"/>
  <c r="AV61" i="3"/>
  <c r="C64" i="3"/>
  <c r="AS57" i="3"/>
  <c r="AY64" i="3"/>
  <c r="C82" i="3"/>
  <c r="AV70" i="3"/>
  <c r="AW72" i="3"/>
  <c r="AV47" i="3"/>
  <c r="AV74" i="3"/>
  <c r="AT89" i="3"/>
  <c r="AZ84" i="3"/>
  <c r="AZ93" i="3"/>
  <c r="AY57" i="3"/>
  <c r="AU80" i="3"/>
  <c r="AX84" i="3"/>
  <c r="AS83" i="3"/>
  <c r="AX73" i="3"/>
  <c r="AX54" i="3"/>
  <c r="C91" i="3"/>
  <c r="AY82" i="3"/>
  <c r="AT69" i="3"/>
  <c r="AU47" i="3"/>
  <c r="AS97" i="3"/>
  <c r="AV55" i="3"/>
  <c r="AU58" i="3"/>
  <c r="AY73" i="3"/>
  <c r="AT58" i="3"/>
  <c r="AF77" i="3"/>
  <c r="AZ85" i="3"/>
  <c r="AZ89" i="3"/>
  <c r="AZ97" i="3"/>
  <c r="AV87" i="3"/>
  <c r="AW83" i="3"/>
  <c r="AW84" i="3"/>
  <c r="AT95" i="3"/>
  <c r="AU96" i="3"/>
  <c r="AU70" i="3"/>
  <c r="AW93" i="3"/>
  <c r="AS75" i="3"/>
  <c r="AS89" i="3"/>
  <c r="AT79" i="3"/>
  <c r="AU75" i="3"/>
  <c r="C71" i="3"/>
  <c r="C76" i="3"/>
  <c r="AW66" i="3"/>
  <c r="AW57" i="3"/>
  <c r="AZ58" i="3"/>
  <c r="C50" i="3"/>
  <c r="AT90" i="3"/>
  <c r="AY91" i="3"/>
  <c r="AY67" i="3"/>
  <c r="C84" i="3"/>
  <c r="AX57" i="3"/>
  <c r="AW67" i="3"/>
  <c r="AS65" i="3"/>
  <c r="AT91" i="3"/>
  <c r="AW81" i="3"/>
  <c r="AZ91" i="3"/>
  <c r="AT93" i="3"/>
  <c r="AU65" i="3"/>
  <c r="AX64" i="3"/>
  <c r="AV60" i="3"/>
  <c r="AT48" i="3"/>
  <c r="AY83" i="3"/>
  <c r="AY47" i="3"/>
  <c r="AF94" i="3"/>
  <c r="AU92" i="3"/>
  <c r="AX71" i="3"/>
  <c r="AV88" i="3"/>
  <c r="AU72" i="3"/>
  <c r="AX67" i="3"/>
  <c r="AV80" i="3"/>
  <c r="AF80" i="3"/>
  <c r="AT87" i="3"/>
  <c r="AS67" i="3"/>
  <c r="AX74" i="3"/>
  <c r="AW94" i="3"/>
  <c r="AS85" i="3"/>
  <c r="AZ94" i="3"/>
  <c r="AW59" i="3"/>
  <c r="AV81" i="3"/>
  <c r="AF69" i="3"/>
  <c r="AU79" i="3"/>
  <c r="AF58" i="3"/>
  <c r="AT92" i="3"/>
  <c r="AX59" i="3"/>
  <c r="AX80" i="3"/>
  <c r="AS77" i="3"/>
  <c r="AT72" i="3"/>
  <c r="AU88" i="3"/>
  <c r="AV71" i="3"/>
  <c r="AX62" i="3"/>
  <c r="AZ81" i="3"/>
  <c r="AU67" i="3"/>
  <c r="AZ87" i="3"/>
  <c r="AF78" i="3"/>
  <c r="AF81" i="3"/>
  <c r="AX88" i="3"/>
  <c r="AV58" i="3"/>
  <c r="AW65" i="3"/>
  <c r="AY95" i="3"/>
  <c r="AF89" i="3"/>
  <c r="AX97" i="3"/>
  <c r="AY90" i="3"/>
  <c r="AY63" i="3"/>
  <c r="AU59" i="3"/>
  <c r="AU68" i="3"/>
  <c r="AZ96" i="3"/>
  <c r="AV49" i="3"/>
  <c r="AS69" i="3"/>
  <c r="C65" i="3"/>
  <c r="AV66" i="3"/>
  <c r="AZ75" i="3"/>
  <c r="AU69" i="3"/>
  <c r="AZ67" i="3"/>
  <c r="AS56" i="3"/>
  <c r="AY96" i="3"/>
  <c r="AU90" i="3"/>
  <c r="AS88" i="3"/>
  <c r="AY79" i="3"/>
  <c r="AT81" i="3"/>
  <c r="AX65" i="3"/>
  <c r="AZ80" i="3"/>
  <c r="AZ86" i="3"/>
  <c r="C62" i="3"/>
  <c r="C86" i="3"/>
  <c r="AY89" i="3"/>
  <c r="AV59" i="3"/>
  <c r="AW78" i="3"/>
  <c r="AY71" i="3"/>
  <c r="AW74" i="3"/>
  <c r="AY74" i="3"/>
  <c r="AW70" i="3"/>
  <c r="C93" i="3"/>
  <c r="AW75" i="3"/>
  <c r="AT96" i="3"/>
  <c r="AX55" i="3"/>
  <c r="AY66" i="3"/>
  <c r="AU54" i="3"/>
  <c r="AX68" i="3"/>
  <c r="AZ88" i="3"/>
  <c r="AT84" i="3"/>
  <c r="AS80" i="3"/>
  <c r="AV85" i="3"/>
  <c r="AW77" i="3"/>
  <c r="C81" i="3"/>
  <c r="AY97" i="3"/>
  <c r="AW82" i="3"/>
  <c r="AY81" i="3"/>
  <c r="AT68" i="3"/>
  <c r="AW62" i="3"/>
  <c r="AY75" i="3"/>
  <c r="AF82" i="3"/>
  <c r="AS95" i="3"/>
  <c r="AV86" i="3"/>
  <c r="C54" i="3"/>
  <c r="AT73" i="3"/>
  <c r="AW92" i="3"/>
  <c r="AU48" i="3"/>
  <c r="AU57" i="3"/>
  <c r="AV90" i="3"/>
  <c r="AT61" i="3"/>
  <c r="AU93" i="3"/>
  <c r="AZ48" i="3"/>
  <c r="AF90" i="3"/>
  <c r="AV93" i="3"/>
  <c r="AF97" i="3"/>
  <c r="AV48" i="3"/>
  <c r="AU78" i="3"/>
  <c r="AT60" i="3"/>
  <c r="AT74" i="3"/>
  <c r="AV92" i="3"/>
  <c r="AF59" i="3"/>
  <c r="AF64" i="3"/>
  <c r="AX60" i="3"/>
  <c r="C57" i="3"/>
  <c r="AS96" i="3"/>
  <c r="AF75" i="3"/>
  <c r="AY80" i="3"/>
  <c r="AW91" i="3"/>
  <c r="AW79" i="3"/>
  <c r="AS82" i="3"/>
  <c r="AV54" i="3"/>
  <c r="AX91" i="3"/>
  <c r="AZ65" i="3"/>
  <c r="AS84" i="3"/>
  <c r="AT76" i="3"/>
  <c r="AW60" i="3"/>
  <c r="AU56" i="3"/>
  <c r="AT71" i="3"/>
  <c r="C67" i="3"/>
  <c r="AX81" i="3"/>
  <c r="AX63" i="3"/>
  <c r="AY76" i="3"/>
  <c r="AF86" i="3"/>
  <c r="AV75" i="3"/>
  <c r="AF72" i="3"/>
  <c r="AY72" i="3"/>
  <c r="AW48" i="3"/>
  <c r="AS76" i="3"/>
  <c r="C94" i="3"/>
  <c r="AT97" i="3"/>
  <c r="AT49" i="3"/>
  <c r="AZ82" i="3"/>
  <c r="AV76" i="3"/>
  <c r="AY65" i="3"/>
  <c r="AU89" i="3"/>
  <c r="AW64" i="3"/>
  <c r="C72" i="3"/>
  <c r="AS93" i="3"/>
  <c r="AT63" i="3"/>
  <c r="AF79" i="3"/>
  <c r="AV79" i="3"/>
  <c r="AS59" i="3"/>
  <c r="AZ47" i="3"/>
  <c r="AY49" i="3"/>
  <c r="AX79" i="3"/>
  <c r="C61" i="3"/>
  <c r="AF55" i="3"/>
  <c r="C73" i="3"/>
  <c r="AY54" i="3"/>
  <c r="AT94" i="3"/>
  <c r="AU64" i="3"/>
  <c r="AX83" i="3"/>
  <c r="AS54" i="3"/>
  <c r="AT64" i="3"/>
  <c r="AW68" i="3"/>
  <c r="AZ77" i="3"/>
  <c r="C96" i="3"/>
  <c r="AS72" i="3"/>
  <c r="AZ68" i="3"/>
  <c r="C88" i="3"/>
  <c r="AT62" i="3"/>
  <c r="AS63" i="3"/>
  <c r="AZ50" i="3"/>
  <c r="AU94" i="3"/>
  <c r="AT50" i="3"/>
  <c r="AU49" i="3"/>
  <c r="C59" i="3"/>
  <c r="AV62" i="3"/>
  <c r="AW56" i="3"/>
  <c r="AF87" i="3"/>
  <c r="AU97" i="3"/>
  <c r="AU66" i="3"/>
  <c r="AX92" i="3"/>
  <c r="C66" i="3"/>
  <c r="C85" i="3"/>
  <c r="AW96" i="3"/>
  <c r="AW89" i="3"/>
  <c r="AV97" i="3"/>
  <c r="AW58" i="3"/>
  <c r="AX49" i="3"/>
  <c r="AW76" i="3"/>
  <c r="AX66" i="3"/>
  <c r="AZ92" i="3"/>
  <c r="AV83" i="3"/>
  <c r="AT70" i="3"/>
  <c r="AX50" i="3"/>
  <c r="AF93" i="3"/>
  <c r="AW54" i="3"/>
  <c r="AS68" i="3"/>
  <c r="AW86" i="3"/>
  <c r="AT65" i="3"/>
  <c r="AW47" i="3"/>
  <c r="AS71" i="3"/>
  <c r="AZ79" i="3"/>
  <c r="C80" i="3"/>
  <c r="AS64" i="3"/>
  <c r="AZ56" i="3"/>
  <c r="AW88" i="3"/>
  <c r="AF65" i="3"/>
  <c r="C58" i="3"/>
  <c r="AT82" i="3"/>
  <c r="AY55" i="3"/>
  <c r="AV64" i="3"/>
  <c r="AF47" i="3"/>
  <c r="AV82" i="3"/>
  <c r="C87" i="3"/>
  <c r="AV91" i="3"/>
  <c r="AF62" i="3"/>
  <c r="AZ72" i="3"/>
  <c r="AZ59" i="3"/>
  <c r="AZ74" i="3"/>
  <c r="AY92" i="3"/>
  <c r="AX90" i="3"/>
  <c r="AS74" i="3"/>
  <c r="AX89" i="3"/>
  <c r="AY62" i="3"/>
  <c r="AX69" i="3"/>
  <c r="AX61" i="3"/>
  <c r="AU85" i="3"/>
  <c r="AS61" i="3"/>
  <c r="AZ62" i="3"/>
  <c r="AW95" i="3"/>
  <c r="AF73" i="3"/>
  <c r="AU62" i="3"/>
  <c r="AS70" i="3"/>
  <c r="AS62" i="3"/>
  <c r="AZ83" i="3"/>
  <c r="AS66" i="3"/>
  <c r="AF49" i="3"/>
  <c r="AY68" i="3"/>
  <c r="AY48" i="3"/>
  <c r="AF57" i="3"/>
  <c r="AW87" i="3"/>
  <c r="C78" i="3"/>
  <c r="C74" i="3"/>
  <c r="AW50" i="3"/>
  <c r="C79" i="3"/>
  <c r="AS79" i="3"/>
  <c r="AV67" i="3"/>
  <c r="AU83" i="3"/>
  <c r="AY70" i="3"/>
  <c r="AZ64" i="3"/>
  <c r="AZ49" i="3"/>
  <c r="AU95" i="3"/>
  <c r="AY87" i="3"/>
  <c r="C89" i="3"/>
  <c r="AU63" i="3"/>
  <c r="AV73" i="3"/>
  <c r="AZ90" i="3"/>
  <c r="AF84" i="3"/>
  <c r="AW90" i="3"/>
  <c r="AF66" i="3"/>
  <c r="AZ76" i="3"/>
  <c r="AX47" i="3"/>
  <c r="AS91" i="3"/>
  <c r="AT67" i="3"/>
  <c r="AU77" i="3"/>
  <c r="AY58" i="3"/>
  <c r="AF85" i="3"/>
  <c r="AF68" i="3"/>
  <c r="AY59" i="3"/>
  <c r="AF88" i="3"/>
  <c r="AT83" i="3"/>
  <c r="AT85" i="3"/>
  <c r="C83" i="3"/>
  <c r="AU81" i="3"/>
  <c r="AT75" i="3"/>
  <c r="AX86" i="3"/>
  <c r="AF56" i="3"/>
  <c r="AZ70" i="3"/>
  <c r="AU82" i="3"/>
  <c r="AX58" i="3"/>
  <c r="AT66" i="3"/>
  <c r="AF71" i="3"/>
  <c r="AX56" i="3"/>
  <c r="AF76" i="3"/>
  <c r="AY60" i="3"/>
  <c r="AV68" i="3"/>
  <c r="AF92" i="3"/>
  <c r="AS94" i="3"/>
  <c r="AY86" i="3"/>
  <c r="AV65" i="3"/>
  <c r="AU60" i="3"/>
  <c r="AX48" i="3"/>
  <c r="AU91" i="3"/>
  <c r="AX85" i="3"/>
  <c r="AU76" i="3"/>
  <c r="AS92" i="3"/>
  <c r="AF63" i="3"/>
  <c r="AT88" i="3"/>
  <c r="AS60" i="3"/>
  <c r="AZ66" i="3"/>
  <c r="C95" i="3"/>
  <c r="AF70" i="3"/>
  <c r="AY93" i="3"/>
  <c r="AW63" i="3"/>
  <c r="CL166" i="1" l="1"/>
  <c r="CL186" i="1"/>
  <c r="CL181" i="1"/>
  <c r="KD19" i="4"/>
  <c r="CL27" i="1"/>
  <c r="CL188" i="1"/>
  <c r="AA249" i="1"/>
  <c r="AA206" i="1"/>
  <c r="AA205" i="1" s="1"/>
  <c r="AA11" i="1"/>
  <c r="AA188" i="1"/>
  <c r="Z244" i="1"/>
  <c r="Y33" i="1"/>
  <c r="Z156" i="1"/>
  <c r="JX20" i="4"/>
  <c r="KC20" i="4"/>
  <c r="JN20" i="4"/>
  <c r="CH79" i="1" s="1"/>
  <c r="CK27" i="1"/>
  <c r="CK16" i="1"/>
  <c r="CK107" i="1"/>
  <c r="JR20" i="4"/>
  <c r="CL79" i="1" s="1"/>
  <c r="CL11" i="1"/>
  <c r="KA19" i="4"/>
  <c r="Y203" i="1"/>
  <c r="CK128" i="1"/>
  <c r="CL16" i="1"/>
  <c r="KC19" i="4"/>
  <c r="CL12" i="1"/>
  <c r="AB45" i="1"/>
  <c r="CH131" i="1"/>
  <c r="CI131" i="1" s="1"/>
  <c r="CI134" i="1" s="1"/>
  <c r="JZ20" i="4"/>
  <c r="CJ202" i="1"/>
  <c r="CH148" i="1"/>
  <c r="KG19" i="4"/>
  <c r="JU20" i="4"/>
  <c r="JZ19" i="4"/>
  <c r="X27" i="1"/>
  <c r="CG27" i="1"/>
  <c r="KE19" i="4"/>
  <c r="Y175" i="1"/>
  <c r="Z175" i="1"/>
  <c r="CQ133" i="1"/>
  <c r="CR133" i="1" s="1"/>
  <c r="CS133" i="1" s="1"/>
  <c r="CT133" i="1" s="1"/>
  <c r="AB133" i="1"/>
  <c r="Z209" i="1"/>
  <c r="Y248" i="1"/>
  <c r="Y246" i="1"/>
  <c r="Y185" i="1"/>
  <c r="Y184" i="1" s="1"/>
  <c r="Z197" i="1"/>
  <c r="X182" i="1"/>
  <c r="Y196" i="1"/>
  <c r="X157" i="1"/>
  <c r="X165" i="1" s="1"/>
  <c r="CH182" i="1"/>
  <c r="CH134" i="1"/>
  <c r="Y201" i="1"/>
  <c r="CK209" i="1"/>
  <c r="CJ248" i="1"/>
  <c r="CJ244" i="1"/>
  <c r="CJ246" i="1"/>
  <c r="X98" i="1"/>
  <c r="X16" i="1"/>
  <c r="X244" i="1"/>
  <c r="CJ107" i="1"/>
  <c r="KB19" i="4"/>
  <c r="CI163" i="1"/>
  <c r="CK12" i="1"/>
  <c r="CJ16" i="1"/>
  <c r="Z129" i="1"/>
  <c r="Z168" i="1"/>
  <c r="Z109" i="1" s="1"/>
  <c r="Z249" i="1"/>
  <c r="Z206" i="1"/>
  <c r="CJ92" i="1"/>
  <c r="CJ94" i="1" s="1"/>
  <c r="CI16" i="1"/>
  <c r="CJ12" i="1"/>
  <c r="Z196" i="1"/>
  <c r="Y182" i="1"/>
  <c r="Y157" i="1"/>
  <c r="Y165" i="1" s="1"/>
  <c r="CH63" i="1"/>
  <c r="CI65" i="1"/>
  <c r="JW20" i="4"/>
  <c r="JO20" i="4"/>
  <c r="CI79" i="1" s="1"/>
  <c r="Z37" i="1"/>
  <c r="CI124" i="1"/>
  <c r="CI128" i="1" s="1"/>
  <c r="CJ206" i="1" s="1"/>
  <c r="CH128" i="1"/>
  <c r="KD20" i="4"/>
  <c r="CI12" i="1"/>
  <c r="CH16" i="1"/>
  <c r="Z248" i="1"/>
  <c r="Z246" i="1"/>
  <c r="CI27" i="1"/>
  <c r="X33" i="1"/>
  <c r="CJ131" i="1"/>
  <c r="CK131" i="1" s="1"/>
  <c r="CJ27" i="1"/>
  <c r="CK99" i="1"/>
  <c r="KH19" i="4"/>
  <c r="CI209" i="1"/>
  <c r="Y11" i="1"/>
  <c r="Y98" i="1"/>
  <c r="Y188" i="1"/>
  <c r="Y16" i="1"/>
  <c r="Y244" i="1"/>
  <c r="CH27" i="1"/>
  <c r="X129" i="1"/>
  <c r="X168" i="1"/>
  <c r="X109" i="1" s="1"/>
  <c r="Y27" i="1"/>
  <c r="CR45" i="1"/>
  <c r="CS45" i="1" s="1"/>
  <c r="CT45" i="1" s="1"/>
  <c r="CU45" i="1" s="1"/>
  <c r="CJ99" i="1"/>
  <c r="CJ102" i="1" s="1"/>
  <c r="X248" i="1"/>
  <c r="Y209" i="1"/>
  <c r="X246" i="1"/>
  <c r="KF20" i="4"/>
  <c r="CJ129" i="1"/>
  <c r="Y206" i="1"/>
  <c r="Y168" i="1"/>
  <c r="Y109" i="1" s="1"/>
  <c r="Y129" i="1"/>
  <c r="Y249" i="1"/>
  <c r="Z182" i="1"/>
  <c r="Z157" i="1"/>
  <c r="Z165" i="1" s="1"/>
  <c r="CH156" i="1"/>
  <c r="CH185" i="1" s="1"/>
  <c r="CH184" i="1" s="1"/>
  <c r="CI184" i="1" s="1"/>
  <c r="CI185" i="1" s="1"/>
  <c r="Z203" i="1"/>
  <c r="Z201" i="1" s="1"/>
  <c r="CK11" i="1"/>
  <c r="CG16" i="1"/>
  <c r="CJ225" i="1"/>
  <c r="CH12" i="1"/>
  <c r="CJ182" i="1"/>
  <c r="CJ157" i="1"/>
  <c r="CJ165" i="1" s="1"/>
  <c r="JQ20" i="4"/>
  <c r="CK79" i="1" s="1"/>
  <c r="Z33" i="1"/>
  <c r="CL202" i="1"/>
  <c r="JO19" i="4"/>
  <c r="CI78" i="1" s="1"/>
  <c r="Z188" i="1"/>
  <c r="Z16" i="1"/>
  <c r="AA18" i="1" s="1"/>
  <c r="Z98" i="1"/>
  <c r="Z11" i="1"/>
  <c r="CJ108" i="1"/>
  <c r="X185" i="1"/>
  <c r="X184" i="1" s="1"/>
  <c r="Y197" i="1"/>
  <c r="CH120" i="1"/>
  <c r="CH248" i="1" s="1"/>
  <c r="CI117" i="1"/>
  <c r="CR125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AD46" i="1"/>
  <c r="CZ46" i="1"/>
  <c r="DA46" i="1" s="1"/>
  <c r="DB46" i="1" s="1"/>
  <c r="AE35" i="1"/>
  <c r="U8" i="1"/>
  <c r="V8" i="1"/>
  <c r="W8" i="1"/>
  <c r="CJ103" i="1" l="1"/>
  <c r="Z185" i="1"/>
  <c r="Z184" i="1" s="1"/>
  <c r="AA197" i="1"/>
  <c r="AA198" i="1" s="1"/>
  <c r="AA199" i="1" s="1"/>
  <c r="AA58" i="1"/>
  <c r="CK188" i="1"/>
  <c r="CJ96" i="1"/>
  <c r="AC45" i="1"/>
  <c r="CK134" i="1"/>
  <c r="CL28" i="1"/>
  <c r="CL17" i="1"/>
  <c r="CL19" i="1"/>
  <c r="CJ104" i="1"/>
  <c r="CK28" i="1"/>
  <c r="CL18" i="1"/>
  <c r="CK17" i="1"/>
  <c r="CI107" i="1"/>
  <c r="CI99" i="1"/>
  <c r="CI102" i="1" s="1"/>
  <c r="CH18" i="1"/>
  <c r="CM27" i="1"/>
  <c r="Y198" i="1"/>
  <c r="CJ95" i="1"/>
  <c r="CI108" i="1"/>
  <c r="CI152" i="1"/>
  <c r="X166" i="1"/>
  <c r="CK18" i="1"/>
  <c r="CG17" i="1"/>
  <c r="CH19" i="1"/>
  <c r="CG28" i="1"/>
  <c r="CK206" i="1"/>
  <c r="CK249" i="1"/>
  <c r="CM140" i="1"/>
  <c r="CM202" i="1" s="1"/>
  <c r="CK103" i="1"/>
  <c r="CK102" i="1"/>
  <c r="CM124" i="1"/>
  <c r="CV45" i="1"/>
  <c r="CW45" i="1" s="1"/>
  <c r="CX45" i="1" s="1"/>
  <c r="CY45" i="1" s="1"/>
  <c r="CZ45" i="1" s="1"/>
  <c r="DA45" i="1" s="1"/>
  <c r="DB45" i="1" s="1"/>
  <c r="AE45" i="1" s="1"/>
  <c r="AD45" i="1"/>
  <c r="CK19" i="1"/>
  <c r="CJ28" i="1"/>
  <c r="CJ17" i="1"/>
  <c r="CH138" i="1"/>
  <c r="CH244" i="1" s="1"/>
  <c r="CI33" i="1"/>
  <c r="CG63" i="1"/>
  <c r="CH65" i="1"/>
  <c r="CH99" i="1" s="1"/>
  <c r="Y18" i="1"/>
  <c r="X28" i="1"/>
  <c r="X17" i="1"/>
  <c r="CI138" i="1"/>
  <c r="CJ203" i="1" s="1"/>
  <c r="CJ201" i="1" s="1"/>
  <c r="CJ33" i="1"/>
  <c r="Z166" i="1"/>
  <c r="Y166" i="1"/>
  <c r="CI17" i="1"/>
  <c r="CI28" i="1"/>
  <c r="CJ19" i="1"/>
  <c r="CH157" i="1"/>
  <c r="CI206" i="1"/>
  <c r="CI249" i="1"/>
  <c r="CU133" i="1"/>
  <c r="CV133" i="1" s="1"/>
  <c r="CW133" i="1" s="1"/>
  <c r="CX133" i="1" s="1"/>
  <c r="AC133" i="1"/>
  <c r="X181" i="1"/>
  <c r="X186" i="1"/>
  <c r="CJ166" i="1"/>
  <c r="Y28" i="1"/>
  <c r="Y17" i="1"/>
  <c r="Z18" i="1"/>
  <c r="CI19" i="1"/>
  <c r="CH17" i="1"/>
  <c r="CH28" i="1"/>
  <c r="Z198" i="1"/>
  <c r="CK108" i="1"/>
  <c r="CK104" i="1"/>
  <c r="Z17" i="1"/>
  <c r="Z28" i="1"/>
  <c r="CJ181" i="1"/>
  <c r="CK181" i="1" s="1"/>
  <c r="CJ186" i="1"/>
  <c r="Z181" i="1"/>
  <c r="Z186" i="1"/>
  <c r="AA189" i="1" s="1"/>
  <c r="AA190" i="1" s="1"/>
  <c r="CJ249" i="1"/>
  <c r="CH168" i="1"/>
  <c r="CH129" i="1"/>
  <c r="Y181" i="1"/>
  <c r="Y186" i="1"/>
  <c r="CH181" i="1"/>
  <c r="CI181" i="1" s="1"/>
  <c r="CH186" i="1"/>
  <c r="CL189" i="1" s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M11" i="1" s="1"/>
  <c r="CD17" i="1"/>
  <c r="CI104" i="1"/>
  <c r="CG11" i="1"/>
  <c r="CE12" i="1"/>
  <c r="CH188" i="1"/>
  <c r="CA202" i="1"/>
  <c r="BL17" i="1"/>
  <c r="BL28" i="1"/>
  <c r="BY17" i="1"/>
  <c r="BY28" i="1"/>
  <c r="AE46" i="1"/>
  <c r="V231" i="1"/>
  <c r="W231" i="1"/>
  <c r="U231" i="1"/>
  <c r="AA210" i="1" l="1"/>
  <c r="AA211" i="1" s="1"/>
  <c r="AA213" i="1"/>
  <c r="AA30" i="1"/>
  <c r="AA250" i="1"/>
  <c r="AA251" i="1" s="1"/>
  <c r="CF28" i="1"/>
  <c r="AA60" i="1" s="1"/>
  <c r="AA59" i="1"/>
  <c r="CI103" i="1"/>
  <c r="CL30" i="1"/>
  <c r="CL31" i="1"/>
  <c r="CH92" i="1"/>
  <c r="CN11" i="1"/>
  <c r="CC202" i="1"/>
  <c r="CK29" i="1"/>
  <c r="CL34" i="1"/>
  <c r="CL38" i="1" s="1"/>
  <c r="CL29" i="1"/>
  <c r="CK34" i="1"/>
  <c r="CK38" i="1" s="1"/>
  <c r="CK40" i="1" s="1"/>
  <c r="CM131" i="1"/>
  <c r="CN131" i="1" s="1"/>
  <c r="CO131" i="1" s="1"/>
  <c r="CP131" i="1" s="1"/>
  <c r="CQ131" i="1" s="1"/>
  <c r="CR131" i="1" s="1"/>
  <c r="CS131" i="1" s="1"/>
  <c r="CT131" i="1" s="1"/>
  <c r="CN27" i="1"/>
  <c r="CK138" i="1"/>
  <c r="CK203" i="1" s="1"/>
  <c r="CK201" i="1" s="1"/>
  <c r="CL33" i="1"/>
  <c r="CM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Z189" i="1"/>
  <c r="Z190" i="1" s="1"/>
  <c r="Y189" i="1"/>
  <c r="Y190" i="1" s="1"/>
  <c r="CH102" i="1"/>
  <c r="CH103" i="1"/>
  <c r="CH104" i="1"/>
  <c r="Y250" i="1"/>
  <c r="Y251" i="1" s="1"/>
  <c r="Y29" i="1"/>
  <c r="Y112" i="1"/>
  <c r="Y34" i="1"/>
  <c r="Y232" i="1"/>
  <c r="Y233" i="1" s="1"/>
  <c r="Z30" i="1"/>
  <c r="X232" i="1"/>
  <c r="X233" i="1" s="1"/>
  <c r="Y30" i="1"/>
  <c r="X34" i="1"/>
  <c r="X112" i="1"/>
  <c r="X29" i="1"/>
  <c r="CI146" i="1"/>
  <c r="CI182" i="1"/>
  <c r="Z112" i="1"/>
  <c r="Z29" i="1"/>
  <c r="Z250" i="1"/>
  <c r="Z251" i="1" s="1"/>
  <c r="Z34" i="1"/>
  <c r="Z232" i="1"/>
  <c r="Z233" i="1" s="1"/>
  <c r="CH165" i="1"/>
  <c r="CH166" i="1" s="1"/>
  <c r="CF63" i="1"/>
  <c r="CG65" i="1"/>
  <c r="CG99" i="1" s="1"/>
  <c r="CG102" i="1" s="1"/>
  <c r="CN140" i="1"/>
  <c r="CN202" i="1" s="1"/>
  <c r="CH30" i="1"/>
  <c r="CH109" i="1"/>
  <c r="CI37" i="1"/>
  <c r="CI232" i="1"/>
  <c r="CI233" i="1" s="1"/>
  <c r="CI29" i="1"/>
  <c r="CI34" i="1"/>
  <c r="CI38" i="1" s="1"/>
  <c r="CJ31" i="1"/>
  <c r="CI250" i="1"/>
  <c r="CI251" i="1" s="1"/>
  <c r="CL249" i="1"/>
  <c r="CL206" i="1"/>
  <c r="CI203" i="1"/>
  <c r="CI201" i="1" s="1"/>
  <c r="CH246" i="1"/>
  <c r="CY133" i="1"/>
  <c r="CZ133" i="1" s="1"/>
  <c r="DA133" i="1" s="1"/>
  <c r="DB133" i="1" s="1"/>
  <c r="AE133" i="1" s="1"/>
  <c r="AD133" i="1"/>
  <c r="CK30" i="1"/>
  <c r="CG232" i="1"/>
  <c r="CG233" i="1" s="1"/>
  <c r="CJ226" i="1"/>
  <c r="CH31" i="1"/>
  <c r="CJ112" i="1"/>
  <c r="CG29" i="1"/>
  <c r="CG34" i="1"/>
  <c r="CK31" i="1"/>
  <c r="CJ250" i="1"/>
  <c r="CJ251" i="1" s="1"/>
  <c r="CJ232" i="1"/>
  <c r="CJ233" i="1" s="1"/>
  <c r="CJ29" i="1"/>
  <c r="CJ34" i="1"/>
  <c r="CJ38" i="1" s="1"/>
  <c r="CH108" i="1"/>
  <c r="CH107" i="1"/>
  <c r="CH29" i="1"/>
  <c r="CH34" i="1"/>
  <c r="CH38" i="1" s="1"/>
  <c r="CH250" i="1"/>
  <c r="CK112" i="1"/>
  <c r="CI31" i="1"/>
  <c r="CH232" i="1"/>
  <c r="CH233" i="1" s="1"/>
  <c r="CK41" i="1"/>
  <c r="CN124" i="1"/>
  <c r="CM128" i="1"/>
  <c r="CG249" i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31" i="1"/>
  <c r="CI112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I226" i="1"/>
  <c r="CA29" i="1"/>
  <c r="CG250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AB150" i="1"/>
  <c r="A1" i="1"/>
  <c r="CH94" i="1" l="1"/>
  <c r="CH96" i="1"/>
  <c r="CH95" i="1"/>
  <c r="AB131" i="1"/>
  <c r="CO11" i="1"/>
  <c r="CO27" i="1"/>
  <c r="CL41" i="1"/>
  <c r="CL44" i="1" s="1"/>
  <c r="CL40" i="1"/>
  <c r="CM17" i="1"/>
  <c r="CN17" i="1" s="1"/>
  <c r="CG103" i="1"/>
  <c r="CH251" i="1"/>
  <c r="CG38" i="1"/>
  <c r="CJ55" i="1"/>
  <c r="CG108" i="1"/>
  <c r="Z38" i="1"/>
  <c r="Z55" i="1"/>
  <c r="CI41" i="1"/>
  <c r="CI40" i="1"/>
  <c r="CO140" i="1"/>
  <c r="CP140" i="1" s="1"/>
  <c r="CH110" i="1"/>
  <c r="CO124" i="1"/>
  <c r="CN128" i="1"/>
  <c r="CG107" i="1"/>
  <c r="CE63" i="1"/>
  <c r="CF65" i="1"/>
  <c r="CG104" i="1"/>
  <c r="CK42" i="1"/>
  <c r="CK48" i="1"/>
  <c r="CK119" i="1" s="1"/>
  <c r="CJ41" i="1"/>
  <c r="CJ40" i="1"/>
  <c r="X38" i="1"/>
  <c r="X55" i="1"/>
  <c r="CH41" i="1"/>
  <c r="CL43" i="1" s="1"/>
  <c r="CH40" i="1"/>
  <c r="CU131" i="1"/>
  <c r="CV131" i="1" s="1"/>
  <c r="CW131" i="1" s="1"/>
  <c r="CX131" i="1" s="1"/>
  <c r="AC131" i="1"/>
  <c r="CM249" i="1"/>
  <c r="CM206" i="1"/>
  <c r="CH111" i="1"/>
  <c r="Y55" i="1"/>
  <c r="Y38" i="1"/>
  <c r="CG251" i="1"/>
  <c r="CF166" i="1"/>
  <c r="CA138" i="1"/>
  <c r="CB33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AC150" i="1"/>
  <c r="CP11" i="1" l="1"/>
  <c r="CP27" i="1"/>
  <c r="CQ27" i="1" s="1"/>
  <c r="CK120" i="1"/>
  <c r="CK129" i="1" s="1"/>
  <c r="CL42" i="1"/>
  <c r="CL48" i="1"/>
  <c r="CO202" i="1"/>
  <c r="CO17" i="1"/>
  <c r="CK66" i="1"/>
  <c r="CK52" i="1"/>
  <c r="Z41" i="1"/>
  <c r="AA43" i="1" s="1"/>
  <c r="Z40" i="1"/>
  <c r="CP124" i="1"/>
  <c r="CO128" i="1"/>
  <c r="X40" i="1"/>
  <c r="X41" i="1"/>
  <c r="CF99" i="1"/>
  <c r="CF107" i="1"/>
  <c r="CF110" i="1" s="1"/>
  <c r="CF113" i="1" s="1"/>
  <c r="CF108" i="1"/>
  <c r="CF111" i="1" s="1"/>
  <c r="CF114" i="1" s="1"/>
  <c r="CF92" i="1"/>
  <c r="CI48" i="1"/>
  <c r="CI42" i="1"/>
  <c r="CI245" i="1" s="1"/>
  <c r="CI234" i="1"/>
  <c r="CJ44" i="1"/>
  <c r="Y41" i="1"/>
  <c r="Y61" i="1" s="1"/>
  <c r="Y40" i="1"/>
  <c r="CN249" i="1"/>
  <c r="CN206" i="1"/>
  <c r="CH42" i="1"/>
  <c r="CH245" i="1" s="1"/>
  <c r="CH48" i="1"/>
  <c r="CH234" i="1"/>
  <c r="CI44" i="1"/>
  <c r="CH43" i="1"/>
  <c r="CD63" i="1"/>
  <c r="CE65" i="1"/>
  <c r="CP202" i="1"/>
  <c r="CQ140" i="1"/>
  <c r="CY131" i="1"/>
  <c r="CZ131" i="1" s="1"/>
  <c r="DA131" i="1" s="1"/>
  <c r="DB131" i="1" s="1"/>
  <c r="AE131" i="1" s="1"/>
  <c r="AD131" i="1"/>
  <c r="CK44" i="1"/>
  <c r="CJ234" i="1"/>
  <c r="CJ48" i="1"/>
  <c r="CJ42" i="1"/>
  <c r="CJ245" i="1" s="1"/>
  <c r="CG41" i="1"/>
  <c r="CG43" i="1" s="1"/>
  <c r="CG40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L98" i="1"/>
  <c r="CD189" i="1"/>
  <c r="CH189" i="1"/>
  <c r="BZ38" i="1"/>
  <c r="CB55" i="1"/>
  <c r="CD227" i="1"/>
  <c r="CF41" i="1"/>
  <c r="CF40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AE150" i="1"/>
  <c r="AD150" i="1"/>
  <c r="CF234" i="1" l="1"/>
  <c r="AA61" i="1"/>
  <c r="CR27" i="1"/>
  <c r="CS27" i="1" s="1"/>
  <c r="CT27" i="1" s="1"/>
  <c r="CQ11" i="1"/>
  <c r="CL52" i="1"/>
  <c r="CL66" i="1"/>
  <c r="CP17" i="1"/>
  <c r="CQ17" i="1" s="1"/>
  <c r="CM40" i="1"/>
  <c r="CQ202" i="1"/>
  <c r="CR140" i="1"/>
  <c r="CF94" i="1"/>
  <c r="CF96" i="1"/>
  <c r="CF95" i="1"/>
  <c r="CI119" i="1"/>
  <c r="CI120" i="1" s="1"/>
  <c r="CI193" i="1"/>
  <c r="CI195" i="1" s="1"/>
  <c r="CI52" i="1"/>
  <c r="CI66" i="1"/>
  <c r="CQ124" i="1"/>
  <c r="CP128" i="1"/>
  <c r="CE99" i="1"/>
  <c r="CE108" i="1"/>
  <c r="CE107" i="1"/>
  <c r="CC63" i="1"/>
  <c r="CD65" i="1"/>
  <c r="Z48" i="1"/>
  <c r="Z42" i="1"/>
  <c r="Z245" i="1" s="1"/>
  <c r="Z234" i="1"/>
  <c r="X42" i="1"/>
  <c r="X245" i="1" s="1"/>
  <c r="Y43" i="1"/>
  <c r="X234" i="1"/>
  <c r="X48" i="1"/>
  <c r="CK43" i="1"/>
  <c r="CG48" i="1"/>
  <c r="CH44" i="1"/>
  <c r="CG42" i="1"/>
  <c r="CG245" i="1" s="1"/>
  <c r="CJ227" i="1"/>
  <c r="CG234" i="1"/>
  <c r="CH193" i="1"/>
  <c r="CH195" i="1" s="1"/>
  <c r="CH199" i="1" s="1"/>
  <c r="CH213" i="1" s="1"/>
  <c r="CH66" i="1"/>
  <c r="CH52" i="1"/>
  <c r="CO249" i="1"/>
  <c r="CO206" i="1"/>
  <c r="CJ66" i="1"/>
  <c r="CJ193" i="1"/>
  <c r="CJ195" i="1" s="1"/>
  <c r="CJ52" i="1"/>
  <c r="CF102" i="1"/>
  <c r="CF104" i="1"/>
  <c r="CF103" i="1"/>
  <c r="Y42" i="1"/>
  <c r="Y245" i="1" s="1"/>
  <c r="Y234" i="1"/>
  <c r="Y48" i="1"/>
  <c r="Z43" i="1"/>
  <c r="CW125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AB126" i="1"/>
  <c r="AB136" i="1"/>
  <c r="AB135" i="1"/>
  <c r="AB127" i="1"/>
  <c r="AB122" i="1"/>
  <c r="AB151" i="1"/>
  <c r="AB143" i="1"/>
  <c r="AB118" i="1"/>
  <c r="CR11" i="1" l="1"/>
  <c r="CS11" i="1" s="1"/>
  <c r="CT11" i="1" s="1"/>
  <c r="CK69" i="1"/>
  <c r="CK87" i="1" s="1"/>
  <c r="CL69" i="1"/>
  <c r="CU27" i="1"/>
  <c r="CV27" i="1" s="1"/>
  <c r="CW27" i="1" s="1"/>
  <c r="CX27" i="1"/>
  <c r="CN40" i="1"/>
  <c r="CR17" i="1"/>
  <c r="CS17" i="1" s="1"/>
  <c r="CI92" i="1"/>
  <c r="CI207" i="1"/>
  <c r="CI205" i="1" s="1"/>
  <c r="CI129" i="1"/>
  <c r="CI55" i="1" s="1"/>
  <c r="CE102" i="1"/>
  <c r="CE103" i="1"/>
  <c r="CE104" i="1"/>
  <c r="Z193" i="1"/>
  <c r="Z195" i="1" s="1"/>
  <c r="Z199" i="1" s="1"/>
  <c r="Z213" i="1" s="1"/>
  <c r="Z54" i="1"/>
  <c r="Z52" i="1"/>
  <c r="Z207" i="1"/>
  <c r="Z205" i="1" s="1"/>
  <c r="CR124" i="1"/>
  <c r="CQ128" i="1"/>
  <c r="Y193" i="1"/>
  <c r="Y195" i="1" s="1"/>
  <c r="Y199" i="1" s="1"/>
  <c r="Y213" i="1" s="1"/>
  <c r="Y54" i="1"/>
  <c r="Y52" i="1"/>
  <c r="Y207" i="1"/>
  <c r="Y205" i="1" s="1"/>
  <c r="CD99" i="1"/>
  <c r="CD107" i="1"/>
  <c r="CD110" i="1" s="1"/>
  <c r="CD113" i="1" s="1"/>
  <c r="CD108" i="1"/>
  <c r="CD111" i="1" s="1"/>
  <c r="CD114" i="1" s="1"/>
  <c r="CD92" i="1"/>
  <c r="CD66" i="1"/>
  <c r="CG52" i="1"/>
  <c r="CG66" i="1"/>
  <c r="CJ69" i="1" s="1"/>
  <c r="CJ54" i="1"/>
  <c r="CG193" i="1"/>
  <c r="CG195" i="1" s="1"/>
  <c r="CG199" i="1" s="1"/>
  <c r="CG213" i="1" s="1"/>
  <c r="CG119" i="1"/>
  <c r="CG120" i="1" s="1"/>
  <c r="X193" i="1"/>
  <c r="X195" i="1" s="1"/>
  <c r="X52" i="1"/>
  <c r="X54" i="1"/>
  <c r="CP249" i="1"/>
  <c r="CP206" i="1"/>
  <c r="CR202" i="1"/>
  <c r="CS140" i="1"/>
  <c r="CJ207" i="1"/>
  <c r="CJ205" i="1" s="1"/>
  <c r="CB63" i="1"/>
  <c r="CC65" i="1"/>
  <c r="CX125" i="1"/>
  <c r="CN8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I5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C92" i="1" l="1"/>
  <c r="CK85" i="1"/>
  <c r="CK86" i="1"/>
  <c r="Z210" i="1"/>
  <c r="Z211" i="1" s="1"/>
  <c r="CO40" i="1"/>
  <c r="CP40" i="1" s="1"/>
  <c r="CQ40" i="1" s="1"/>
  <c r="CI69" i="1"/>
  <c r="CI87" i="1" s="1"/>
  <c r="CY27" i="1"/>
  <c r="CZ27" i="1" s="1"/>
  <c r="CT17" i="1"/>
  <c r="CU17" i="1" s="1"/>
  <c r="CD94" i="1"/>
  <c r="CD95" i="1"/>
  <c r="CD96" i="1"/>
  <c r="CQ249" i="1"/>
  <c r="CQ206" i="1"/>
  <c r="CC99" i="1"/>
  <c r="CC66" i="1"/>
  <c r="CA63" i="1"/>
  <c r="CB65" i="1"/>
  <c r="CJ86" i="1"/>
  <c r="CJ85" i="1"/>
  <c r="CJ87" i="1"/>
  <c r="CS202" i="1"/>
  <c r="CT140" i="1"/>
  <c r="CS124" i="1"/>
  <c r="CR128" i="1"/>
  <c r="CG92" i="1"/>
  <c r="CG129" i="1"/>
  <c r="CG55" i="1" s="1"/>
  <c r="CG207" i="1"/>
  <c r="CG205" i="1" s="1"/>
  <c r="CG210" i="1" s="1"/>
  <c r="CG160" i="1" s="1"/>
  <c r="CG161" i="1" s="1"/>
  <c r="CH207" i="1"/>
  <c r="CH205" i="1" s="1"/>
  <c r="CD102" i="1"/>
  <c r="CD104" i="1"/>
  <c r="CD103" i="1"/>
  <c r="Y210" i="1"/>
  <c r="Y211" i="1" s="1"/>
  <c r="CI94" i="1"/>
  <c r="CI95" i="1"/>
  <c r="CI96" i="1"/>
  <c r="CY125" i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I86" i="1" l="1"/>
  <c r="CI85" i="1"/>
  <c r="CV17" i="1"/>
  <c r="CW17" i="1" s="1"/>
  <c r="CR40" i="1"/>
  <c r="CS40" i="1" s="1"/>
  <c r="DA27" i="1"/>
  <c r="DB27" i="1" s="1"/>
  <c r="CT202" i="1"/>
  <c r="CU140" i="1"/>
  <c r="CU202" i="1"/>
  <c r="CG211" i="1"/>
  <c r="CG246" i="1"/>
  <c r="CG165" i="1"/>
  <c r="CG166" i="1" s="1"/>
  <c r="CH209" i="1"/>
  <c r="CH210" i="1" s="1"/>
  <c r="CH211" i="1" s="1"/>
  <c r="CG168" i="1"/>
  <c r="CG248" i="1"/>
  <c r="CG244" i="1"/>
  <c r="CG95" i="1"/>
  <c r="CG94" i="1"/>
  <c r="CG96" i="1"/>
  <c r="CR249" i="1"/>
  <c r="CR206" i="1"/>
  <c r="CT124" i="1"/>
  <c r="CS128" i="1"/>
  <c r="CB99" i="1"/>
  <c r="CB92" i="1"/>
  <c r="CB66" i="1"/>
  <c r="CE69" i="1" s="1"/>
  <c r="BZ63" i="1"/>
  <c r="CA65" i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AE164" i="1"/>
  <c r="AD164" i="1"/>
  <c r="AE154" i="1"/>
  <c r="AD154" i="1"/>
  <c r="AE155" i="1"/>
  <c r="AD155" i="1"/>
  <c r="AE147" i="1"/>
  <c r="AD147" i="1"/>
  <c r="BY231" i="1"/>
  <c r="CT40" i="1" l="1"/>
  <c r="CX17" i="1"/>
  <c r="CY17" i="1" s="1"/>
  <c r="CZ17" i="1" s="1"/>
  <c r="CU124" i="1"/>
  <c r="CT128" i="1"/>
  <c r="CG109" i="1"/>
  <c r="CH37" i="1"/>
  <c r="BY63" i="1"/>
  <c r="BZ65" i="1"/>
  <c r="CV140" i="1"/>
  <c r="CV202" i="1" s="1"/>
  <c r="CA66" i="1"/>
  <c r="CD69" i="1" s="1"/>
  <c r="CA92" i="1"/>
  <c r="CS249" i="1"/>
  <c r="CS206" i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CU11" i="1"/>
  <c r="CV11" i="1" s="1"/>
  <c r="CE166" i="1"/>
  <c r="AB20" i="1"/>
  <c r="DA17" i="1" l="1"/>
  <c r="DB17" i="1" s="1"/>
  <c r="CU40" i="1"/>
  <c r="BZ92" i="1"/>
  <c r="BZ66" i="1"/>
  <c r="CC69" i="1" s="1"/>
  <c r="CG70" i="1" s="1"/>
  <c r="CD86" i="1"/>
  <c r="CG90" i="1" s="1"/>
  <c r="CD87" i="1"/>
  <c r="CD85" i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T249" i="1"/>
  <c r="CT206" i="1"/>
  <c r="CH70" i="1"/>
  <c r="CG111" i="1"/>
  <c r="CG114" i="1" s="1"/>
  <c r="CG110" i="1"/>
  <c r="CG113" i="1" s="1"/>
  <c r="CW140" i="1"/>
  <c r="CW202" i="1"/>
  <c r="CV124" i="1"/>
  <c r="CU128" i="1"/>
  <c r="DB125" i="1"/>
  <c r="CJ90" i="1"/>
  <c r="CH90" i="1"/>
  <c r="CF37" i="1"/>
  <c r="CI90" i="1"/>
  <c r="CW11" i="1"/>
  <c r="CE110" i="1"/>
  <c r="CE113" i="1" s="1"/>
  <c r="AC20" i="1"/>
  <c r="BY232" i="1"/>
  <c r="BY233" i="1" s="1"/>
  <c r="CB69" i="1" l="1"/>
  <c r="CF70" i="1" s="1"/>
  <c r="CV40" i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U249" i="1"/>
  <c r="CU206" i="1"/>
  <c r="CW124" i="1"/>
  <c r="CV128" i="1"/>
  <c r="CX140" i="1"/>
  <c r="CY140" i="1" s="1"/>
  <c r="CX11" i="1"/>
  <c r="CY11" i="1" s="1"/>
  <c r="CZ11" i="1" s="1"/>
  <c r="AD20" i="1"/>
  <c r="BY234" i="1"/>
  <c r="CX202" i="1" l="1"/>
  <c r="CW40" i="1"/>
  <c r="CY202" i="1"/>
  <c r="CZ140" i="1"/>
  <c r="BL92" i="1"/>
  <c r="BL66" i="1"/>
  <c r="CV249" i="1"/>
  <c r="CV206" i="1"/>
  <c r="CX124" i="1"/>
  <c r="CW128" i="1"/>
  <c r="AK63" i="1"/>
  <c r="AJ63" i="1" s="1"/>
  <c r="AI63" i="1" s="1"/>
  <c r="AL65" i="1"/>
  <c r="DA11" i="1"/>
  <c r="DB11" i="1" s="1"/>
  <c r="AE20" i="1"/>
  <c r="CX40" i="1" l="1"/>
  <c r="CY40" i="1" s="1"/>
  <c r="CZ202" i="1"/>
  <c r="DA140" i="1"/>
  <c r="DB140" i="1" s="1"/>
  <c r="DB202" i="1" s="1"/>
  <c r="CW249" i="1"/>
  <c r="CW206" i="1"/>
  <c r="CY124" i="1"/>
  <c r="CX128" i="1"/>
  <c r="BI65" i="1"/>
  <c r="AT65" i="1"/>
  <c r="BT65" i="1"/>
  <c r="AV65" i="1"/>
  <c r="AX65" i="1"/>
  <c r="AR65" i="1"/>
  <c r="DA202" i="1" l="1"/>
  <c r="CZ40" i="1"/>
  <c r="DA40" i="1" s="1"/>
  <c r="DB40" i="1" s="1"/>
  <c r="CZ124" i="1"/>
  <c r="CY128" i="1"/>
  <c r="CX249" i="1"/>
  <c r="CX206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CY206" i="1" l="1"/>
  <c r="CY249" i="1"/>
  <c r="DA124" i="1"/>
  <c r="CZ128" i="1"/>
  <c r="BL231" i="1"/>
  <c r="CZ206" i="1" l="1"/>
  <c r="CZ249" i="1"/>
  <c r="DB124" i="1"/>
  <c r="DB128" i="1" s="1"/>
  <c r="DA128" i="1"/>
  <c r="AB140" i="1"/>
  <c r="DA206" i="1" l="1"/>
  <c r="DA249" i="1"/>
  <c r="DB249" i="1"/>
  <c r="DB206" i="1"/>
  <c r="CN77" i="1"/>
  <c r="AB202" i="1"/>
  <c r="CO77" i="1" l="1"/>
  <c r="CL194" i="1"/>
  <c r="CM63" i="1"/>
  <c r="W16" i="2"/>
  <c r="L13" i="2"/>
  <c r="Q11" i="2"/>
  <c r="K25" i="2"/>
  <c r="I10" i="2"/>
  <c r="Q15" i="2"/>
  <c r="F21" i="2"/>
  <c r="X9" i="2"/>
  <c r="X16" i="2"/>
  <c r="G15" i="2"/>
  <c r="M19" i="2"/>
  <c r="E30" i="2"/>
  <c r="H31" i="2"/>
  <c r="X18" i="2"/>
  <c r="C36" i="2"/>
  <c r="G21" i="2"/>
  <c r="C33" i="2"/>
  <c r="AR13" i="3"/>
  <c r="G9" i="3"/>
  <c r="AD6" i="3"/>
  <c r="CZ16" i="4" a="1"/>
  <c r="CQ6" i="4" a="1"/>
  <c r="CJ5" i="4" a="1"/>
  <c r="DW6" i="4" a="1"/>
  <c r="CC16" i="4" a="1"/>
  <c r="X14" i="2"/>
  <c r="L10" i="2"/>
  <c r="C9" i="2"/>
  <c r="M5" i="2"/>
  <c r="M29" i="2"/>
  <c r="M10" i="2"/>
  <c r="J14" i="2"/>
  <c r="J30" i="2"/>
  <c r="D34" i="3"/>
  <c r="D45" i="3"/>
  <c r="AK45" i="3"/>
  <c r="BE15" i="4" a="1"/>
  <c r="S15" i="4" a="1"/>
  <c r="CZ15" i="4" a="1"/>
  <c r="DF13" i="4" a="1"/>
  <c r="O16" i="2"/>
  <c r="C17" i="2"/>
  <c r="K36" i="2"/>
  <c r="Q19" i="2"/>
  <c r="G29" i="2"/>
  <c r="S13" i="2"/>
  <c r="Q9" i="2"/>
  <c r="U20" i="2"/>
  <c r="E15" i="2"/>
  <c r="P18" i="2"/>
  <c r="C11" i="2"/>
  <c r="AI46" i="3"/>
  <c r="AD14" i="3"/>
  <c r="D25" i="3"/>
  <c r="F12" i="4" a="1"/>
  <c r="BV13" i="4" a="1"/>
  <c r="BT13" i="4" a="1"/>
  <c r="U21" i="2"/>
  <c r="W13" i="2"/>
  <c r="F31" i="2"/>
  <c r="S22" i="2"/>
  <c r="L26" i="2"/>
  <c r="I7" i="2"/>
  <c r="E18" i="2"/>
  <c r="N22" i="2"/>
  <c r="D16" i="3"/>
  <c r="D9" i="3"/>
  <c r="H9" i="2"/>
  <c r="X11" i="2"/>
  <c r="P22" i="2"/>
  <c r="L19" i="2"/>
  <c r="I17" i="2"/>
  <c r="O34" i="2"/>
  <c r="V11" i="2"/>
  <c r="AR75" i="3"/>
  <c r="AG45" i="3"/>
  <c r="R46" i="3"/>
  <c r="AJ45" i="3"/>
  <c r="AF7" i="4" a="1"/>
  <c r="AK8" i="4" a="1"/>
  <c r="G23" i="2"/>
  <c r="D8" i="2"/>
  <c r="I20" i="2"/>
  <c r="C60" i="2"/>
  <c r="L18" i="2"/>
  <c r="J20" i="2"/>
  <c r="F26" i="2"/>
  <c r="I34" i="2"/>
  <c r="AR12" i="3"/>
  <c r="E35" i="3"/>
  <c r="AR29" i="3"/>
  <c r="Q47" i="2"/>
  <c r="J26" i="2"/>
  <c r="W30" i="2"/>
  <c r="R8" i="2"/>
  <c r="E28" i="2"/>
  <c r="M11" i="2"/>
  <c r="R22" i="2"/>
  <c r="X12" i="2"/>
  <c r="F33" i="3"/>
  <c r="AC45" i="3"/>
  <c r="AR35" i="3"/>
  <c r="DE11" i="4" a="1"/>
  <c r="DR5" i="4" a="1"/>
  <c r="CD8" i="4" a="1"/>
  <c r="DQ11" i="4" a="1"/>
  <c r="X28" i="2"/>
  <c r="M18" i="2"/>
  <c r="I9" i="2"/>
  <c r="O28" i="2"/>
  <c r="J29" i="2"/>
  <c r="T46" i="3"/>
  <c r="DO5" i="4" a="1"/>
  <c r="BB13" i="4" a="1"/>
  <c r="AY7" i="4" a="1"/>
  <c r="BP8" i="4" a="1"/>
  <c r="DP7" i="4" a="1"/>
  <c r="BP16" i="4" a="1"/>
  <c r="BG15" i="4" a="1"/>
  <c r="DH13" i="4" a="1"/>
  <c r="J13" i="4" a="1"/>
  <c r="CX16" i="4" a="1"/>
  <c r="DN7" i="4" a="1"/>
  <c r="Q15" i="4" a="1"/>
  <c r="DD14" i="4" a="1"/>
  <c r="X20" i="2"/>
  <c r="J23" i="2"/>
  <c r="D15" i="3"/>
  <c r="CI7" i="4" a="1"/>
  <c r="EK5" i="4" a="1"/>
  <c r="BZ9" i="4" a="1"/>
  <c r="CE6" i="4" a="1"/>
  <c r="D9" i="4" a="1"/>
  <c r="U25" i="2"/>
  <c r="P31" i="2"/>
  <c r="AR96" i="3"/>
  <c r="F15" i="3"/>
  <c r="BH5" i="4" a="1"/>
  <c r="V14" i="4" a="1"/>
  <c r="DG5" i="4" a="1"/>
  <c r="AY11" i="4" a="1"/>
  <c r="AA6" i="4" a="1"/>
  <c r="D12" i="4" a="1"/>
  <c r="BT5" i="4" a="1"/>
  <c r="BX13" i="4" a="1"/>
  <c r="P5" i="4" a="1"/>
  <c r="BZ12" i="4" a="1"/>
  <c r="AB7" i="4" a="1"/>
  <c r="N35" i="2"/>
  <c r="P25" i="2"/>
  <c r="F10" i="3"/>
  <c r="AR23" i="3"/>
  <c r="AJ14" i="4" a="1"/>
  <c r="BT9" i="4" a="1"/>
  <c r="N11" i="2"/>
  <c r="I36" i="2"/>
  <c r="T17" i="2"/>
  <c r="AR14" i="3"/>
  <c r="O11" i="2"/>
  <c r="X32" i="2"/>
  <c r="AH46" i="3"/>
  <c r="BN7" i="4" a="1"/>
  <c r="EG5" i="4" a="1"/>
  <c r="AL5" i="4" a="1"/>
  <c r="AM6" i="4" a="1"/>
  <c r="Z7" i="4" a="1"/>
  <c r="AL8" i="4" a="1"/>
  <c r="AS13" i="4" a="1"/>
  <c r="CD12" i="4" a="1"/>
  <c r="DZ7" i="4" a="1"/>
  <c r="EC13" i="4" a="1"/>
  <c r="DJ5" i="4" a="1"/>
  <c r="H11" i="2"/>
  <c r="C15" i="2"/>
  <c r="G10" i="3"/>
  <c r="AI14" i="4" a="1"/>
  <c r="C22" i="2"/>
  <c r="N21" i="2"/>
  <c r="E25" i="3"/>
  <c r="K45" i="3"/>
  <c r="D6" i="4" a="1"/>
  <c r="CN14" i="4" a="1"/>
  <c r="DU5" i="4" a="1"/>
  <c r="DB8" i="4" a="1"/>
  <c r="EF14" i="4" a="1"/>
  <c r="EC8" i="4" a="1"/>
  <c r="DL16" i="4" a="1"/>
  <c r="AQ9" i="4" a="1"/>
  <c r="J36" i="2"/>
  <c r="S14" i="2"/>
  <c r="D10" i="3"/>
  <c r="BK8" i="4" a="1"/>
  <c r="BZ5" i="4" a="1"/>
  <c r="DX13" i="4" a="1"/>
  <c r="X27" i="2"/>
  <c r="I6" i="2"/>
  <c r="AR25" i="3"/>
  <c r="AK11" i="4" a="1"/>
  <c r="BA5" i="4" a="1"/>
  <c r="AK6" i="4" a="1"/>
  <c r="DE16" i="4" a="1"/>
  <c r="BG7" i="4" a="1"/>
  <c r="J15" i="2"/>
  <c r="C14" i="2"/>
  <c r="E40" i="3"/>
  <c r="Y45" i="3"/>
  <c r="K20" i="2"/>
  <c r="R7" i="2"/>
  <c r="E42" i="3"/>
  <c r="AJ12" i="4" a="1"/>
  <c r="EE14" i="4" a="1"/>
  <c r="CP14" i="4" a="1"/>
  <c r="AD12" i="4" a="1"/>
  <c r="AD16" i="4" a="1"/>
  <c r="AD11" i="3"/>
  <c r="DW15" i="4" a="1"/>
  <c r="AS5" i="4" a="1"/>
  <c r="I8" i="4" a="1"/>
  <c r="BN8" i="4" a="1"/>
  <c r="AI6" i="4" a="1"/>
  <c r="CK7" i="4" a="1"/>
  <c r="CX13" i="4" a="1"/>
  <c r="DW8" i="4" a="1"/>
  <c r="DK11" i="4" a="1"/>
  <c r="BY5" i="4" a="1"/>
  <c r="AB16" i="4" a="1"/>
  <c r="EH6" i="4" a="1"/>
  <c r="DF16" i="4" a="1"/>
  <c r="DN6" i="4" a="1"/>
  <c r="AV5" i="4" a="1"/>
  <c r="AT13" i="4" a="1"/>
  <c r="Y14" i="4" a="1"/>
  <c r="CP16" i="4" a="1"/>
  <c r="DV9" i="4" a="1"/>
  <c r="DN16" i="4" a="1"/>
  <c r="DY12" i="4" a="1"/>
  <c r="G5" i="4" a="1"/>
  <c r="U11" i="4" a="1"/>
  <c r="DY5" i="4" a="1"/>
  <c r="DF7" i="4" a="1"/>
  <c r="AR8" i="4" a="1"/>
  <c r="AR16" i="4" a="1"/>
  <c r="DS8" i="4" a="1"/>
  <c r="T34" i="2"/>
  <c r="G20" i="2"/>
  <c r="T33" i="2"/>
  <c r="P17" i="2"/>
  <c r="K30" i="2"/>
  <c r="H17" i="2"/>
  <c r="J13" i="2"/>
  <c r="O33" i="2"/>
  <c r="X34" i="2"/>
  <c r="R35" i="2"/>
  <c r="C24" i="2"/>
  <c r="G22" i="2"/>
  <c r="M27" i="2"/>
  <c r="F12" i="2"/>
  <c r="E6" i="2"/>
  <c r="N34" i="2"/>
  <c r="V27" i="2"/>
  <c r="AR21" i="3"/>
  <c r="O46" i="3"/>
  <c r="AM45" i="3"/>
  <c r="BR12" i="4" a="1"/>
  <c r="CM8" i="4" a="1"/>
  <c r="I11" i="4" a="1"/>
  <c r="ED9" i="4" a="1"/>
  <c r="V21" i="2"/>
  <c r="H29" i="2"/>
  <c r="R18" i="2"/>
  <c r="I32" i="2"/>
  <c r="W10" i="2"/>
  <c r="U10" i="2"/>
  <c r="L30" i="2"/>
  <c r="O31" i="2"/>
  <c r="AR77" i="3"/>
  <c r="AP45" i="3"/>
  <c r="G13" i="3"/>
  <c r="N9" i="4" a="1"/>
  <c r="D8" i="4" a="1"/>
  <c r="EK15" i="4" a="1"/>
  <c r="CV12" i="4" a="1"/>
  <c r="AK5" i="4" a="1"/>
  <c r="U6" i="2"/>
  <c r="J10" i="2"/>
  <c r="M8" i="2"/>
  <c r="Q5" i="2"/>
  <c r="J33" i="2"/>
  <c r="Q12" i="2"/>
  <c r="Q24" i="2"/>
  <c r="H7" i="2"/>
  <c r="D13" i="2"/>
  <c r="V17" i="2"/>
  <c r="M21" i="2"/>
  <c r="AD17" i="3"/>
  <c r="D32" i="3"/>
  <c r="E27" i="3"/>
  <c r="CF16" i="4" a="1"/>
  <c r="CO6" i="4" a="1"/>
  <c r="BH12" i="4" a="1"/>
  <c r="U15" i="2"/>
  <c r="T22" i="2"/>
  <c r="P20" i="2"/>
  <c r="D35" i="2"/>
  <c r="U8" i="2"/>
  <c r="M17" i="2"/>
  <c r="R16" i="2"/>
  <c r="M6" i="2"/>
  <c r="E39" i="3"/>
  <c r="M46" i="3"/>
  <c r="F10" i="2"/>
  <c r="C6" i="2"/>
  <c r="D29" i="2"/>
  <c r="K7" i="2"/>
  <c r="G35" i="2"/>
  <c r="F29" i="2"/>
  <c r="AR60" i="3"/>
  <c r="F22" i="2"/>
  <c r="F39" i="3"/>
  <c r="G45" i="3"/>
  <c r="F5" i="3"/>
  <c r="BF9" i="4" a="1"/>
  <c r="CG16" i="4" a="1"/>
  <c r="Q6" i="2"/>
  <c r="O15" i="2"/>
  <c r="D24" i="2"/>
  <c r="N19" i="2"/>
  <c r="T19" i="2"/>
  <c r="I25" i="2"/>
  <c r="W71" i="2"/>
  <c r="H35" i="2"/>
  <c r="F19" i="3"/>
  <c r="AQ45" i="3"/>
  <c r="F13" i="2"/>
  <c r="R10" i="2"/>
  <c r="N27" i="2"/>
  <c r="C34" i="2"/>
  <c r="R9" i="2"/>
  <c r="H26" i="2"/>
  <c r="T21" i="2"/>
  <c r="S24" i="2"/>
  <c r="N15" i="2"/>
  <c r="F12" i="3"/>
  <c r="G23" i="3"/>
  <c r="DV16" i="4" a="1"/>
  <c r="BV5" i="4" a="1"/>
  <c r="K15" i="4" a="1"/>
  <c r="AI13" i="4" a="1"/>
  <c r="DK13" i="4" a="1"/>
  <c r="C8" i="2"/>
  <c r="S25" i="2"/>
  <c r="G33" i="2"/>
  <c r="S28" i="2"/>
  <c r="K22" i="2"/>
  <c r="AR40" i="3"/>
  <c r="CY15" i="4" a="1"/>
  <c r="CG12" i="4" a="1"/>
  <c r="W13" i="4" a="1"/>
  <c r="BB6" i="4" a="1"/>
  <c r="AV8" i="4" a="1"/>
  <c r="CI16" i="4" a="1"/>
  <c r="CF11" i="4" a="1"/>
  <c r="E12" i="4" a="1"/>
  <c r="AA8" i="4" a="1"/>
  <c r="DQ6" i="4" a="1"/>
  <c r="Z6" i="4" a="1"/>
  <c r="AA15" i="4" a="1"/>
  <c r="BS8" i="4" a="1"/>
  <c r="K9" i="2"/>
  <c r="S29" i="2"/>
  <c r="AD8" i="3"/>
  <c r="BL13" i="4" a="1"/>
  <c r="DN9" i="4" a="1"/>
  <c r="BR13" i="4" a="1"/>
  <c r="CT12" i="4" a="1"/>
  <c r="DS5" i="4" a="1"/>
  <c r="J25" i="2"/>
  <c r="J17" i="2"/>
  <c r="H45" i="3"/>
  <c r="D31" i="3"/>
  <c r="DS12" i="4" a="1"/>
  <c r="AO5" i="4" a="1"/>
  <c r="CF12" i="4" a="1"/>
  <c r="DJ6" i="4" a="1"/>
  <c r="AN13" i="4" a="1"/>
  <c r="AO7" i="4" a="1"/>
  <c r="AX9" i="4" a="1"/>
  <c r="CM11" i="4" a="1"/>
  <c r="EK14" i="4" a="1"/>
  <c r="CA16" i="4" a="1"/>
  <c r="DS9" i="4" a="1"/>
  <c r="G26" i="2"/>
  <c r="AR70" i="3"/>
  <c r="AR24" i="3"/>
  <c r="R45" i="3"/>
  <c r="BG5" i="4" a="1"/>
  <c r="CA8" i="4" a="1"/>
  <c r="U34" i="2"/>
  <c r="U26" i="2"/>
  <c r="I26" i="2"/>
  <c r="G29" i="3"/>
  <c r="N7" i="2"/>
  <c r="AR95" i="3"/>
  <c r="AK46" i="3"/>
  <c r="AI9" i="4" a="1"/>
  <c r="DM15" i="4" a="1"/>
  <c r="EF13" i="4" a="1"/>
  <c r="W8" i="4" a="1"/>
  <c r="I16" i="4" a="1"/>
  <c r="AJ16" i="4" a="1"/>
  <c r="CA6" i="4" a="1"/>
  <c r="L13" i="4" a="1"/>
  <c r="CD14" i="4" a="1"/>
  <c r="CX5" i="4" a="1"/>
  <c r="D32" i="2"/>
  <c r="C18" i="2"/>
  <c r="C30" i="2"/>
  <c r="G16" i="3"/>
  <c r="DU7" i="4" a="1"/>
  <c r="H16" i="2"/>
  <c r="AR62" i="3"/>
  <c r="C45" i="3"/>
  <c r="G25" i="3"/>
  <c r="CQ14" i="4" a="1"/>
  <c r="P9" i="4" a="1"/>
  <c r="DI13" i="4" a="1"/>
  <c r="CL16" i="4" a="1"/>
  <c r="DT6" i="4" a="1"/>
  <c r="DC14" i="4" a="1"/>
  <c r="EK12" i="4" a="1"/>
  <c r="AS11" i="4" a="1"/>
  <c r="W33" i="2"/>
  <c r="AS47" i="3"/>
  <c r="G18" i="3"/>
  <c r="AV9" i="4" a="1"/>
  <c r="M7" i="4" a="1"/>
  <c r="BL8" i="4" a="1"/>
  <c r="V22" i="2"/>
  <c r="N8" i="2"/>
  <c r="AD46" i="3"/>
  <c r="BJ12" i="4" a="1"/>
  <c r="CY16" i="4" a="1"/>
  <c r="BH14" i="4" a="1"/>
  <c r="AE12" i="4" a="1"/>
  <c r="M6" i="4" a="1"/>
  <c r="O22" i="2"/>
  <c r="E36" i="2"/>
  <c r="AE46" i="3"/>
  <c r="G22" i="3"/>
  <c r="T16" i="2"/>
  <c r="AR67" i="3"/>
  <c r="G6" i="3"/>
  <c r="CF7" i="4" a="1"/>
  <c r="AK13" i="4" a="1"/>
  <c r="BE7" i="4" a="1"/>
  <c r="AX16" i="4" a="1"/>
  <c r="K9" i="4" a="1"/>
  <c r="C15" i="4" a="1"/>
  <c r="DY14" i="4" a="1"/>
  <c r="CY8" i="4" a="1"/>
  <c r="BP14" i="4" a="1"/>
  <c r="EF11" i="4" a="1"/>
  <c r="CZ11" i="4" a="1"/>
  <c r="AY15" i="4" a="1"/>
  <c r="E7" i="4" a="1"/>
  <c r="BW5" i="4" a="1"/>
  <c r="AD14" i="4" a="1"/>
  <c r="EA8" i="4" a="1"/>
  <c r="T15" i="4" a="1"/>
  <c r="X13" i="4" a="1"/>
  <c r="EJ13" i="4" a="1"/>
  <c r="AR9" i="4" a="1"/>
  <c r="AZ13" i="4" a="1"/>
  <c r="BZ14" i="4" a="1"/>
  <c r="CC7" i="4" a="1"/>
  <c r="EH15" i="4" a="1"/>
  <c r="CA14" i="4" a="1"/>
  <c r="N16" i="4" a="1"/>
  <c r="BA13" i="4" a="1"/>
  <c r="BM7" i="4" a="1"/>
  <c r="CB14" i="4" a="1"/>
  <c r="CT9" i="4" a="1"/>
  <c r="AG9" i="4" a="1"/>
  <c r="BC15" i="4" a="1"/>
  <c r="U6" i="4" a="1"/>
  <c r="X14" i="4" a="1"/>
  <c r="S7" i="4" a="1"/>
  <c r="DH7" i="4" a="1"/>
  <c r="AO15" i="4" a="1"/>
  <c r="EB15" i="4" a="1"/>
  <c r="BF13" i="4" a="1"/>
  <c r="V16" i="4" a="1"/>
  <c r="BI5" i="4" a="1"/>
  <c r="DW5" i="4" a="1"/>
  <c r="CQ15" i="4" a="1"/>
  <c r="BZ7" i="4" a="1"/>
  <c r="BY9" i="4" a="1"/>
  <c r="BH15" i="4" a="1"/>
  <c r="D6" i="2"/>
  <c r="N29" i="2"/>
  <c r="O20" i="2"/>
  <c r="L28" i="2"/>
  <c r="O9" i="2"/>
  <c r="K21" i="2"/>
  <c r="Q22" i="2"/>
  <c r="L35" i="2"/>
  <c r="N28" i="2"/>
  <c r="N26" i="2"/>
  <c r="E11" i="2"/>
  <c r="T25" i="2"/>
  <c r="AR61" i="3"/>
  <c r="D23" i="3"/>
  <c r="D5" i="3"/>
  <c r="BT7" i="4" a="1"/>
  <c r="DG13" i="4" a="1"/>
  <c r="AU11" i="4" a="1"/>
  <c r="N5" i="2"/>
  <c r="F27" i="2"/>
  <c r="J9" i="2"/>
  <c r="T27" i="2"/>
  <c r="K6" i="2"/>
  <c r="AR94" i="3"/>
  <c r="F17" i="3"/>
  <c r="AL46" i="3"/>
  <c r="AZ14" i="4" a="1"/>
  <c r="I14" i="4" a="1"/>
  <c r="CS8" i="4" a="1"/>
  <c r="W9" i="2"/>
  <c r="V26" i="2"/>
  <c r="F34" i="2"/>
  <c r="L8" i="2"/>
  <c r="J21" i="2"/>
  <c r="H55" i="2"/>
  <c r="H18" i="2"/>
  <c r="T10" i="2"/>
  <c r="AR83" i="3"/>
  <c r="G31" i="3"/>
  <c r="F27" i="3"/>
  <c r="BF11" i="4" a="1"/>
  <c r="DH15" i="4" a="1"/>
  <c r="E33" i="2"/>
  <c r="C20" i="2"/>
  <c r="P14" i="2"/>
  <c r="M26" i="2"/>
  <c r="D18" i="2"/>
  <c r="F8" i="2"/>
  <c r="AM46" i="3"/>
  <c r="V46" i="3"/>
  <c r="U27" i="2"/>
  <c r="U30" i="2"/>
  <c r="P36" i="2"/>
  <c r="F20" i="2"/>
  <c r="E12" i="2"/>
  <c r="F32" i="2"/>
  <c r="S46" i="3"/>
  <c r="Z45" i="3"/>
  <c r="AR16" i="3"/>
  <c r="AI11" i="4" a="1"/>
  <c r="L17" i="2"/>
  <c r="K10" i="2"/>
  <c r="N31" i="2"/>
  <c r="P35" i="2"/>
  <c r="AR69" i="3"/>
  <c r="E22" i="2"/>
  <c r="D29" i="3"/>
  <c r="AR18" i="3"/>
  <c r="V35" i="2"/>
  <c r="J22" i="2"/>
  <c r="R20" i="2"/>
  <c r="M36" i="2"/>
  <c r="E7" i="2"/>
  <c r="Q55" i="2"/>
  <c r="N45" i="3"/>
  <c r="G30" i="3"/>
  <c r="EI16" i="4" a="1"/>
  <c r="AR11" i="4" a="1"/>
  <c r="DL13" i="4" a="1"/>
  <c r="CA12" i="4" a="1"/>
  <c r="W21" i="2"/>
  <c r="X19" i="2"/>
  <c r="Q25" i="2"/>
  <c r="AD45" i="3"/>
  <c r="DL15" i="4" a="1"/>
  <c r="P16" i="4" a="1"/>
  <c r="CT7" i="4" a="1"/>
  <c r="BJ6" i="4" a="1"/>
  <c r="CP9" i="4" a="1"/>
  <c r="CO15" i="4" a="1"/>
  <c r="CO16" i="4" a="1"/>
  <c r="CH16" i="4" a="1"/>
  <c r="CU12" i="4" a="1"/>
  <c r="T12" i="2"/>
  <c r="T11" i="2"/>
  <c r="F11" i="3"/>
  <c r="DG8" i="4" a="1"/>
  <c r="DG11" i="4" a="1"/>
  <c r="D7" i="4" a="1"/>
  <c r="BS14" i="4" a="1"/>
  <c r="F19" i="2"/>
  <c r="D36" i="3"/>
  <c r="DM5" i="4" a="1"/>
  <c r="DH8" i="4" a="1"/>
  <c r="BU13" i="4" a="1"/>
  <c r="U12" i="4" a="1"/>
  <c r="DN15" i="4" a="1"/>
  <c r="AX14" i="4" a="1"/>
  <c r="CY9" i="4" a="1"/>
  <c r="J15" i="4" a="1"/>
  <c r="O14" i="4" a="1"/>
  <c r="E25" i="2"/>
  <c r="I13" i="2"/>
  <c r="DT7" i="4" a="1"/>
  <c r="AB11" i="4" a="1"/>
  <c r="BI7" i="4" a="1"/>
  <c r="C29" i="2"/>
  <c r="E10" i="3"/>
  <c r="Q8" i="2"/>
  <c r="X35" i="2"/>
  <c r="F21" i="3"/>
  <c r="BW15" i="4" a="1"/>
  <c r="AF8" i="4" a="1"/>
  <c r="BV16" i="4" a="1"/>
  <c r="BV8" i="4" a="1"/>
  <c r="BT15" i="4" a="1"/>
  <c r="V11" i="4" a="1"/>
  <c r="DT5" i="4" a="1"/>
  <c r="K23" i="2"/>
  <c r="AR55" i="3"/>
  <c r="AR32" i="3"/>
  <c r="AN8" i="4" a="1"/>
  <c r="S31" i="2"/>
  <c r="P10" i="2"/>
  <c r="DO14" i="4" a="1"/>
  <c r="Q14" i="4" a="1"/>
  <c r="AP16" i="4" a="1"/>
  <c r="CB5" i="4" a="1"/>
  <c r="BF14" i="4" a="1"/>
  <c r="AJ7" i="4" a="1"/>
  <c r="AN12" i="4" a="1"/>
  <c r="T31" i="2"/>
  <c r="F29" i="3"/>
  <c r="AX11" i="4" a="1"/>
  <c r="AE7" i="4" a="1"/>
  <c r="P28" i="2"/>
  <c r="R30" i="2"/>
  <c r="F7" i="3"/>
  <c r="CN16" i="4" a="1"/>
  <c r="BK12" i="4" a="1"/>
  <c r="CK11" i="4" a="1"/>
  <c r="BO16" i="4" a="1"/>
  <c r="J5" i="2"/>
  <c r="C46" i="3"/>
  <c r="D23" i="2"/>
  <c r="E9" i="2"/>
  <c r="Q46" i="3"/>
  <c r="EG14" i="4" a="1"/>
  <c r="BC5" i="4" a="1"/>
  <c r="U5" i="4" a="1"/>
  <c r="CZ8" i="4" a="1"/>
  <c r="EH13" i="4" a="1"/>
  <c r="AZ9" i="4" a="1"/>
  <c r="CW13" i="4" a="1"/>
  <c r="DH9" i="4" a="1"/>
  <c r="EA12" i="4" a="1"/>
  <c r="EE7" i="4" a="1"/>
  <c r="AW16" i="4" a="1"/>
  <c r="F15" i="4" a="1"/>
  <c r="R7" i="4" a="1"/>
  <c r="AC6" i="4" a="1"/>
  <c r="AE15" i="4" a="1"/>
  <c r="BT14" i="4" a="1"/>
  <c r="AT9" i="4" a="1"/>
  <c r="BR16" i="4" a="1"/>
  <c r="CZ14" i="4" a="1"/>
  <c r="AO6" i="4" a="1"/>
  <c r="DB16" i="4" a="1"/>
  <c r="AI15" i="4" a="1"/>
  <c r="CM13" i="4" a="1"/>
  <c r="J14" i="4" a="1"/>
  <c r="AP13" i="4" a="1"/>
  <c r="EJ6" i="4" a="1"/>
  <c r="BO7" i="4" a="1"/>
  <c r="CM5" i="4" a="1"/>
  <c r="DJ11" i="4" a="1"/>
  <c r="BO5" i="4" a="1"/>
  <c r="BC9" i="4" a="1"/>
  <c r="V6" i="4" a="1"/>
  <c r="EE6" i="4" a="1"/>
  <c r="CO7" i="4" a="1"/>
  <c r="BH8" i="4" a="1"/>
  <c r="AM12" i="4" a="1"/>
  <c r="BQ6" i="4" a="1"/>
  <c r="W16" i="4" a="1"/>
  <c r="AS12" i="4" a="1"/>
  <c r="BA6" i="4" a="1"/>
  <c r="AQ5" i="4" a="1"/>
  <c r="BJ14" i="4" a="1"/>
  <c r="K8" i="4" a="1"/>
  <c r="F14" i="4" a="1"/>
  <c r="AN5" i="4" a="1"/>
  <c r="EI7" i="4" a="1"/>
  <c r="W12" i="4" a="1"/>
  <c r="AN9" i="4" a="1"/>
  <c r="CT13" i="4" a="1"/>
  <c r="AV14" i="4" a="1"/>
  <c r="EF9" i="4" a="1"/>
  <c r="CL7" i="4" a="1"/>
  <c r="BQ14" i="4" a="1"/>
  <c r="BT11" i="4" a="1"/>
  <c r="DW16" i="4" a="1"/>
  <c r="BG9" i="4" a="1"/>
  <c r="U8" i="4" a="1"/>
  <c r="BM11" i="4" a="1"/>
  <c r="DP15" i="4" a="1"/>
  <c r="BW7" i="4" a="1"/>
  <c r="AC5" i="4" a="1"/>
  <c r="O9" i="4" a="1"/>
  <c r="AT16" i="4" a="1"/>
  <c r="AE14" i="4" a="1"/>
  <c r="EK13" i="4" a="1"/>
  <c r="K6" i="4" a="1"/>
  <c r="BR8" i="4" a="1"/>
  <c r="L5" i="4" a="1"/>
  <c r="CM15" i="4" a="1"/>
  <c r="AW15" i="4" a="1"/>
  <c r="CM14" i="4" a="1"/>
  <c r="O15" i="4" a="1"/>
  <c r="CH9" i="4" a="1"/>
  <c r="DK12" i="4" a="1"/>
  <c r="DT15" i="4" a="1"/>
  <c r="BA14" i="4" a="1"/>
  <c r="AG5" i="4" a="1"/>
  <c r="AS7" i="4" a="1"/>
  <c r="DU12" i="4" a="1"/>
  <c r="EA5" i="4" a="1"/>
  <c r="BY16" i="4" a="1"/>
  <c r="BE14" i="4" a="1"/>
  <c r="CY11" i="4" a="1"/>
  <c r="CQ9" i="4" a="1"/>
  <c r="AH7" i="4" a="1"/>
  <c r="G16" i="4" a="1"/>
  <c r="AX13" i="4" a="1"/>
  <c r="BQ13" i="4" a="1"/>
  <c r="DR12" i="4" a="1"/>
  <c r="AG16" i="4" a="1"/>
  <c r="CB6" i="4" a="1"/>
  <c r="AY13" i="4" a="1"/>
  <c r="AT6" i="4" a="1"/>
  <c r="CY13" i="4" a="1"/>
  <c r="CA7" i="4" a="1"/>
  <c r="C12" i="4" a="1"/>
  <c r="DE13" i="4" a="1"/>
  <c r="BB16" i="4" a="1"/>
  <c r="DX5" i="4" a="1"/>
  <c r="DB11" i="4" a="1"/>
  <c r="AD13" i="4" a="1"/>
  <c r="BW14" i="4" a="1"/>
  <c r="BK14" i="4" a="1"/>
  <c r="W14" i="4" a="1"/>
  <c r="F91" i="3"/>
  <c r="D84" i="3"/>
  <c r="D96" i="3"/>
  <c r="D79" i="3"/>
  <c r="D62" i="3"/>
  <c r="F55" i="3"/>
  <c r="F75" i="3"/>
  <c r="F90" i="3"/>
  <c r="F87" i="3"/>
  <c r="D77" i="3"/>
  <c r="D92" i="3"/>
  <c r="AC9" i="4" a="1"/>
  <c r="CF9" i="4" a="1"/>
  <c r="G11" i="2"/>
  <c r="AN45" i="3"/>
  <c r="BV14" i="4" a="1"/>
  <c r="AA12" i="4" a="1"/>
  <c r="AY12" i="4" a="1"/>
  <c r="DK16" i="4" a="1"/>
  <c r="AG11" i="4" a="1"/>
  <c r="AQ16" i="4" a="1"/>
  <c r="F35" i="2"/>
  <c r="AF50" i="3"/>
  <c r="DR16" i="4" a="1"/>
  <c r="M14" i="4" a="1"/>
  <c r="N6" i="2"/>
  <c r="AJ46" i="3"/>
  <c r="R16" i="4" a="1"/>
  <c r="U9" i="4" a="1"/>
  <c r="V10" i="2"/>
  <c r="BX16" i="4" a="1"/>
  <c r="AJ5" i="4" a="1"/>
  <c r="W7" i="4" a="1"/>
  <c r="CC15" i="4" a="1"/>
  <c r="CR14" i="4" a="1"/>
  <c r="BR6" i="4" a="1"/>
  <c r="DJ16" i="4" a="1"/>
  <c r="C16" i="4" a="1"/>
  <c r="AP7" i="4" a="1"/>
  <c r="DU15" i="4" a="1"/>
  <c r="T11" i="4" a="1"/>
  <c r="CS12" i="4" a="1"/>
  <c r="DU8" i="4" a="1"/>
  <c r="AW5" i="4" a="1"/>
  <c r="DG9" i="4" a="1"/>
  <c r="DM8" i="4" a="1"/>
  <c r="AQ8" i="4" a="1"/>
  <c r="BY6" i="4" a="1"/>
  <c r="AJ15" i="4" a="1"/>
  <c r="BG8" i="4" a="1"/>
  <c r="EF15" i="4" a="1"/>
  <c r="AS8" i="4" a="1"/>
  <c r="AE13" i="4" a="1"/>
  <c r="BB12" i="4" a="1"/>
  <c r="AX12" i="4" a="1"/>
  <c r="DW11" i="4" a="1"/>
  <c r="DG14" i="4" a="1"/>
  <c r="E6" i="4" a="1"/>
  <c r="EC12" i="4" a="1"/>
  <c r="BG6" i="4" a="1"/>
  <c r="AW11" i="4" a="1"/>
  <c r="EK6" i="4" a="1"/>
  <c r="DH11" i="4" a="1"/>
  <c r="AP8" i="4" a="1"/>
  <c r="BZ6" i="4" a="1"/>
  <c r="X9" i="4" a="1"/>
  <c r="F7" i="4" a="1"/>
  <c r="CW11" i="4" a="1"/>
  <c r="CU16" i="4" a="1"/>
  <c r="DN5" i="4" a="1"/>
  <c r="DA5" i="4" a="1"/>
  <c r="DV5" i="4" a="1"/>
  <c r="EI9" i="4" a="1"/>
  <c r="L11" i="4" a="1"/>
  <c r="BD14" i="4" a="1"/>
  <c r="AF15" i="4" a="1"/>
  <c r="AP12" i="4" a="1"/>
  <c r="DI7" i="4" a="1"/>
  <c r="AU16" i="4" a="1"/>
  <c r="V7" i="4" a="1"/>
  <c r="CX11" i="4" a="1"/>
  <c r="DJ12" i="4" a="1"/>
  <c r="EH8" i="4" a="1"/>
  <c r="F61" i="3"/>
  <c r="D85" i="3"/>
  <c r="D83" i="3"/>
  <c r="F69" i="3"/>
  <c r="AD5" i="3"/>
  <c r="K7" i="4" a="1"/>
  <c r="BR5" i="4" a="1"/>
  <c r="CR5" i="4" a="1"/>
  <c r="S27" i="2"/>
  <c r="R24" i="2"/>
  <c r="Q10" i="2"/>
  <c r="W34" i="2"/>
  <c r="AR9" i="3"/>
  <c r="AO45" i="3"/>
  <c r="DQ16" i="4" a="1"/>
  <c r="U23" i="2"/>
  <c r="E31" i="2"/>
  <c r="AR93" i="3"/>
  <c r="G46" i="3"/>
  <c r="BU12" i="4" a="1"/>
  <c r="H12" i="2"/>
  <c r="N25" i="2"/>
  <c r="K8" i="2"/>
  <c r="O29" i="2"/>
  <c r="G34" i="2"/>
  <c r="Q17" i="2"/>
  <c r="S32" i="2"/>
  <c r="X13" i="2"/>
  <c r="M25" i="2"/>
  <c r="F7" i="2"/>
  <c r="K44" i="2"/>
  <c r="W22" i="2"/>
  <c r="AQ6" i="3"/>
  <c r="U45" i="3"/>
  <c r="AD9" i="4" a="1"/>
  <c r="BS6" i="4" a="1"/>
  <c r="P7" i="4" a="1"/>
  <c r="BE6" i="4" a="1"/>
  <c r="I27" i="2"/>
  <c r="K12" i="2"/>
  <c r="F11" i="2"/>
  <c r="P26" i="2"/>
  <c r="F16" i="2"/>
  <c r="C16" i="2"/>
  <c r="D19" i="3"/>
  <c r="AP46" i="3"/>
  <c r="BY7" i="4" a="1"/>
  <c r="AB13" i="4" a="1"/>
  <c r="DI8" i="4" a="1"/>
  <c r="S35" i="2"/>
  <c r="D48" i="2"/>
  <c r="O30" i="2"/>
  <c r="U36" i="2"/>
  <c r="U18" i="2"/>
  <c r="U7" i="2"/>
  <c r="P30" i="2"/>
  <c r="C7" i="2"/>
  <c r="P12" i="2"/>
  <c r="E18" i="3"/>
  <c r="F9" i="3"/>
  <c r="Y16" i="4" a="1"/>
  <c r="AC16" i="4" a="1"/>
  <c r="M22" i="2"/>
  <c r="D34" i="2"/>
  <c r="W32" i="2"/>
  <c r="T18" i="2"/>
  <c r="W7" i="2"/>
  <c r="D5" i="2"/>
  <c r="D33" i="3"/>
  <c r="AG46" i="3"/>
  <c r="H8" i="2"/>
  <c r="E19" i="2"/>
  <c r="C28" i="2"/>
  <c r="R14" i="2"/>
  <c r="P5" i="2"/>
  <c r="M31" i="2"/>
  <c r="F20" i="3"/>
  <c r="G15" i="3"/>
  <c r="CI14" i="4" a="1"/>
  <c r="CD5" i="4" a="1"/>
  <c r="P7" i="2"/>
  <c r="O12" i="2"/>
  <c r="K16" i="2"/>
  <c r="X21" i="2"/>
  <c r="T8" i="2"/>
  <c r="L27" i="2"/>
  <c r="V45" i="3"/>
  <c r="E34" i="3"/>
  <c r="N36" i="2"/>
  <c r="S16" i="2"/>
  <c r="V5" i="2"/>
  <c r="D31" i="2"/>
  <c r="K18" i="2"/>
  <c r="D25" i="2"/>
  <c r="G14" i="3"/>
  <c r="AR10" i="3"/>
  <c r="AI16" i="4" a="1"/>
  <c r="J5" i="4" a="1"/>
  <c r="DD9" i="4" a="1"/>
  <c r="DZ6" i="4" a="1"/>
  <c r="L12" i="2"/>
  <c r="I31" i="2"/>
  <c r="Q36" i="2"/>
  <c r="AL45" i="3"/>
  <c r="CZ12" i="4" a="1"/>
  <c r="DE12" i="4" a="1"/>
  <c r="AI5" i="4" a="1"/>
  <c r="BQ11" i="4" a="1"/>
  <c r="DB12" i="4" a="1"/>
  <c r="V9" i="4" a="1"/>
  <c r="DU6" i="4" a="1"/>
  <c r="AW8" i="4" a="1"/>
  <c r="BN5" i="4" a="1"/>
  <c r="D28" i="2"/>
  <c r="AR97" i="3"/>
  <c r="G28" i="3"/>
  <c r="BZ8" i="4" a="1"/>
  <c r="X5" i="4" a="1"/>
  <c r="CP8" i="4" a="1"/>
  <c r="N12" i="4" a="1"/>
  <c r="Q20" i="2"/>
  <c r="AD18" i="3"/>
  <c r="EJ5" i="4" a="1"/>
  <c r="M5" i="4" a="1"/>
  <c r="CF6" i="4" a="1"/>
  <c r="BE5" i="4" a="1"/>
  <c r="AX15" i="4" a="1"/>
  <c r="AE11" i="4" a="1"/>
  <c r="DJ8" i="4" a="1"/>
  <c r="C14" i="4" a="1"/>
  <c r="EE9" i="4" a="1"/>
  <c r="N30" i="2"/>
  <c r="E46" i="2"/>
  <c r="DZ14" i="4" a="1"/>
  <c r="R6" i="4" a="1"/>
  <c r="EE11" i="4" a="1"/>
  <c r="AR90" i="3"/>
  <c r="AB45" i="3"/>
  <c r="P6" i="2"/>
  <c r="U9" i="2"/>
  <c r="E19" i="3"/>
  <c r="T7" i="4" a="1"/>
  <c r="DN12" i="4" a="1"/>
  <c r="DT9" i="4" a="1"/>
  <c r="G14" i="4" a="1"/>
  <c r="DR6" i="4" a="1"/>
  <c r="CO14" i="4" a="1"/>
  <c r="DT14" i="4" a="1"/>
  <c r="S9" i="2"/>
  <c r="J8" i="2"/>
  <c r="E33" i="3"/>
  <c r="DV7" i="4" a="1"/>
  <c r="Q13" i="2"/>
  <c r="AF48" i="3"/>
  <c r="Y5" i="4" a="1"/>
  <c r="CX6" i="4" a="1"/>
  <c r="AH15" i="4" a="1"/>
  <c r="AV15" i="4" a="1"/>
  <c r="BQ15" i="4" a="1"/>
  <c r="AY5" i="4" a="1"/>
  <c r="Q57" i="2"/>
  <c r="R36" i="2"/>
  <c r="W46" i="3"/>
  <c r="DT12" i="4" a="1"/>
  <c r="DY8" i="4" a="1"/>
  <c r="T24" i="2"/>
  <c r="V25" i="2"/>
  <c r="J45" i="3"/>
  <c r="AK14" i="4" a="1"/>
  <c r="EI6" i="4" a="1"/>
  <c r="BM13" i="4" a="1"/>
  <c r="R33" i="2"/>
  <c r="E16" i="2"/>
  <c r="D42" i="3"/>
  <c r="P19" i="2"/>
  <c r="AR86" i="3"/>
  <c r="F26" i="3"/>
  <c r="DI14" i="4" a="1"/>
  <c r="T8" i="4" a="1"/>
  <c r="H6" i="4" a="1"/>
  <c r="D11" i="4" a="1"/>
  <c r="DP8" i="4" a="1"/>
  <c r="BC14" i="4" a="1"/>
  <c r="CG5" i="4" a="1"/>
  <c r="BM12" i="4" a="1"/>
  <c r="H7" i="4" a="1"/>
  <c r="N5" i="4" a="1"/>
  <c r="DD15" i="4" a="1"/>
  <c r="DM11" i="4" a="1"/>
  <c r="T13" i="4" a="1"/>
  <c r="CJ8" i="4" a="1"/>
  <c r="CR16" i="4" a="1"/>
  <c r="DF9" i="4" a="1"/>
  <c r="CK8" i="4" a="1"/>
  <c r="CU7" i="4" a="1"/>
  <c r="BF15" i="4" a="1"/>
  <c r="AN16" i="4" a="1"/>
  <c r="BK11" i="4" a="1"/>
  <c r="CS6" i="4" a="1"/>
  <c r="CL9" i="4" a="1"/>
  <c r="BM9" i="4" a="1"/>
  <c r="AF13" i="4" a="1"/>
  <c r="DD8" i="4" a="1"/>
  <c r="DM9" i="4" a="1"/>
  <c r="CO12" i="4" a="1"/>
  <c r="AM8" i="4" a="1"/>
  <c r="Y6" i="4" a="1"/>
  <c r="CB13" i="4" a="1"/>
  <c r="DX8" i="4" a="1"/>
  <c r="CC14" i="4" a="1"/>
  <c r="BK5" i="4" a="1"/>
  <c r="BZ16" i="4" a="1"/>
  <c r="CC12" i="4" a="1"/>
  <c r="BD8" i="4" a="1"/>
  <c r="CJ15" i="4" a="1"/>
  <c r="DT8" i="4" a="1"/>
  <c r="AK12" i="4" a="1"/>
  <c r="BD12" i="4" a="1"/>
  <c r="ED11" i="4" a="1"/>
  <c r="CU14" i="4" a="1"/>
  <c r="V13" i="4" a="1"/>
  <c r="BL15" i="4" a="1"/>
  <c r="BX9" i="4" a="1"/>
  <c r="AU7" i="4" a="1"/>
  <c r="BB15" i="4" a="1"/>
  <c r="DD6" i="4" a="1"/>
  <c r="DX14" i="4" a="1"/>
  <c r="CL5" i="4" a="1"/>
  <c r="AQ14" i="4" a="1"/>
  <c r="S16" i="4" a="1"/>
  <c r="BI8" i="4" a="1"/>
  <c r="DS14" i="4" a="1"/>
  <c r="CU11" i="4" a="1"/>
  <c r="BR7" i="4" a="1"/>
  <c r="CR15" i="4" a="1"/>
  <c r="CJ11" i="4" a="1"/>
  <c r="BJ15" i="4" a="1"/>
  <c r="DX9" i="4" a="1"/>
  <c r="BT8" i="4" a="1"/>
  <c r="CB8" i="4" a="1"/>
  <c r="X12" i="4" a="1"/>
  <c r="S13" i="4" a="1"/>
  <c r="D16" i="4" a="1"/>
  <c r="AX7" i="4" a="1"/>
  <c r="DC15" i="4" a="1"/>
  <c r="F13" i="4" a="1"/>
  <c r="DM14" i="4" a="1"/>
  <c r="DN8" i="4" a="1"/>
  <c r="CU13" i="4" a="1"/>
  <c r="AH14" i="4" a="1"/>
  <c r="DA16" i="4" a="1"/>
  <c r="DV14" i="4" a="1"/>
  <c r="DR15" i="4" a="1"/>
  <c r="CE12" i="4" a="1"/>
  <c r="AL11" i="4" a="1"/>
  <c r="EI15" i="4" a="1"/>
  <c r="I13" i="4" a="1"/>
  <c r="BT12" i="4" a="1"/>
  <c r="BK7" i="4" a="1"/>
  <c r="BI12" i="4" a="1"/>
  <c r="CK13" i="4" a="1"/>
  <c r="CV15" i="4" a="1"/>
  <c r="ED12" i="4" a="1"/>
  <c r="BH9" i="4" a="1"/>
  <c r="AA5" i="4" a="1"/>
  <c r="AR14" i="4" a="1"/>
  <c r="DS13" i="4" a="1"/>
  <c r="AQ15" i="4" a="1"/>
  <c r="AR15" i="4" a="1"/>
  <c r="AW12" i="4" a="1"/>
  <c r="EB12" i="4" a="1"/>
  <c r="J11" i="4" a="1"/>
  <c r="CD16" i="4" a="1"/>
  <c r="CE15" i="4" a="1"/>
  <c r="DE7" i="4" a="1"/>
  <c r="DW13" i="4" a="1"/>
  <c r="DL8" i="4" a="1"/>
  <c r="CO8" i="4" a="1"/>
  <c r="Q11" i="4" a="1"/>
  <c r="BJ9" i="4" a="1"/>
  <c r="AD63" i="3"/>
  <c r="F65" i="3"/>
  <c r="D66" i="3"/>
  <c r="D63" i="3"/>
  <c r="AD67" i="3"/>
  <c r="F60" i="3"/>
  <c r="F56" i="3"/>
  <c r="AD83" i="3"/>
  <c r="AD77" i="3"/>
  <c r="D71" i="3"/>
  <c r="AD57" i="3"/>
  <c r="F85" i="3"/>
  <c r="AD90" i="3"/>
  <c r="AD66" i="3"/>
  <c r="F84" i="3"/>
  <c r="D70" i="3"/>
  <c r="G36" i="2"/>
  <c r="I12" i="2"/>
  <c r="K31" i="2"/>
  <c r="Q26" i="2"/>
  <c r="Q35" i="2"/>
  <c r="M33" i="2"/>
  <c r="G7" i="2"/>
  <c r="L16" i="2"/>
  <c r="W8" i="2"/>
  <c r="X25" i="2"/>
  <c r="L14" i="2"/>
  <c r="AR85" i="3"/>
  <c r="E5" i="3"/>
  <c r="E38" i="3"/>
  <c r="E16" i="4" a="1"/>
  <c r="AI7" i="4" a="1"/>
  <c r="CO13" i="4" a="1"/>
  <c r="G12" i="4" a="1"/>
  <c r="J18" i="2"/>
  <c r="R6" i="2"/>
  <c r="J6" i="2"/>
  <c r="R15" i="2"/>
  <c r="H32" i="2"/>
  <c r="AR65" i="3"/>
  <c r="E28" i="3"/>
  <c r="AR39" i="3"/>
  <c r="EC15" i="4" a="1"/>
  <c r="BC12" i="4" a="1"/>
  <c r="CK14" i="4" a="1"/>
  <c r="K5" i="2"/>
  <c r="X23" i="2"/>
  <c r="X10" i="2"/>
  <c r="U14" i="2"/>
  <c r="Q33" i="2"/>
  <c r="W11" i="2"/>
  <c r="L36" i="2"/>
  <c r="AR57" i="3"/>
  <c r="H25" i="2"/>
  <c r="D40" i="3"/>
  <c r="AR31" i="3"/>
  <c r="Z15" i="4" a="1"/>
  <c r="CT8" i="4" a="1"/>
  <c r="G6" i="2"/>
  <c r="R5" i="2"/>
  <c r="W20" i="2"/>
  <c r="S6" i="2"/>
  <c r="Q7" i="2"/>
  <c r="AR87" i="3"/>
  <c r="G27" i="3"/>
  <c r="F34" i="3"/>
  <c r="U29" i="2"/>
  <c r="K13" i="2"/>
  <c r="H36" i="2"/>
  <c r="L31" i="2"/>
  <c r="O23" i="2"/>
  <c r="K14" i="2"/>
  <c r="E41" i="3"/>
  <c r="P46" i="3"/>
  <c r="Z8" i="4" a="1"/>
  <c r="M14" i="2"/>
  <c r="O17" i="2"/>
  <c r="D7" i="2"/>
  <c r="V36" i="2"/>
  <c r="S8" i="2"/>
  <c r="E5" i="2"/>
  <c r="O14" i="2"/>
  <c r="E23" i="3"/>
  <c r="U19" i="2"/>
  <c r="W17" i="2"/>
  <c r="R13" i="2"/>
  <c r="J31" i="2"/>
  <c r="V9" i="2"/>
  <c r="X36" i="2"/>
  <c r="AR34" i="3"/>
  <c r="AR15" i="3"/>
  <c r="D7" i="3"/>
  <c r="BD15" i="4" a="1"/>
  <c r="W5" i="4" a="1"/>
  <c r="O6" i="4" a="1"/>
  <c r="V34" i="2"/>
  <c r="I16" i="2"/>
  <c r="T30" i="2"/>
  <c r="E20" i="2"/>
  <c r="D6" i="3"/>
  <c r="W11" i="4" a="1"/>
  <c r="BQ9" i="4" a="1"/>
  <c r="EJ12" i="4" a="1"/>
  <c r="O11" i="4" a="1"/>
  <c r="BP15" i="4" a="1"/>
  <c r="DC16" i="4" a="1"/>
  <c r="AD6" i="4" a="1"/>
  <c r="EG8" i="4" a="1"/>
  <c r="AF5" i="4" a="1"/>
  <c r="S20" i="2"/>
  <c r="AR47" i="3"/>
  <c r="E7" i="3"/>
  <c r="DF5" i="4" a="1"/>
  <c r="EC11" i="4" a="1"/>
  <c r="AW14" i="4" a="1"/>
  <c r="BV11" i="4" a="1"/>
  <c r="T23" i="2"/>
  <c r="E17" i="3"/>
  <c r="CT11" i="4" a="1"/>
  <c r="CC8" i="4" a="1"/>
  <c r="EG6" i="4" a="1"/>
  <c r="BY14" i="4" a="1"/>
  <c r="DG7" i="4" a="1"/>
  <c r="EA14" i="4" a="1"/>
  <c r="BG16" i="4" a="1"/>
  <c r="AP6" i="4" a="1"/>
  <c r="W28" i="2"/>
  <c r="L46" i="3"/>
  <c r="AK9" i="4" a="1"/>
  <c r="CV9" i="4" a="1"/>
  <c r="L32" i="2"/>
  <c r="V20" i="2"/>
  <c r="AR38" i="3"/>
  <c r="I22" i="2"/>
  <c r="F18" i="2"/>
  <c r="F28" i="3"/>
  <c r="X7" i="4" a="1"/>
  <c r="AP15" i="4" a="1"/>
  <c r="AL15" i="4" a="1"/>
  <c r="AR5" i="4" a="1"/>
  <c r="CN9" i="4" a="1"/>
  <c r="DW7" i="4" a="1"/>
  <c r="CJ6" i="4" a="1"/>
  <c r="S15" i="2"/>
  <c r="C23" i="2"/>
  <c r="E15" i="3"/>
  <c r="AN46" i="3"/>
  <c r="CN8" i="4" a="1"/>
  <c r="BL16" i="4" a="1"/>
  <c r="Q34" i="2"/>
  <c r="E24" i="3"/>
  <c r="D27" i="2"/>
  <c r="G17" i="3"/>
  <c r="ED16" i="4" a="1"/>
  <c r="EE12" i="4" a="1"/>
  <c r="BI9" i="4" a="1"/>
  <c r="ED14" i="4" a="1"/>
  <c r="EK16" i="4" a="1"/>
  <c r="BG13" i="4" a="1"/>
  <c r="EH14" i="4" a="1"/>
  <c r="BL9" i="4" a="1"/>
  <c r="EE8" i="4" a="1"/>
  <c r="AZ16" i="4" a="1"/>
  <c r="AO16" i="4" a="1"/>
  <c r="DY15" i="4" a="1"/>
  <c r="BI11" i="4" a="1"/>
  <c r="DA14" i="4" a="1"/>
  <c r="BR15" i="4" a="1"/>
  <c r="DV15" i="4" a="1"/>
  <c r="CM9" i="4" a="1"/>
  <c r="Y9" i="4" a="1"/>
  <c r="CT16" i="4" a="1"/>
  <c r="DE6" i="4" a="1"/>
  <c r="DK7" i="4" a="1"/>
  <c r="CW12" i="4" a="1"/>
  <c r="AM16" i="4" a="1"/>
  <c r="D14" i="4" a="1"/>
  <c r="DZ9" i="4" a="1"/>
  <c r="DR8" i="4" a="1"/>
  <c r="BO8" i="4" a="1"/>
  <c r="CB11" i="4" a="1"/>
  <c r="CL8" i="4" a="1"/>
  <c r="BW8" i="4" a="1"/>
  <c r="AI12" i="4" a="1"/>
  <c r="BJ8" i="4" a="1"/>
  <c r="DW14" i="4" a="1"/>
  <c r="AC13" i="4" a="1"/>
  <c r="DJ13" i="4" a="1"/>
  <c r="Q9" i="4" a="1"/>
  <c r="AQ12" i="4" a="1"/>
  <c r="DX16" i="4" a="1"/>
  <c r="CS9" i="4" a="1"/>
  <c r="BA11" i="4" a="1"/>
  <c r="BC16" i="4" a="1"/>
  <c r="EH11" i="4" a="1"/>
  <c r="E8" i="4" a="1"/>
  <c r="DO13" i="4" a="1"/>
  <c r="AK16" i="4" a="1"/>
  <c r="CZ13" i="4" a="1"/>
  <c r="CV8" i="4" a="1"/>
  <c r="BS9" i="4" a="1"/>
  <c r="AL16" i="4" a="1"/>
  <c r="DG16" i="4" a="1"/>
  <c r="DV13" i="4" a="1"/>
  <c r="D69" i="3"/>
  <c r="D93" i="3"/>
  <c r="E96" i="3"/>
  <c r="D73" i="3"/>
  <c r="F78" i="3"/>
  <c r="AD94" i="3"/>
  <c r="E86" i="3"/>
  <c r="F96" i="3"/>
  <c r="J27" i="2"/>
  <c r="V14" i="2"/>
  <c r="X5" i="2"/>
  <c r="T28" i="2"/>
  <c r="H20" i="2"/>
  <c r="C19" i="2"/>
  <c r="U17" i="2"/>
  <c r="D26" i="2"/>
  <c r="R28" i="2"/>
  <c r="W26" i="2"/>
  <c r="L25" i="2"/>
  <c r="D30" i="2"/>
  <c r="F18" i="3"/>
  <c r="BY8" i="4" a="1"/>
  <c r="W24" i="2"/>
  <c r="AR56" i="3"/>
  <c r="J8" i="4" a="1"/>
  <c r="AC12" i="4" a="1"/>
  <c r="J24" i="2"/>
  <c r="R55" i="2"/>
  <c r="N16" i="2"/>
  <c r="F17" i="2"/>
  <c r="S7" i="2"/>
  <c r="E21" i="2"/>
  <c r="F30" i="3"/>
  <c r="R31" i="2"/>
  <c r="O13" i="2"/>
  <c r="C27" i="2"/>
  <c r="W23" i="2"/>
  <c r="P24" i="2"/>
  <c r="AR73" i="3"/>
  <c r="G24" i="3"/>
  <c r="EH16" i="4" a="1"/>
  <c r="CG8" i="4" a="1"/>
  <c r="V33" i="2"/>
  <c r="P70" i="2"/>
  <c r="C13" i="2"/>
  <c r="AR26" i="3"/>
  <c r="CA15" i="4" a="1"/>
  <c r="X42" i="2"/>
  <c r="V29" i="2"/>
  <c r="I15" i="2"/>
  <c r="G8" i="2"/>
  <c r="AR81" i="3"/>
  <c r="D41" i="3"/>
  <c r="R13" i="4" a="1"/>
  <c r="N24" i="2"/>
  <c r="X22" i="2"/>
  <c r="U16" i="2"/>
  <c r="F14" i="2"/>
  <c r="F37" i="3"/>
  <c r="S12" i="2"/>
  <c r="S19" i="2"/>
  <c r="V31" i="2"/>
  <c r="K15" i="2"/>
  <c r="E31" i="3"/>
  <c r="BI13" i="4" a="1"/>
  <c r="R29" i="2"/>
  <c r="J19" i="2"/>
  <c r="J32" i="2"/>
  <c r="G7" i="3"/>
  <c r="AD12" i="3"/>
  <c r="O19" i="2"/>
  <c r="M28" i="2"/>
  <c r="T20" i="2"/>
  <c r="X46" i="3"/>
  <c r="Z46" i="3"/>
  <c r="CN11" i="4" a="1"/>
  <c r="BO12" i="4" a="1"/>
  <c r="Q59" i="2"/>
  <c r="T7" i="2"/>
  <c r="F32" i="3"/>
  <c r="CQ13" i="4" a="1"/>
  <c r="AR12" i="4" a="1"/>
  <c r="AN15" i="4" a="1"/>
  <c r="BE9" i="4" a="1"/>
  <c r="BF5" i="4" a="1"/>
  <c r="H9" i="4" a="1"/>
  <c r="H28" i="2"/>
  <c r="AZ15" i="4" a="1"/>
  <c r="EB8" i="4" a="1"/>
  <c r="EI12" i="4" a="1"/>
  <c r="C26" i="2"/>
  <c r="BB8" i="4" a="1"/>
  <c r="CU9" i="4" a="1"/>
  <c r="DH6" i="4" a="1"/>
  <c r="DX12" i="4" a="1"/>
  <c r="N6" i="4" a="1"/>
  <c r="AV6" i="4" a="1"/>
  <c r="V30" i="2"/>
  <c r="DG12" i="4" a="1"/>
  <c r="C7" i="4" a="1"/>
  <c r="AR91" i="3"/>
  <c r="N14" i="2"/>
  <c r="AI45" i="3"/>
  <c r="DO12" i="4" a="1"/>
  <c r="AP11" i="4" a="1"/>
  <c r="N14" i="4" a="1"/>
  <c r="AU12" i="4" a="1"/>
  <c r="H16" i="4" a="1"/>
  <c r="AR63" i="3"/>
  <c r="BU6" i="4" a="1"/>
  <c r="U24" i="2"/>
  <c r="Y46" i="3"/>
  <c r="AD7" i="4" a="1"/>
  <c r="CT5" i="4" a="1"/>
  <c r="CB15" i="4" a="1"/>
  <c r="J12" i="2"/>
  <c r="E11" i="3"/>
  <c r="DM12" i="4" a="1"/>
  <c r="J35" i="2"/>
  <c r="E36" i="3"/>
  <c r="CV6" i="4" a="1"/>
  <c r="BC8" i="4" a="1"/>
  <c r="D33" i="2"/>
  <c r="E29" i="3"/>
  <c r="M24" i="2"/>
  <c r="E14" i="4" a="1"/>
  <c r="AF9" i="4" a="1"/>
  <c r="CD6" i="4" a="1"/>
  <c r="AG14" i="4" a="1"/>
  <c r="BQ16" i="4" a="1"/>
  <c r="BR9" i="4" a="1"/>
  <c r="CZ6" i="4" a="1"/>
  <c r="CY5" i="4" a="1"/>
  <c r="AE6" i="4" a="1"/>
  <c r="V8" i="4" a="1"/>
  <c r="X16" i="4" a="1"/>
  <c r="DD7" i="4" a="1"/>
  <c r="CS16" i="4" a="1"/>
  <c r="BJ16" i="4" a="1"/>
  <c r="DA11" i="4" a="1"/>
  <c r="CV5" i="4" a="1"/>
  <c r="CW5" i="4" a="1"/>
  <c r="CC9" i="4" a="1"/>
  <c r="CK15" i="4" a="1"/>
  <c r="DT16" i="4" a="1"/>
  <c r="AL6" i="4" a="1"/>
  <c r="AF11" i="4" a="1"/>
  <c r="G13" i="4" a="1"/>
  <c r="DA15" i="4" a="1"/>
  <c r="DO7" i="4" a="1"/>
  <c r="AA16" i="4" a="1"/>
  <c r="K12" i="4" a="1"/>
  <c r="G8" i="4" a="1"/>
  <c r="EG11" i="4" a="1"/>
  <c r="BS12" i="4" a="1"/>
  <c r="L7" i="4" a="1"/>
  <c r="DI5" i="4" a="1"/>
  <c r="CH11" i="4" a="1"/>
  <c r="CW15" i="4" a="1"/>
  <c r="U13" i="4" a="1"/>
  <c r="BU5" i="4" a="1"/>
  <c r="AG8" i="4" a="1"/>
  <c r="AZ12" i="4" a="1"/>
  <c r="CD11" i="4" a="1"/>
  <c r="EA11" i="4" a="1"/>
  <c r="CV16" i="4" a="1"/>
  <c r="CE11" i="4" a="1"/>
  <c r="DD13" i="4" a="1"/>
  <c r="AB6" i="4" a="1"/>
  <c r="CA11" i="4" a="1"/>
  <c r="AF6" i="4" a="1"/>
  <c r="Z13" i="4" a="1"/>
  <c r="CO11" i="4" a="1"/>
  <c r="D5" i="4" a="1"/>
  <c r="ED13" i="4" a="1"/>
  <c r="EA6" i="4" a="1"/>
  <c r="EI13" i="4" a="1"/>
  <c r="CP5" i="4" a="1"/>
  <c r="AF12" i="4" a="1"/>
  <c r="CI9" i="4" a="1"/>
  <c r="CN13" i="4" a="1"/>
  <c r="W6" i="4" a="1"/>
  <c r="DC11" i="4" a="1"/>
  <c r="Y15" i="4" a="1"/>
  <c r="AH9" i="4" a="1"/>
  <c r="CP11" i="4" a="1"/>
  <c r="O16" i="4" a="1"/>
  <c r="AU14" i="4" a="1"/>
  <c r="EG15" i="4" a="1"/>
  <c r="AR6" i="4" a="1"/>
  <c r="D67" i="3"/>
  <c r="D86" i="3"/>
  <c r="D72" i="3"/>
  <c r="E82" i="3"/>
  <c r="F88" i="3"/>
  <c r="AD87" i="3"/>
  <c r="D64" i="3"/>
  <c r="F71" i="3"/>
  <c r="F94" i="3"/>
  <c r="F73" i="3"/>
  <c r="F47" i="3"/>
  <c r="D94" i="3"/>
  <c r="E58" i="3"/>
  <c r="AD69" i="3"/>
  <c r="D75" i="3"/>
  <c r="S23" i="2"/>
  <c r="P15" i="2"/>
  <c r="L5" i="2"/>
  <c r="F16" i="3"/>
  <c r="Q27" i="2"/>
  <c r="C10" i="2"/>
  <c r="V15" i="2"/>
  <c r="Q70" i="2"/>
  <c r="D20" i="2"/>
  <c r="G27" i="2"/>
  <c r="Q60" i="2"/>
  <c r="Q18" i="2"/>
  <c r="T15" i="2"/>
  <c r="AS49" i="3"/>
  <c r="Q5" i="4" a="1"/>
  <c r="L22" i="2"/>
  <c r="G12" i="3"/>
  <c r="DQ13" i="4" a="1"/>
  <c r="CE13" i="4" a="1"/>
  <c r="CR7" i="4" a="1"/>
  <c r="AR82" i="3"/>
  <c r="EG12" i="4" a="1"/>
  <c r="DP12" i="4" a="1"/>
  <c r="D19" i="2"/>
  <c r="AM7" i="4" a="1"/>
  <c r="AH5" i="4" a="1"/>
  <c r="E9" i="4" a="1"/>
  <c r="CD7" i="4" a="1"/>
  <c r="G17" i="2"/>
  <c r="M9" i="2"/>
  <c r="AD8" i="4" a="1"/>
  <c r="E29" i="2"/>
  <c r="AR22" i="3"/>
  <c r="AO46" i="3"/>
  <c r="CH7" i="4" a="1"/>
  <c r="BB14" i="4" a="1"/>
  <c r="DD12" i="4" a="1"/>
  <c r="BT6" i="4" a="1"/>
  <c r="E15" i="4" a="1"/>
  <c r="G11" i="3"/>
  <c r="EK8" i="4" a="1"/>
  <c r="Q13" i="4" a="1"/>
  <c r="J28" i="2"/>
  <c r="N23" i="2"/>
  <c r="U14" i="4" a="1"/>
  <c r="F6" i="2"/>
  <c r="AB5" i="4" a="1"/>
  <c r="CN12" i="4" a="1"/>
  <c r="DB15" i="4" a="1"/>
  <c r="BP12" i="4" a="1"/>
  <c r="CF8" i="4" a="1"/>
  <c r="EG13" i="4" a="1"/>
  <c r="DR11" i="4" a="1"/>
  <c r="CL15" i="4" a="1"/>
  <c r="AJ11" i="4" a="1"/>
  <c r="AK15" i="4" a="1"/>
  <c r="DR9" i="4" a="1"/>
  <c r="AT8" i="4" a="1"/>
  <c r="DX15" i="4" a="1"/>
  <c r="DJ15" i="4" a="1"/>
  <c r="DK8" i="4" a="1"/>
  <c r="AU5" i="4" a="1"/>
  <c r="DY6" i="4" a="1"/>
  <c r="CD13" i="4" a="1"/>
  <c r="DB13" i="4" a="1"/>
  <c r="AC7" i="4" a="1"/>
  <c r="S12" i="4" a="1"/>
  <c r="BL5" i="4" a="1"/>
  <c r="EB13" i="4" a="1"/>
  <c r="BQ12" i="4" a="1"/>
  <c r="AG6" i="4" a="1"/>
  <c r="AA7" i="4" a="1"/>
  <c r="AT7" i="4" a="1"/>
  <c r="AA14" i="4" a="1"/>
  <c r="CZ5" i="4" a="1"/>
  <c r="F79" i="3"/>
  <c r="D88" i="3"/>
  <c r="D55" i="3"/>
  <c r="E89" i="3"/>
  <c r="F95" i="3"/>
  <c r="D61" i="3"/>
  <c r="F58" i="3"/>
  <c r="F57" i="3"/>
  <c r="AD60" i="3"/>
  <c r="F72" i="3"/>
  <c r="E35" i="2"/>
  <c r="W36" i="2"/>
  <c r="C32" i="2"/>
  <c r="V12" i="2"/>
  <c r="D12" i="2"/>
  <c r="D37" i="3"/>
  <c r="AR71" i="3"/>
  <c r="E10" i="2"/>
  <c r="K11" i="2"/>
  <c r="O25" i="2"/>
  <c r="F9" i="2"/>
  <c r="F25" i="3"/>
  <c r="AB12" i="4" a="1"/>
  <c r="DH12" i="4" a="1"/>
  <c r="C25" i="2"/>
  <c r="AO11" i="4" a="1"/>
  <c r="T9" i="4" a="1"/>
  <c r="AB14" i="4" a="1"/>
  <c r="EI8" i="4" a="1"/>
  <c r="T5" i="2"/>
  <c r="CT14" i="4" a="1"/>
  <c r="ED6" i="4" a="1"/>
  <c r="J7" i="2"/>
  <c r="BK13" i="4" a="1"/>
  <c r="BG12" i="4" a="1"/>
  <c r="EB6" i="4" a="1"/>
  <c r="W15" i="4" a="1"/>
  <c r="BE13" i="4" a="1"/>
  <c r="E21" i="3"/>
  <c r="G5" i="3"/>
  <c r="S18" i="2"/>
  <c r="O7" i="4" a="1"/>
  <c r="Z16" i="4" a="1"/>
  <c r="CH13" i="4" a="1"/>
  <c r="X64" i="2"/>
  <c r="N20" i="2"/>
  <c r="BS15" i="4" a="1"/>
  <c r="EA16" i="4" a="1"/>
  <c r="BN6" i="4" a="1"/>
  <c r="P29" i="2"/>
  <c r="CW7" i="4" a="1"/>
  <c r="AR50" i="3"/>
  <c r="BW11" i="4" a="1"/>
  <c r="DX6" i="4" a="1"/>
  <c r="CG7" i="4" a="1"/>
  <c r="X26" i="2"/>
  <c r="W12" i="2"/>
  <c r="G26" i="3"/>
  <c r="AF16" i="4" a="1"/>
  <c r="DE15" i="4" a="1"/>
  <c r="EH7" i="4" a="1"/>
  <c r="CA5" i="4" a="1"/>
  <c r="EH12" i="4" a="1"/>
  <c r="I15" i="4" a="1"/>
  <c r="DR14" i="4" a="1"/>
  <c r="Z14" i="4" a="1"/>
  <c r="BZ13" i="4" a="1"/>
  <c r="DP6" i="4" a="1"/>
  <c r="BL12" i="4" a="1"/>
  <c r="AU13" i="4" a="1"/>
  <c r="X11" i="4" a="1"/>
  <c r="DZ5" i="4" a="1"/>
  <c r="L16" i="4" a="1"/>
  <c r="DP16" i="4" a="1"/>
  <c r="AO13" i="4" a="1"/>
  <c r="BC7" i="4" a="1"/>
  <c r="BA12" i="4" a="1"/>
  <c r="AM13" i="4" a="1"/>
  <c r="CP6" i="4" a="1"/>
  <c r="P12" i="4" a="1"/>
  <c r="CE16" i="4" a="1"/>
  <c r="BM14" i="4" a="1"/>
  <c r="AE8" i="4" a="1"/>
  <c r="CW8" i="4" a="1"/>
  <c r="DH5" i="4" a="1"/>
  <c r="BF16" i="4" a="1"/>
  <c r="DL11" i="4" a="1"/>
  <c r="CZ7" i="4" a="1"/>
  <c r="E67" i="3"/>
  <c r="E62" i="3"/>
  <c r="G73" i="3"/>
  <c r="F70" i="3"/>
  <c r="D97" i="3"/>
  <c r="D57" i="3"/>
  <c r="G72" i="3"/>
  <c r="G97" i="3"/>
  <c r="F74" i="3"/>
  <c r="I5" i="2"/>
  <c r="K28" i="2"/>
  <c r="W18" i="2"/>
  <c r="X45" i="3"/>
  <c r="BE8" i="4" a="1"/>
  <c r="CU8" i="4" a="1"/>
  <c r="I28" i="2"/>
  <c r="N10" i="2"/>
  <c r="BX8" i="4" a="1"/>
  <c r="X7" i="2"/>
  <c r="H22" i="2"/>
  <c r="I46" i="3"/>
  <c r="F23" i="2"/>
  <c r="I45" i="3"/>
  <c r="W31" i="2"/>
  <c r="M32" i="2"/>
  <c r="M30" i="2"/>
  <c r="AR33" i="3"/>
  <c r="O7" i="2"/>
  <c r="E8" i="2"/>
  <c r="AE16" i="4" a="1"/>
  <c r="I8" i="2"/>
  <c r="L45" i="3"/>
  <c r="CL12" i="4" a="1"/>
  <c r="DA8" i="4" a="1"/>
  <c r="D10" i="2"/>
  <c r="F31" i="3"/>
  <c r="BN11" i="4" a="1"/>
  <c r="D36" i="2"/>
  <c r="AP9" i="4" a="1"/>
  <c r="K24" i="2"/>
  <c r="X15" i="4" a="1"/>
  <c r="DK6" i="4" a="1"/>
  <c r="V15" i="4" a="1"/>
  <c r="CZ9" i="4" a="1"/>
  <c r="AP14" i="4" a="1"/>
  <c r="D11" i="2"/>
  <c r="CM6" i="4" a="1"/>
  <c r="DK5" i="4" a="1"/>
  <c r="CQ8" i="4" a="1"/>
  <c r="BV9" i="4" a="1"/>
  <c r="N32" i="2"/>
  <c r="D21" i="3"/>
  <c r="BO15" i="4" a="1"/>
  <c r="AN6" i="4" a="1"/>
  <c r="BH11" i="4" a="1"/>
  <c r="H12" i="4" a="1"/>
  <c r="P13" i="4" a="1"/>
  <c r="BA15" i="4" a="1"/>
  <c r="CC6" i="4" a="1"/>
  <c r="BM6" i="4" a="1"/>
  <c r="P8" i="4" a="1"/>
  <c r="M12" i="4" a="1"/>
  <c r="EC6" i="4" a="1"/>
  <c r="BC13" i="4" a="1"/>
  <c r="EC16" i="4" a="1"/>
  <c r="CG14" i="4" a="1"/>
  <c r="CH5" i="4" a="1"/>
  <c r="EJ11" i="4" a="1"/>
  <c r="BU9" i="4" a="1"/>
  <c r="AT15" i="4" a="1"/>
  <c r="DA9" i="4" a="1"/>
  <c r="CW16" i="4" a="1"/>
  <c r="AQ11" i="4" a="1"/>
  <c r="DF8" i="4" a="1"/>
  <c r="AL13" i="4" a="1"/>
  <c r="DE5" i="4" a="1"/>
  <c r="EJ8" i="4" a="1"/>
  <c r="K11" i="4" a="1"/>
  <c r="CE9" i="4" a="1"/>
  <c r="DO15" i="4" a="1"/>
  <c r="AM9" i="4" a="1"/>
  <c r="BU16" i="4" a="1"/>
  <c r="G76" i="3"/>
  <c r="F89" i="3"/>
  <c r="AD55" i="3"/>
  <c r="D91" i="3"/>
  <c r="E80" i="3"/>
  <c r="F59" i="3"/>
  <c r="E70" i="3"/>
  <c r="E60" i="3"/>
  <c r="G79" i="3"/>
  <c r="D89" i="3"/>
  <c r="AD96" i="3"/>
  <c r="F64" i="3"/>
  <c r="G94" i="3"/>
  <c r="D21" i="2"/>
  <c r="CB9" i="4" a="1"/>
  <c r="P27" i="2"/>
  <c r="X15" i="2"/>
  <c r="T45" i="3"/>
  <c r="J16" i="4" a="1"/>
  <c r="F16" i="4" a="1"/>
  <c r="E14" i="2"/>
  <c r="N18" i="2"/>
  <c r="W29" i="2"/>
  <c r="D11" i="3"/>
  <c r="BE11" i="4" a="1"/>
  <c r="M16" i="2"/>
  <c r="F28" i="2"/>
  <c r="O21" i="2"/>
  <c r="D12" i="3"/>
  <c r="W35" i="2"/>
  <c r="Q31" i="2"/>
  <c r="AD13" i="3"/>
  <c r="AG7" i="4" a="1"/>
  <c r="I14" i="2"/>
  <c r="K60" i="2"/>
  <c r="K46" i="3"/>
  <c r="W47" i="2"/>
  <c r="T29" i="2"/>
  <c r="G28" i="2"/>
  <c r="V8" i="2"/>
  <c r="E37" i="3"/>
  <c r="BK15" i="4" a="1"/>
  <c r="AR79" i="3"/>
  <c r="U15" i="4" a="1"/>
  <c r="EG16" i="4" a="1"/>
  <c r="CL6" i="4" a="1"/>
  <c r="CP7" i="4" a="1"/>
  <c r="EG9" i="4" a="1"/>
  <c r="M35" i="2"/>
  <c r="H46" i="3"/>
  <c r="M20" i="2"/>
  <c r="N12" i="2"/>
  <c r="S11" i="4" a="1"/>
  <c r="F40" i="3"/>
  <c r="O5" i="2"/>
  <c r="BN16" i="4" a="1"/>
  <c r="K16" i="4" a="1"/>
  <c r="CJ12" i="4" a="1"/>
  <c r="BY11" i="4" a="1"/>
  <c r="X29" i="2"/>
  <c r="K33" i="2"/>
  <c r="F36" i="3"/>
  <c r="BQ7" i="4" a="1"/>
  <c r="D15" i="4" a="1"/>
  <c r="CK5" i="4" a="1"/>
  <c r="J34" i="2"/>
  <c r="H10" i="2"/>
  <c r="N46" i="3"/>
  <c r="AN11" i="4" a="1"/>
  <c r="CE5" i="4" a="1"/>
  <c r="AR7" i="4" a="1"/>
  <c r="BF8" i="4" a="1"/>
  <c r="EA7" i="4" a="1"/>
  <c r="BX7" i="4" a="1"/>
  <c r="BW9" i="4" a="1"/>
  <c r="CI5" i="4" a="1"/>
  <c r="F6" i="4" a="1"/>
  <c r="DU16" i="4" a="1"/>
  <c r="BQ8" i="4" a="1"/>
  <c r="CX12" i="4" a="1"/>
  <c r="DN11" i="4" a="1"/>
  <c r="Y11" i="4" a="1"/>
  <c r="CG11" i="4" a="1"/>
  <c r="EG7" i="4" a="1"/>
  <c r="CV11" i="4" a="1"/>
  <c r="EB9" i="4" a="1"/>
  <c r="C11" i="4" a="1"/>
  <c r="DM16" i="4" a="1"/>
  <c r="DK15" i="4" a="1"/>
  <c r="BJ13" i="4" a="1"/>
  <c r="DL14" i="4" a="1"/>
  <c r="DG6" i="4" a="1"/>
  <c r="DZ11" i="4" a="1"/>
  <c r="N11" i="4" a="1"/>
  <c r="Q16" i="4" a="1"/>
  <c r="AV11" i="4" a="1"/>
  <c r="G7" i="4" a="1"/>
  <c r="AJ6" i="4" a="1"/>
  <c r="F5" i="4" a="1"/>
  <c r="AU6" i="4" a="1"/>
  <c r="CE8" i="4" a="1"/>
  <c r="AM15" i="4" a="1"/>
  <c r="AA13" i="4" a="1"/>
  <c r="AD58" i="3"/>
  <c r="G54" i="3"/>
  <c r="AD93" i="3"/>
  <c r="D82" i="3"/>
  <c r="AD76" i="3"/>
  <c r="AD59" i="3"/>
  <c r="E95" i="3"/>
  <c r="E73" i="3"/>
  <c r="AD68" i="3"/>
  <c r="P16" i="2"/>
  <c r="CR13" i="4" a="1"/>
  <c r="S26" i="2"/>
  <c r="AR46" i="3"/>
  <c r="F90" i="2"/>
  <c r="V13" i="2"/>
  <c r="E27" i="2"/>
  <c r="AR11" i="3"/>
  <c r="Q79" i="2"/>
  <c r="E24" i="2"/>
  <c r="F76" i="2"/>
  <c r="O6" i="2"/>
  <c r="CM12" i="4" a="1"/>
  <c r="V5" i="4" a="1"/>
  <c r="CV13" i="4" a="1"/>
  <c r="R12" i="4" a="1"/>
  <c r="G8" i="3"/>
  <c r="DR7" i="4" a="1"/>
  <c r="AR89" i="3"/>
  <c r="J7" i="4" a="1"/>
  <c r="C35" i="2"/>
  <c r="N9" i="2"/>
  <c r="F8" i="3"/>
  <c r="BU7" i="4" a="1"/>
  <c r="CF15" i="4" a="1"/>
  <c r="S5" i="2"/>
  <c r="P11" i="2"/>
  <c r="D22" i="3"/>
  <c r="BP11" i="4" a="1"/>
  <c r="BJ5" i="4" a="1"/>
  <c r="CY14" i="4" a="1"/>
  <c r="U32" i="2"/>
  <c r="U13" i="2"/>
  <c r="G19" i="3"/>
  <c r="DF12" i="4" a="1"/>
  <c r="BW13" i="4" a="1"/>
  <c r="CG9" i="4" a="1"/>
  <c r="Q6" i="4" a="1"/>
  <c r="O13" i="4" a="1"/>
  <c r="AH6" i="4" a="1"/>
  <c r="G11" i="4" a="1"/>
  <c r="AU9" i="4" a="1"/>
  <c r="BC11" i="4" a="1"/>
  <c r="DY13" i="4" a="1"/>
  <c r="AS15" i="4" a="1"/>
  <c r="BE16" i="4" a="1"/>
  <c r="DO9" i="4" a="1"/>
  <c r="AL7" i="4" a="1"/>
  <c r="AE5" i="4" a="1"/>
  <c r="EJ16" i="4" a="1"/>
  <c r="DD5" i="4" a="1"/>
  <c r="DC7" i="4" a="1"/>
  <c r="CU5" i="4" a="1"/>
  <c r="AO8" i="4" a="1"/>
  <c r="K5" i="4" a="1"/>
  <c r="CT15" i="4" a="1"/>
  <c r="P11" i="4" a="1"/>
  <c r="EB16" i="4" a="1"/>
  <c r="AS9" i="4" a="1"/>
  <c r="BX5" i="4" a="1"/>
  <c r="Q7" i="4" a="1"/>
  <c r="CQ16" i="4" a="1"/>
  <c r="CJ9" i="4" a="1"/>
  <c r="BD7" i="4" a="1"/>
  <c r="Z11" i="4" a="1"/>
  <c r="D68" i="3"/>
  <c r="D80" i="3"/>
  <c r="E88" i="3"/>
  <c r="F50" i="3"/>
  <c r="AD82" i="3"/>
  <c r="L24" i="2"/>
  <c r="I18" i="2"/>
  <c r="R12" i="2"/>
  <c r="I29" i="2"/>
  <c r="AR92" i="3"/>
  <c r="E22" i="3"/>
  <c r="DM6" i="4" a="1"/>
  <c r="C31" i="2"/>
  <c r="BZ15" i="4" a="1"/>
  <c r="DP11" i="4" a="1"/>
  <c r="AR48" i="3"/>
  <c r="BP7" i="4" a="1"/>
  <c r="G19" i="2"/>
  <c r="F36" i="2"/>
  <c r="D39" i="3"/>
  <c r="L23" i="2"/>
  <c r="R34" i="2"/>
  <c r="D14" i="2"/>
  <c r="O45" i="3"/>
  <c r="CB7" i="4" a="1"/>
  <c r="K32" i="2"/>
  <c r="E13" i="3"/>
  <c r="K88" i="2"/>
  <c r="G14" i="2"/>
  <c r="M7" i="2"/>
  <c r="H33" i="2"/>
  <c r="D27" i="3"/>
  <c r="Y8" i="4" a="1"/>
  <c r="D16" i="2"/>
  <c r="T35" i="2"/>
  <c r="AR59" i="3"/>
  <c r="C13" i="4" a="1"/>
  <c r="AR68" i="3"/>
  <c r="E13" i="4" a="1"/>
  <c r="CN6" i="4" a="1"/>
  <c r="U28" i="2"/>
  <c r="AR28" i="3"/>
  <c r="P23" i="2"/>
  <c r="E26" i="3"/>
  <c r="DP14" i="4" a="1"/>
  <c r="BI14" i="4" a="1"/>
  <c r="ED5" i="4" a="1"/>
  <c r="L11" i="2"/>
  <c r="S21" i="2"/>
  <c r="E16" i="3"/>
  <c r="C8" i="4" a="1"/>
  <c r="DQ15" i="4" a="1"/>
  <c r="DQ7" i="4" a="1"/>
  <c r="L9" i="2"/>
  <c r="AA46" i="3"/>
  <c r="EI14" i="4" a="1"/>
  <c r="F14" i="3"/>
  <c r="DZ16" i="4" a="1"/>
  <c r="CH14" i="4" a="1"/>
  <c r="F42" i="3"/>
  <c r="DL9" i="4" a="1"/>
  <c r="AR13" i="4" a="1"/>
  <c r="CO5" i="4" a="1"/>
  <c r="AT12" i="4" a="1"/>
  <c r="S5" i="4" a="1"/>
  <c r="EB11" i="4" a="1"/>
  <c r="BQ5" i="4" a="1"/>
  <c r="DY7" i="4" a="1"/>
  <c r="DK9" i="4" a="1"/>
  <c r="BW16" i="4" a="1"/>
  <c r="CJ7" i="4" a="1"/>
  <c r="DD16" i="4" a="1"/>
  <c r="BM5" i="4" a="1"/>
  <c r="CX9" i="4" a="1"/>
  <c r="DV6" i="4" a="1"/>
  <c r="DI9" i="4" a="1"/>
  <c r="CG15" i="4" a="1"/>
  <c r="R9" i="4" a="1"/>
  <c r="CQ5" i="4" a="1"/>
  <c r="H8" i="4" a="1"/>
  <c r="DA7" i="4" a="1"/>
  <c r="BS13" i="4" a="1"/>
  <c r="BV12" i="4" a="1"/>
  <c r="CX8" i="4" a="1"/>
  <c r="DF14" i="4" a="1"/>
  <c r="DT11" i="4" a="1"/>
  <c r="DZ15" i="4" a="1"/>
  <c r="CH6" i="4" a="1"/>
  <c r="H13" i="4" a="1"/>
  <c r="AU8" i="4" a="1"/>
  <c r="AT5" i="4" a="1"/>
  <c r="Q8" i="4" a="1"/>
  <c r="E93" i="3"/>
  <c r="E84" i="3"/>
  <c r="G69" i="3"/>
  <c r="G84" i="3"/>
  <c r="E92" i="3"/>
  <c r="AD64" i="3"/>
  <c r="F92" i="3"/>
  <c r="Q28" i="2"/>
  <c r="S34" i="2"/>
  <c r="K34" i="2"/>
  <c r="O18" i="2"/>
  <c r="H19" i="2"/>
  <c r="W27" i="2"/>
  <c r="G12" i="2"/>
  <c r="AR20" i="3"/>
  <c r="DE14" i="4" a="1"/>
  <c r="CH8" i="4" a="1"/>
  <c r="V16" i="2"/>
  <c r="F33" i="2"/>
  <c r="F15" i="2"/>
  <c r="AH45" i="3"/>
  <c r="BE12" i="4" a="1"/>
  <c r="D9" i="2"/>
  <c r="F24" i="2"/>
  <c r="H13" i="2"/>
  <c r="M15" i="2"/>
  <c r="AR37" i="3"/>
  <c r="F38" i="3"/>
  <c r="BM15" i="4" a="1"/>
  <c r="O35" i="2"/>
  <c r="N17" i="2"/>
  <c r="E34" i="2"/>
  <c r="C12" i="2"/>
  <c r="AO6" i="3"/>
  <c r="L20" i="2"/>
  <c r="G10" i="2"/>
  <c r="R27" i="2"/>
  <c r="U31" i="2"/>
  <c r="D20" i="3"/>
  <c r="AC11" i="4" a="1"/>
  <c r="V28" i="2"/>
  <c r="V18" i="2"/>
  <c r="R17" i="2"/>
  <c r="J46" i="3"/>
  <c r="D38" i="3"/>
  <c r="W5" i="2"/>
  <c r="P13" i="2"/>
  <c r="E17" i="2"/>
  <c r="D13" i="3"/>
  <c r="E30" i="3"/>
  <c r="EC7" i="4" a="1"/>
  <c r="EA13" i="4" a="1"/>
  <c r="U12" i="2"/>
  <c r="M12" i="2"/>
  <c r="AR36" i="3"/>
  <c r="U16" i="4" a="1"/>
  <c r="CC13" i="4" a="1"/>
  <c r="F9" i="4" a="1"/>
  <c r="DT13" i="4" a="1"/>
  <c r="AW9" i="4" a="1"/>
  <c r="AT11" i="4" a="1"/>
  <c r="I21" i="2"/>
  <c r="AT14" i="4" a="1"/>
  <c r="DF11" i="4" a="1"/>
  <c r="BH16" i="4" a="1"/>
  <c r="AR74" i="3"/>
  <c r="AS6" i="4" a="1"/>
  <c r="DZ12" i="4" a="1"/>
  <c r="BW12" i="4" a="1"/>
  <c r="AZ5" i="4" a="1"/>
  <c r="AW13" i="4" a="1"/>
  <c r="DB9" i="4" a="1"/>
  <c r="AR84" i="3"/>
  <c r="AH13" i="4" a="1"/>
  <c r="AB9" i="4" a="1"/>
  <c r="E13" i="2"/>
  <c r="X93" i="2"/>
  <c r="AD7" i="3"/>
  <c r="K14" i="4" a="1"/>
  <c r="DU11" i="4" a="1"/>
  <c r="DF6" i="4" a="1"/>
  <c r="CT6" i="4" a="1"/>
  <c r="EF8" i="4" a="1"/>
  <c r="G13" i="2"/>
  <c r="AM11" i="4" a="1"/>
  <c r="C66" i="2"/>
  <c r="CM16" i="4" a="1"/>
  <c r="AY9" i="4" a="1"/>
  <c r="AA9" i="4" a="1"/>
  <c r="O8" i="4" a="1"/>
  <c r="O36" i="2"/>
  <c r="AR8" i="3"/>
  <c r="BK6" i="4" a="1"/>
  <c r="T6" i="2"/>
  <c r="E12" i="3"/>
  <c r="CU6" i="4" a="1"/>
  <c r="AA11" i="4" a="1"/>
  <c r="P32" i="2"/>
  <c r="BO14" i="4" a="1"/>
  <c r="W75" i="2"/>
  <c r="AG12" i="4" a="1"/>
  <c r="CM7" i="4" a="1"/>
  <c r="T6" i="4" a="1"/>
  <c r="EC9" i="4" a="1"/>
  <c r="AJ8" i="4" a="1"/>
  <c r="AZ11" i="4" a="1"/>
  <c r="BY12" i="4" a="1"/>
  <c r="BZ11" i="4" a="1"/>
  <c r="DQ8" i="4" a="1"/>
  <c r="BW6" i="4" a="1"/>
  <c r="BL14" i="4" a="1"/>
  <c r="CU15" i="4" a="1"/>
  <c r="AL9" i="4" a="1"/>
  <c r="BI15" i="4" a="1"/>
  <c r="CX14" i="4" a="1"/>
  <c r="DX11" i="4" a="1"/>
  <c r="AG13" i="4" a="1"/>
  <c r="AN14" i="4" a="1"/>
  <c r="DP9" i="4" a="1"/>
  <c r="BX12" i="4" a="1"/>
  <c r="EB5" i="4" a="1"/>
  <c r="DB6" i="4" a="1"/>
  <c r="DQ12" i="4" a="1"/>
  <c r="CK16" i="4" a="1"/>
  <c r="DM7" i="4" a="1"/>
  <c r="BD11" i="4" a="1"/>
  <c r="DJ9" i="4" a="1"/>
  <c r="CY12" i="4" a="1"/>
  <c r="DW9" i="4" a="1"/>
  <c r="AY6" i="4" a="1"/>
  <c r="BR11" i="4" a="1"/>
  <c r="DL12" i="4" a="1"/>
  <c r="DU13" i="4" a="1"/>
  <c r="J6" i="4" a="1"/>
  <c r="DS11" i="4" a="1"/>
  <c r="AX5" i="4" a="1"/>
  <c r="AH8" i="4" a="1"/>
  <c r="AJ13" i="4" a="1"/>
  <c r="CG6" i="4" a="1"/>
  <c r="DU9" i="4" a="1"/>
  <c r="E5" i="4" a="1"/>
  <c r="S9" i="4" a="1"/>
  <c r="BY15" i="4" a="1"/>
  <c r="CP15" i="4" a="1"/>
  <c r="G6" i="4" a="1"/>
  <c r="EK11" i="4" a="1"/>
  <c r="BP13" i="4" a="1"/>
  <c r="BF12" i="4" a="1"/>
  <c r="CD9" i="4" a="1"/>
  <c r="BC6" i="4" a="1"/>
  <c r="DA12" i="4" a="1"/>
  <c r="CJ16" i="4" a="1"/>
  <c r="G15" i="4" a="1"/>
  <c r="EB7" i="4" a="1"/>
  <c r="E11" i="4" a="1"/>
  <c r="BA8" i="4" a="1"/>
  <c r="DA13" i="4" a="1"/>
  <c r="BR14" i="4" a="1"/>
  <c r="BX11" i="4" a="1"/>
  <c r="DL7" i="4" a="1"/>
  <c r="EF7" i="4" a="1"/>
  <c r="CI8" i="4" a="1"/>
  <c r="AE9" i="4" a="1"/>
  <c r="AB15" i="4" a="1"/>
  <c r="P15" i="4" a="1"/>
  <c r="F49" i="3"/>
  <c r="D76" i="3"/>
  <c r="D95" i="3"/>
  <c r="G63" i="3"/>
  <c r="G86" i="3"/>
  <c r="D78" i="3"/>
  <c r="AD65" i="3"/>
  <c r="D59" i="3"/>
  <c r="G90" i="3"/>
  <c r="AD89" i="3"/>
  <c r="D87" i="3"/>
  <c r="AD54" i="3"/>
  <c r="D65" i="3"/>
  <c r="F63" i="3"/>
  <c r="E79" i="3"/>
  <c r="D54" i="3"/>
  <c r="F68" i="3"/>
  <c r="G93" i="3"/>
  <c r="C21" i="2"/>
  <c r="L29" i="2"/>
  <c r="F5" i="2"/>
  <c r="S36" i="2"/>
  <c r="Q23" i="2"/>
  <c r="S11" i="2"/>
  <c r="F23" i="3"/>
  <c r="CW14" i="4" a="1"/>
  <c r="X33" i="2"/>
  <c r="U22" i="2"/>
  <c r="H21" i="2"/>
  <c r="AR78" i="3"/>
  <c r="D18" i="3"/>
  <c r="AD11" i="4" a="1"/>
  <c r="T36" i="2"/>
  <c r="I23" i="2"/>
  <c r="Q56" i="2"/>
  <c r="W14" i="2"/>
  <c r="AR19" i="3"/>
  <c r="F11" i="4" a="1"/>
  <c r="BU8" i="4" a="1"/>
  <c r="E26" i="2"/>
  <c r="G18" i="2"/>
  <c r="L33" i="2"/>
  <c r="AD16" i="3"/>
  <c r="F22" i="3"/>
  <c r="T9" i="2"/>
  <c r="AD10" i="3"/>
  <c r="E8" i="3"/>
  <c r="CS14" i="4" a="1"/>
  <c r="G16" i="2"/>
  <c r="CS7" i="4" a="1"/>
  <c r="DO11" i="4" a="1"/>
  <c r="CL14" i="4" a="1"/>
  <c r="P21" i="2"/>
  <c r="H14" i="4" a="1"/>
  <c r="E23" i="2"/>
  <c r="T16" i="4" a="1"/>
  <c r="AR58" i="3"/>
  <c r="CR8" i="4" a="1"/>
  <c r="I12" i="4" a="1"/>
  <c r="G20" i="3"/>
  <c r="DY16" i="4" a="1"/>
  <c r="AX8" i="4" a="1"/>
  <c r="BI6" i="4" a="1"/>
  <c r="O10" i="2"/>
  <c r="D24" i="3"/>
  <c r="L9" i="4" a="1"/>
  <c r="EF5" i="4" a="1"/>
  <c r="CH15" i="4" a="1"/>
  <c r="CD15" i="4" a="1"/>
  <c r="O12" i="4" a="1"/>
  <c r="DV11" i="4" a="1"/>
  <c r="CA13" i="4" a="1"/>
  <c r="CN7" i="4" a="1"/>
  <c r="M13" i="4" a="1"/>
  <c r="S8" i="4" a="1"/>
  <c r="BO13" i="4" a="1"/>
  <c r="T5" i="4" a="1"/>
  <c r="DC9" i="4" a="1"/>
  <c r="CQ11" i="4" a="1"/>
  <c r="M15" i="4" a="1"/>
  <c r="V12" i="4" a="1"/>
  <c r="AY16" i="4" a="1"/>
  <c r="DS15" i="4" a="1"/>
  <c r="CL11" i="4" a="1"/>
  <c r="CS11" i="4" a="1"/>
  <c r="EJ15" i="4" a="1"/>
  <c r="R11" i="4" a="1"/>
  <c r="G9" i="4" a="1"/>
  <c r="AH16" i="4" a="1"/>
  <c r="F8" i="4" a="1"/>
  <c r="DC5" i="4" a="1"/>
  <c r="CN5" i="4" a="1"/>
  <c r="BX14" i="4" a="1"/>
  <c r="BD9" i="4" a="1"/>
  <c r="ED7" i="4" a="1"/>
  <c r="BO11" i="4" a="1"/>
  <c r="BD16" i="4" a="1"/>
  <c r="DN13" i="4" a="1"/>
  <c r="DV8" i="4" a="1"/>
  <c r="CL13" i="4" a="1"/>
  <c r="EE13" i="4" a="1"/>
  <c r="F67" i="3"/>
  <c r="E56" i="3"/>
  <c r="G78" i="3"/>
  <c r="D81" i="3"/>
  <c r="F86" i="3"/>
  <c r="W25" i="2"/>
  <c r="E32" i="2"/>
  <c r="V32" i="2"/>
  <c r="R32" i="2"/>
  <c r="X31" i="2"/>
  <c r="AR66" i="3"/>
  <c r="E45" i="3"/>
  <c r="BA9" i="4" a="1"/>
  <c r="S63" i="2"/>
  <c r="E9" i="3"/>
  <c r="D14" i="3"/>
  <c r="AC14" i="4" a="1"/>
  <c r="L34" i="2"/>
  <c r="Q32" i="2"/>
  <c r="BV7" i="4" a="1"/>
  <c r="D13" i="4" a="1"/>
  <c r="U35" i="2"/>
  <c r="G30" i="2"/>
  <c r="AR41" i="3"/>
  <c r="E46" i="3"/>
  <c r="Q14" i="2"/>
  <c r="I35" i="2"/>
  <c r="J11" i="2"/>
  <c r="AD15" i="3"/>
  <c r="U46" i="3"/>
  <c r="T26" i="2"/>
  <c r="V24" i="2"/>
  <c r="R11" i="2"/>
  <c r="AA45" i="3"/>
  <c r="Q58" i="2"/>
  <c r="EA15" i="4" a="1"/>
  <c r="Q30" i="2"/>
  <c r="AB46" i="3"/>
  <c r="EE16" i="4" a="1"/>
  <c r="W45" i="3"/>
  <c r="F30" i="2"/>
  <c r="U11" i="2"/>
  <c r="AZ7" i="4" a="1"/>
  <c r="L15" i="2"/>
  <c r="EJ14" i="4" a="1"/>
  <c r="Z9" i="4" a="1"/>
  <c r="AQ46" i="3"/>
  <c r="Q16" i="2"/>
  <c r="DF15" i="4" a="1"/>
  <c r="D46" i="3"/>
  <c r="BG11" i="4" a="1"/>
  <c r="AM14" i="4" a="1"/>
  <c r="DQ14" i="4" a="1"/>
  <c r="CH12" i="4" a="1"/>
  <c r="EJ9" i="4" a="1"/>
  <c r="BH7" i="4" a="1"/>
  <c r="DZ8" i="4" a="1"/>
  <c r="BS7" i="4" a="1"/>
  <c r="CV14" i="4" a="1"/>
  <c r="DY9" i="4" a="1"/>
  <c r="AK7" i="4" a="1"/>
  <c r="DJ7" i="4" a="1"/>
  <c r="CK9" i="4" a="1"/>
  <c r="AH11" i="4" a="1"/>
  <c r="DM13" i="4" a="1"/>
  <c r="J12" i="4" a="1"/>
  <c r="CC5" i="4" a="1"/>
  <c r="O5" i="4" a="1"/>
  <c r="Y13" i="4" a="1"/>
  <c r="DI12" i="4" a="1"/>
  <c r="EA9" i="4" a="1"/>
  <c r="BB11" i="4" a="1"/>
  <c r="BL11" i="4" a="1"/>
  <c r="AY8" i="4" a="1"/>
  <c r="BD13" i="4" a="1"/>
  <c r="CK6" i="4" a="1"/>
  <c r="AS14" i="4" a="1"/>
  <c r="AV13" i="4" a="1"/>
  <c r="AL14" i="4" a="1"/>
  <c r="BL6" i="4" a="1"/>
  <c r="CS15" i="4" a="1"/>
  <c r="BG14" i="4" a="1"/>
  <c r="BT16" i="4" a="1"/>
  <c r="BH13" i="4" a="1"/>
  <c r="ED15" i="4" a="1"/>
  <c r="E75" i="3"/>
  <c r="AD72" i="3"/>
  <c r="G81" i="3"/>
  <c r="AD71" i="3"/>
  <c r="G56" i="3"/>
  <c r="G57" i="3"/>
  <c r="AD97" i="3"/>
  <c r="D74" i="3"/>
  <c r="H24" i="2"/>
  <c r="L7" i="2"/>
  <c r="M23" i="2"/>
  <c r="CI15" i="4" a="1"/>
  <c r="V7" i="2"/>
  <c r="D22" i="2"/>
  <c r="AR88" i="3"/>
  <c r="AR42" i="3"/>
  <c r="DH14" i="4" a="1"/>
  <c r="K29" i="2"/>
  <c r="H14" i="2"/>
  <c r="D30" i="3"/>
  <c r="I30" i="2"/>
  <c r="X24" i="2"/>
  <c r="S17" i="2"/>
  <c r="M13" i="2"/>
  <c r="U33" i="2"/>
  <c r="E32" i="3"/>
  <c r="K26" i="2"/>
  <c r="N33" i="2"/>
  <c r="AR80" i="3"/>
  <c r="AC46" i="3"/>
  <c r="CY6" i="4" a="1"/>
  <c r="CA9" i="4" a="1"/>
  <c r="L6" i="2"/>
  <c r="BD5" i="4" a="1"/>
  <c r="EI5" i="4" a="1"/>
  <c r="I9" i="4" a="1"/>
  <c r="CW6" i="4" a="1"/>
  <c r="P8" i="2"/>
  <c r="S45" i="3"/>
  <c r="R14" i="4" a="1"/>
  <c r="T12" i="4" a="1"/>
  <c r="Y12" i="4" a="1"/>
  <c r="CI11" i="4" a="1"/>
  <c r="N15" i="4" a="1"/>
  <c r="F6" i="3"/>
  <c r="AR45" i="3"/>
  <c r="AR49" i="3"/>
  <c r="AN7" i="4" a="1"/>
  <c r="AW7" i="4" a="1"/>
  <c r="BO9" i="4" a="1"/>
  <c r="G24" i="2"/>
  <c r="AE45" i="3"/>
  <c r="K17" i="2"/>
  <c r="AR30" i="3"/>
  <c r="N13" i="4" a="1"/>
  <c r="EH5" i="4" a="1"/>
  <c r="R26" i="2"/>
  <c r="K35" i="2"/>
  <c r="AQ13" i="4" a="1"/>
  <c r="CP12" i="4" a="1"/>
  <c r="CF14" i="4" a="1"/>
  <c r="EC5" i="4" a="1"/>
  <c r="BV15" i="4" a="1"/>
  <c r="BK9" i="4" a="1"/>
  <c r="AC8" i="4" a="1"/>
  <c r="DR13" i="4" a="1"/>
  <c r="Z5" i="4" a="1"/>
  <c r="EK9" i="4" a="1"/>
  <c r="CX15" i="4" a="1"/>
  <c r="AU15" i="4" a="1"/>
  <c r="DU14" i="4" a="1"/>
  <c r="X6" i="4" a="1"/>
  <c r="CJ14" i="4" a="1"/>
  <c r="BP6" i="4" a="1"/>
  <c r="AV12" i="4" a="1"/>
  <c r="DH16" i="4" a="1"/>
  <c r="CG13" i="4" a="1"/>
  <c r="CQ7" i="4" a="1"/>
  <c r="EJ7" i="4" a="1"/>
  <c r="CR6" i="4" a="1"/>
  <c r="H15" i="4" a="1"/>
  <c r="BN14" i="4" a="1"/>
  <c r="M8" i="4" a="1"/>
  <c r="BU15" i="4" a="1"/>
  <c r="BX15" i="4" a="1"/>
  <c r="BU11" i="4" a="1"/>
  <c r="AO9" i="4" a="1"/>
  <c r="BO6" i="4" a="1"/>
  <c r="EK7" i="4" a="1"/>
  <c r="Y7" i="4" a="1"/>
  <c r="DA6" i="4" a="1"/>
  <c r="CV7" i="4" a="1"/>
  <c r="CB16" i="4" a="1"/>
  <c r="AD56" i="3"/>
  <c r="F82" i="3"/>
  <c r="F54" i="3"/>
  <c r="E94" i="3"/>
  <c r="O26" i="2"/>
  <c r="H30" i="2"/>
  <c r="S33" i="2"/>
  <c r="G5" i="2"/>
  <c r="AR64" i="3"/>
  <c r="D17" i="3"/>
  <c r="BJ11" i="4" a="1"/>
  <c r="AR72" i="3"/>
  <c r="J16" i="2"/>
  <c r="Q29" i="2"/>
  <c r="O32" i="2"/>
  <c r="R19" i="2"/>
  <c r="R21" i="2"/>
  <c r="AR54" i="3"/>
  <c r="BM8" i="4" a="1"/>
  <c r="DC12" i="4" a="1"/>
  <c r="X8" i="2"/>
  <c r="CC11" i="4" a="1"/>
  <c r="CP13" i="4" a="1"/>
  <c r="CW9" i="4" a="1"/>
  <c r="DO8" i="4" a="1"/>
  <c r="ED8" i="4" a="1"/>
  <c r="T14" i="2"/>
  <c r="E14" i="3"/>
  <c r="AG15" i="4" a="1"/>
  <c r="DL5" i="4" a="1"/>
  <c r="I24" i="2"/>
  <c r="P45" i="3"/>
  <c r="BA7" i="4" a="1"/>
  <c r="DL6" i="4" a="1"/>
  <c r="D35" i="3"/>
  <c r="AZ8" i="4" a="1"/>
  <c r="DX7" i="4" a="1"/>
  <c r="BS11" i="4" a="1"/>
  <c r="DS16" i="4" a="1"/>
  <c r="L21" i="2"/>
  <c r="Q45" i="3"/>
  <c r="AL12" i="4" a="1"/>
  <c r="AC15" i="4" a="1"/>
  <c r="BP9" i="4" a="1"/>
  <c r="T14" i="4" a="1"/>
  <c r="AY14" i="4" a="1"/>
  <c r="DC8" i="4" a="1"/>
  <c r="DI6" i="4" a="1"/>
  <c r="DK14" i="4" a="1"/>
  <c r="BN12" i="4" a="1"/>
  <c r="DQ5" i="4" a="1"/>
  <c r="AQ7" i="4" a="1"/>
  <c r="CF5" i="4" a="1"/>
  <c r="DS6" i="4" a="1"/>
  <c r="BL7" i="4" a="1"/>
  <c r="DG15" i="4" a="1"/>
  <c r="DN14" i="4" a="1"/>
  <c r="H11" i="4" a="1"/>
  <c r="I6" i="4" a="1"/>
  <c r="BS16" i="4" a="1"/>
  <c r="AP5" i="4" a="1"/>
  <c r="DW12" i="4" a="1"/>
  <c r="DE8" i="4" a="1"/>
  <c r="EF16" i="4" a="1"/>
  <c r="BF6" i="4" a="1"/>
  <c r="DZ13" i="4" a="1"/>
  <c r="L8" i="4" a="1"/>
  <c r="DP13" i="4" a="1"/>
  <c r="R15" i="4" a="1"/>
  <c r="BA16" i="4" a="1"/>
  <c r="DB5" i="4" a="1"/>
  <c r="CY7" i="4" a="1"/>
  <c r="G71" i="3"/>
  <c r="E77" i="3"/>
  <c r="F77" i="3"/>
  <c r="D90" i="3"/>
  <c r="G92" i="3"/>
  <c r="G66" i="3"/>
  <c r="D56" i="3"/>
  <c r="AD85" i="3"/>
  <c r="H100" i="2"/>
  <c r="X67" i="2"/>
  <c r="R25" i="2"/>
  <c r="S30" i="2"/>
  <c r="AR76" i="3"/>
  <c r="E6" i="3"/>
  <c r="DQ9" i="4" a="1"/>
  <c r="P9" i="2"/>
  <c r="F25" i="2"/>
  <c r="M34" i="2"/>
  <c r="AR17" i="3"/>
  <c r="BF7" i="4" a="1"/>
  <c r="X8" i="4" a="1"/>
  <c r="P34" i="2"/>
  <c r="P33" i="2"/>
  <c r="K19" i="2"/>
  <c r="DB14" i="4" a="1"/>
  <c r="H50" i="2"/>
  <c r="V23" i="2"/>
  <c r="K27" i="2"/>
  <c r="AR27" i="3"/>
  <c r="AO12" i="4" a="1"/>
  <c r="R23" i="2"/>
  <c r="H15" i="2"/>
  <c r="V19" i="2"/>
  <c r="D8" i="3"/>
  <c r="H23" i="2"/>
  <c r="G9" i="2"/>
  <c r="W19" i="2"/>
  <c r="G21" i="3"/>
  <c r="P14" i="4" a="1"/>
  <c r="O8" i="2"/>
  <c r="G31" i="2"/>
  <c r="H5" i="2"/>
  <c r="J9" i="4" a="1"/>
  <c r="I7" i="4" a="1"/>
  <c r="CS13" i="4" a="1"/>
  <c r="W15" i="2"/>
  <c r="CO9" i="4" a="1"/>
  <c r="BP5" i="4" a="1"/>
  <c r="H27" i="2"/>
  <c r="AD9" i="3"/>
  <c r="DI16" i="4" a="1"/>
  <c r="CJ13" i="4" a="1"/>
  <c r="BN9" i="4" a="1"/>
  <c r="AS16" i="4" a="1"/>
  <c r="M45" i="3"/>
  <c r="DJ14" i="4" a="1"/>
  <c r="AO14" i="4" a="1"/>
  <c r="BV6" i="4" a="1"/>
  <c r="F35" i="3"/>
  <c r="CE7" i="4" a="1"/>
  <c r="DY11" i="4" a="1"/>
  <c r="I19" i="2"/>
  <c r="D26" i="3"/>
  <c r="C9" i="4" a="1"/>
  <c r="CR9" i="4" a="1"/>
  <c r="E20" i="3"/>
  <c r="X17" i="2"/>
  <c r="AV16" i="4" a="1"/>
  <c r="CN15" i="4" a="1"/>
  <c r="H5" i="4" a="1"/>
  <c r="DV12" i="4" a="1"/>
  <c r="EH9" i="4" a="1"/>
  <c r="M9" i="4" a="1"/>
  <c r="I5" i="4" a="1"/>
  <c r="CE14" i="4" a="1"/>
  <c r="S6" i="4" a="1"/>
  <c r="DC13" i="4" a="1"/>
  <c r="S14" i="4" a="1"/>
  <c r="AH12" i="4" a="1"/>
  <c r="BN13" i="4" a="1"/>
  <c r="BK16" i="4" a="1"/>
  <c r="M11" i="4" a="1"/>
  <c r="N7" i="4" a="1"/>
  <c r="BB7" i="4" a="1"/>
  <c r="BY13" i="4" a="1"/>
  <c r="DE9" i="4" a="1"/>
  <c r="EB14" i="4" a="1"/>
  <c r="BX6" i="4" a="1"/>
  <c r="EF6" i="4" a="1"/>
  <c r="AD15" i="4" a="1"/>
  <c r="DS7" i="4" a="1"/>
  <c r="CF13" i="4" a="1"/>
  <c r="BN15" i="4" a="1"/>
  <c r="CQ12" i="4" a="1"/>
  <c r="DO16" i="4" a="1"/>
  <c r="AB8" i="4" a="1"/>
  <c r="K13" i="4" a="1"/>
  <c r="EE5" i="4" a="1"/>
  <c r="AW6" i="4" a="1"/>
  <c r="N8" i="4" a="1"/>
  <c r="EC14" i="4" a="1"/>
  <c r="F76" i="3"/>
  <c r="AD80" i="3"/>
  <c r="F66" i="3"/>
  <c r="E65" i="3"/>
  <c r="AD70" i="3"/>
  <c r="AD95" i="3"/>
  <c r="F93" i="3"/>
  <c r="AD81" i="3"/>
  <c r="F81" i="3"/>
  <c r="F80" i="3"/>
  <c r="G62" i="3"/>
  <c r="AD92" i="3"/>
  <c r="O27" i="2"/>
  <c r="BI16" i="4" a="1"/>
  <c r="H34" i="2"/>
  <c r="T32" i="2"/>
  <c r="F13" i="3"/>
  <c r="D17" i="2"/>
  <c r="Q21" i="2"/>
  <c r="T13" i="2"/>
  <c r="F24" i="3"/>
  <c r="D15" i="2"/>
  <c r="S10" i="2"/>
  <c r="X30" i="2"/>
  <c r="G32" i="2"/>
  <c r="U5" i="2"/>
  <c r="I11" i="2"/>
  <c r="BD6" i="4" a="1"/>
  <c r="Q12" i="4" a="1"/>
  <c r="AI8" i="4" a="1"/>
  <c r="DB7" i="4" a="1"/>
  <c r="U7" i="4" a="1"/>
  <c r="DI11" i="4" a="1"/>
  <c r="I33" i="2"/>
  <c r="D28" i="3"/>
  <c r="BH6" i="4" a="1"/>
  <c r="AZ6" i="4" a="1"/>
  <c r="F41" i="3"/>
  <c r="AX6" i="4" a="1"/>
  <c r="L6" i="4" a="1"/>
  <c r="BJ7" i="4" a="1"/>
  <c r="CI13" i="4" a="1"/>
  <c r="N13" i="2"/>
  <c r="DP5" i="4" a="1"/>
  <c r="DI15" i="4" a="1"/>
  <c r="CX7" i="4" a="1"/>
  <c r="H6" i="2"/>
  <c r="G25" i="2"/>
  <c r="O24" i="2"/>
  <c r="AM5" i="4" a="1"/>
  <c r="DO6" i="4" a="1"/>
  <c r="CR11" i="4" a="1"/>
  <c r="EI11" i="4" a="1"/>
  <c r="BU14" i="4" a="1"/>
  <c r="BS5" i="4" a="1"/>
  <c r="AQ6" i="4" a="1"/>
  <c r="P6" i="4" a="1"/>
  <c r="Z12" i="4" a="1"/>
  <c r="W9" i="4" a="1"/>
  <c r="CB12" i="4" a="1"/>
  <c r="BB5" i="4" a="1"/>
  <c r="L15" i="4" a="1"/>
  <c r="BM16" i="4" a="1"/>
  <c r="CR12" i="4" a="1"/>
  <c r="AD5" i="4" a="1"/>
  <c r="BB9" i="4" a="1"/>
  <c r="EF12" i="4" a="1"/>
  <c r="CK12" i="4" a="1"/>
  <c r="AJ9" i="4" a="1"/>
  <c r="DD11" i="4" a="1"/>
  <c r="R5" i="4" a="1"/>
  <c r="CS5" i="4" a="1"/>
  <c r="L12" i="4" a="1"/>
  <c r="CI6" i="4" a="1"/>
  <c r="AF14" i="4" a="1"/>
  <c r="DC6" i="4" a="1"/>
  <c r="EE15" i="4" a="1"/>
  <c r="AV7" i="4" a="1"/>
  <c r="CI12" i="4" a="1"/>
  <c r="M16" i="4" a="1"/>
  <c r="L14" i="4" a="1"/>
  <c r="R8" i="4" a="1"/>
  <c r="E54" i="3"/>
  <c r="G88" i="3"/>
  <c r="AD73" i="3"/>
  <c r="F83" i="3"/>
  <c r="F62" i="3"/>
  <c r="G65" i="3"/>
  <c r="F97" i="3"/>
  <c r="G64" i="3"/>
  <c r="D58" i="3"/>
  <c r="F48" i="3"/>
  <c r="D60" i="3"/>
  <c r="AD62" i="3"/>
  <c r="AD78" i="3"/>
  <c r="AD91" i="3"/>
  <c r="AD61" i="3"/>
  <c r="AD79" i="3"/>
  <c r="AD88" i="3"/>
  <c r="AD84" i="3"/>
  <c r="AD86" i="3"/>
  <c r="AD75" i="3"/>
  <c r="AD74" i="3"/>
  <c r="E71" i="3"/>
  <c r="E59" i="3"/>
  <c r="E72" i="3"/>
  <c r="E66" i="3"/>
  <c r="E57" i="3"/>
  <c r="E78" i="3"/>
  <c r="E83" i="3"/>
  <c r="E55" i="3"/>
  <c r="E90" i="3"/>
  <c r="E68" i="3"/>
  <c r="E91" i="3"/>
  <c r="E69" i="3"/>
  <c r="E63" i="3"/>
  <c r="E97" i="3"/>
  <c r="E76" i="3"/>
  <c r="E87" i="3"/>
  <c r="E64" i="3"/>
  <c r="E85" i="3"/>
  <c r="E81" i="3"/>
  <c r="E61" i="3"/>
  <c r="E74" i="3"/>
  <c r="G60" i="3"/>
  <c r="G82" i="3"/>
  <c r="G80" i="3"/>
  <c r="G59" i="3"/>
  <c r="G70" i="3"/>
  <c r="G77" i="3"/>
  <c r="G85" i="3"/>
  <c r="G95" i="3"/>
  <c r="G58" i="3"/>
  <c r="G83" i="3"/>
  <c r="G87" i="3"/>
  <c r="G75" i="3"/>
  <c r="G67" i="3"/>
  <c r="G74" i="3"/>
  <c r="G68" i="3"/>
  <c r="G61" i="3"/>
  <c r="G89" i="3"/>
  <c r="G91" i="3"/>
  <c r="G96" i="3"/>
  <c r="G55" i="3"/>
  <c r="W21" i="1"/>
  <c r="C35" i="1"/>
  <c r="AK39" i="1"/>
  <c r="AL51" i="1"/>
  <c r="O45" i="1"/>
  <c r="F36" i="1"/>
  <c r="AK14" i="1"/>
  <c r="AL23" i="1"/>
  <c r="Q39" i="1"/>
  <c r="S8" i="1"/>
  <c r="S231" i="1" s="1"/>
  <c r="I51" i="1"/>
  <c r="M8" i="1"/>
  <c r="M231" i="1" s="1"/>
  <c r="G8" i="1"/>
  <c r="G231" i="1" s="1"/>
  <c r="BX8" i="1"/>
  <c r="AK15" i="1"/>
  <c r="BL74" i="1"/>
  <c r="I15" i="1"/>
  <c r="E51" i="1"/>
  <c r="AK20" i="1"/>
  <c r="F13" i="1"/>
  <c r="AL46" i="1"/>
  <c r="F24" i="1"/>
  <c r="BX125" i="1"/>
  <c r="BY125" i="1" s="1"/>
  <c r="K13" i="1"/>
  <c r="M20" i="1"/>
  <c r="O35" i="1"/>
  <c r="D24" i="1"/>
  <c r="BX154" i="1"/>
  <c r="BY154" i="1" s="1"/>
  <c r="M24" i="1"/>
  <c r="BX32" i="1"/>
  <c r="BX194" i="1" s="1"/>
  <c r="BX146" i="1"/>
  <c r="BY146" i="1" s="1"/>
  <c r="U39" i="1"/>
  <c r="F21" i="1"/>
  <c r="JG9" i="4" s="1"/>
  <c r="BJ25" i="1"/>
  <c r="BX131" i="1"/>
  <c r="G32" i="1"/>
  <c r="G194" i="1" s="1"/>
  <c r="C22" i="1"/>
  <c r="IH16" i="4" s="1"/>
  <c r="AJ32" i="1"/>
  <c r="AJ194" i="1" s="1"/>
  <c r="AM32" i="1"/>
  <c r="AM194" i="1" s="1"/>
  <c r="BX145" i="1"/>
  <c r="AM14" i="1"/>
  <c r="B36" i="1"/>
  <c r="L15" i="1"/>
  <c r="S9" i="1"/>
  <c r="S10" i="1" s="1"/>
  <c r="S51" i="1"/>
  <c r="K15" i="1"/>
  <c r="T15" i="1"/>
  <c r="IX9" i="4" s="1"/>
  <c r="Q35" i="1"/>
  <c r="J32" i="1"/>
  <c r="J194" i="1" s="1"/>
  <c r="U35" i="1"/>
  <c r="K35" i="1"/>
  <c r="G163" i="1"/>
  <c r="E21" i="1"/>
  <c r="Q153" i="1"/>
  <c r="B24" i="1"/>
  <c r="S45" i="1"/>
  <c r="BX117" i="1"/>
  <c r="BY117" i="1" s="1"/>
  <c r="AL25" i="1"/>
  <c r="C39" i="1"/>
  <c r="BX155" i="1"/>
  <c r="BY155" i="1" s="1"/>
  <c r="K36" i="1"/>
  <c r="G22" i="1"/>
  <c r="V35" i="1"/>
  <c r="Q15" i="1"/>
  <c r="T21" i="1"/>
  <c r="N25" i="1"/>
  <c r="B32" i="1"/>
  <c r="H25" i="1"/>
  <c r="N24" i="1"/>
  <c r="U20" i="1"/>
  <c r="N32" i="1"/>
  <c r="N194" i="1" s="1"/>
  <c r="I32" i="1"/>
  <c r="I194" i="1" s="1"/>
  <c r="AL155" i="1"/>
  <c r="AM155" i="1" s="1"/>
  <c r="AL74" i="1"/>
  <c r="BJ144" i="1"/>
  <c r="AJ124" i="1"/>
  <c r="AK124" i="1" s="1"/>
  <c r="AJ163" i="1"/>
  <c r="AK163" i="1" s="1"/>
  <c r="AJ159" i="1"/>
  <c r="AL142" i="1"/>
  <c r="AM142" i="1" s="1"/>
  <c r="BJ159" i="1"/>
  <c r="BJ149" i="1"/>
  <c r="BJ155" i="1"/>
  <c r="BK155" i="1" s="1"/>
  <c r="AL163" i="1"/>
  <c r="AM163" i="1" s="1"/>
  <c r="BJ145" i="1"/>
  <c r="BJ164" i="1"/>
  <c r="AL151" i="1"/>
  <c r="AM151" i="1" s="1"/>
  <c r="AL152" i="1"/>
  <c r="AM152" i="1" s="1"/>
  <c r="AL159" i="1"/>
  <c r="AL144" i="1"/>
  <c r="AJ119" i="1"/>
  <c r="AJ146" i="1"/>
  <c r="AK146" i="1" s="1"/>
  <c r="AL154" i="1"/>
  <c r="AM154" i="1" s="1"/>
  <c r="AL126" i="1"/>
  <c r="AM126" i="1" s="1"/>
  <c r="AL124" i="1"/>
  <c r="AM124" i="1" s="1"/>
  <c r="AL160" i="1"/>
  <c r="BJ133" i="1"/>
  <c r="AJ132" i="1"/>
  <c r="AJ155" i="1"/>
  <c r="AK155" i="1" s="1"/>
  <c r="AJ140" i="1"/>
  <c r="AK140" i="1" s="1"/>
  <c r="AJ131" i="1"/>
  <c r="BJ137" i="1"/>
  <c r="BK137" i="1" s="1"/>
  <c r="II14" i="4"/>
  <c r="JD15" i="4"/>
  <c r="IK14" i="4"/>
  <c r="CP77" i="1"/>
  <c r="AK51" i="1" l="1"/>
  <c r="B20" i="1"/>
  <c r="BX36" i="1"/>
  <c r="W32" i="1"/>
  <c r="W253" i="1" s="1"/>
  <c r="AK36" i="1"/>
  <c r="W45" i="1"/>
  <c r="BX23" i="1"/>
  <c r="BX35" i="1"/>
  <c r="AL13" i="1"/>
  <c r="BX133" i="1"/>
  <c r="JC9" i="4"/>
  <c r="IC16" i="4" s="1"/>
  <c r="IC21" i="4" s="1"/>
  <c r="AW77" i="1" s="1"/>
  <c r="BX137" i="1"/>
  <c r="BY137" i="1" s="1"/>
  <c r="AJ24" i="1"/>
  <c r="I35" i="1"/>
  <c r="V23" i="1"/>
  <c r="R36" i="1"/>
  <c r="L25" i="1"/>
  <c r="IP8" i="4"/>
  <c r="I39" i="1"/>
  <c r="I20" i="1"/>
  <c r="W25" i="1"/>
  <c r="D39" i="1"/>
  <c r="J36" i="1"/>
  <c r="P13" i="1"/>
  <c r="K24" i="1"/>
  <c r="CN63" i="1"/>
  <c r="BJ15" i="1"/>
  <c r="HX16" i="4" s="1"/>
  <c r="IS7" i="4" s="1"/>
  <c r="ID16" i="4" s="1"/>
  <c r="ID21" i="4" s="1"/>
  <c r="AX77" i="1" s="1"/>
  <c r="H8" i="1"/>
  <c r="H231" i="1" s="1"/>
  <c r="H22" i="1"/>
  <c r="AJ13" i="1"/>
  <c r="R20" i="1"/>
  <c r="R26" i="1" s="1"/>
  <c r="AM13" i="1"/>
  <c r="B23" i="1"/>
  <c r="G13" i="1"/>
  <c r="N13" i="1"/>
  <c r="S21" i="1"/>
  <c r="M13" i="1"/>
  <c r="IL9" i="4" s="1"/>
  <c r="O36" i="1"/>
  <c r="M51" i="1"/>
  <c r="AL24" i="1"/>
  <c r="BX163" i="1"/>
  <c r="BY163" i="1" s="1"/>
  <c r="I21" i="1"/>
  <c r="I36" i="1"/>
  <c r="T36" i="1"/>
  <c r="IN9" i="4"/>
  <c r="B13" i="1"/>
  <c r="O25" i="1"/>
  <c r="R24" i="1"/>
  <c r="B21" i="1"/>
  <c r="AJ45" i="1"/>
  <c r="W20" i="1"/>
  <c r="CM65" i="1"/>
  <c r="IS8" i="4"/>
  <c r="IL16" i="4" s="1"/>
  <c r="IL21" i="4" s="1"/>
  <c r="BF77" i="1" s="1"/>
  <c r="IY16" i="4" s="1"/>
  <c r="IY21" i="4" s="1"/>
  <c r="BS77" i="1" s="1"/>
  <c r="IG7" i="4" s="1"/>
  <c r="IA9" i="4" s="1"/>
  <c r="IQ8" i="4" s="1"/>
  <c r="IF16" i="4" s="1"/>
  <c r="HR9" i="4"/>
  <c r="AL47" i="1"/>
  <c r="AM8" i="1"/>
  <c r="AM231" i="1" s="1"/>
  <c r="AJ22" i="1"/>
  <c r="AM21" i="1"/>
  <c r="Q9" i="1"/>
  <c r="C32" i="1"/>
  <c r="C194" i="1" s="1"/>
  <c r="O22" i="1"/>
  <c r="J51" i="1"/>
  <c r="V15" i="1"/>
  <c r="E8" i="1"/>
  <c r="E231" i="1" s="1"/>
  <c r="AJ51" i="1"/>
  <c r="AK9" i="1"/>
  <c r="M45" i="1"/>
  <c r="C46" i="1"/>
  <c r="T24" i="1"/>
  <c r="I23" i="1"/>
  <c r="Q46" i="1"/>
  <c r="IH7" i="4" s="1"/>
  <c r="IT9" i="4" s="1"/>
  <c r="HU9" i="4" s="1"/>
  <c r="HT16" i="4" s="1"/>
  <c r="AJ47" i="1"/>
  <c r="U36" i="1"/>
  <c r="U252" i="1" s="1"/>
  <c r="BX74" i="1"/>
  <c r="M35" i="1"/>
  <c r="J46" i="1"/>
  <c r="JE8" i="4" s="1"/>
  <c r="JE16" i="4" s="1"/>
  <c r="ID9" i="4" s="1"/>
  <c r="AM9" i="1"/>
  <c r="AM10" i="1" s="1"/>
  <c r="AM25" i="1"/>
  <c r="AL39" i="1"/>
  <c r="T45" i="1"/>
  <c r="W47" i="1"/>
  <c r="C13" i="1"/>
  <c r="O47" i="1"/>
  <c r="V46" i="1"/>
  <c r="P127" i="1"/>
  <c r="HS8" i="4" s="1"/>
  <c r="IP7" i="4" s="1"/>
  <c r="HW9" i="4" s="1"/>
  <c r="ID15" i="4" s="1"/>
  <c r="IR16" i="4" s="1"/>
  <c r="IR21" i="4" s="1"/>
  <c r="BL77" i="1" s="1"/>
  <c r="BL94" i="1" s="1"/>
  <c r="IB16" i="4" s="1"/>
  <c r="IB21" i="4" s="1"/>
  <c r="AV77" i="1" s="1"/>
  <c r="IE9" i="4" s="1"/>
  <c r="AM36" i="1"/>
  <c r="AM252" i="1" s="1"/>
  <c r="BX119" i="1"/>
  <c r="BY119" i="1" s="1"/>
  <c r="BX124" i="1"/>
  <c r="BY124" i="1" s="1"/>
  <c r="P24" i="1"/>
  <c r="O13" i="1"/>
  <c r="J21" i="1"/>
  <c r="IP9" i="4" s="1"/>
  <c r="JD7" i="4" s="1"/>
  <c r="AK24" i="1"/>
  <c r="AM20" i="1"/>
  <c r="AM15" i="1"/>
  <c r="B39" i="1"/>
  <c r="B35" i="1"/>
  <c r="B25" i="1"/>
  <c r="W132" i="1"/>
  <c r="R23" i="1"/>
  <c r="J35" i="1"/>
  <c r="C45" i="1"/>
  <c r="IZ15" i="4" s="1"/>
  <c r="JC16" i="4" s="1"/>
  <c r="JC21" i="4" s="1"/>
  <c r="BW77" i="1" s="1"/>
  <c r="IS14" i="4" s="1"/>
  <c r="HZ16" i="4" s="1"/>
  <c r="IB14" i="4" s="1"/>
  <c r="JE7" i="4" s="1"/>
  <c r="HQ16" i="4" s="1"/>
  <c r="IA15" i="4" s="1"/>
  <c r="HS7" i="4" s="1"/>
  <c r="IQ7" i="4" s="1"/>
  <c r="HR14" i="4" s="1"/>
  <c r="IM7" i="4" s="1"/>
  <c r="AL32" i="1"/>
  <c r="AL194" i="1" s="1"/>
  <c r="AL22" i="1"/>
  <c r="AK47" i="1"/>
  <c r="E25" i="1"/>
  <c r="W51" i="1"/>
  <c r="BX164" i="1"/>
  <c r="BY164" i="1" s="1"/>
  <c r="M15" i="1"/>
  <c r="BX73" i="1"/>
  <c r="R25" i="1"/>
  <c r="D35" i="1"/>
  <c r="M9" i="1"/>
  <c r="O8" i="1"/>
  <c r="AJ46" i="1"/>
  <c r="AM39" i="1"/>
  <c r="AK13" i="1"/>
  <c r="BX126" i="1"/>
  <c r="BY126" i="1" s="1"/>
  <c r="B47" i="1"/>
  <c r="B51" i="1"/>
  <c r="K23" i="1"/>
  <c r="D47" i="1"/>
  <c r="K45" i="1"/>
  <c r="IB9" i="4"/>
  <c r="AL8" i="1"/>
  <c r="AL231" i="1" s="1"/>
  <c r="AK22" i="1"/>
  <c r="D122" i="1"/>
  <c r="H24" i="1"/>
  <c r="BX153" i="1"/>
  <c r="M39" i="1"/>
  <c r="D36" i="1"/>
  <c r="L51" i="1"/>
  <c r="T13" i="1"/>
  <c r="HS15" i="4"/>
  <c r="IE14" i="4" s="1"/>
  <c r="IJ9" i="4" s="1"/>
  <c r="IU9" i="4" s="1"/>
  <c r="IA7" i="4" s="1"/>
  <c r="IF8" i="4" s="1"/>
  <c r="AK21" i="1"/>
  <c r="E39" i="1"/>
  <c r="S35" i="1"/>
  <c r="E22" i="1"/>
  <c r="I9" i="1"/>
  <c r="AL15" i="1"/>
  <c r="AK23" i="1"/>
  <c r="R47" i="1"/>
  <c r="S13" i="1"/>
  <c r="H46" i="1"/>
  <c r="S20" i="1"/>
  <c r="S15" i="1"/>
  <c r="JG8" i="4" s="1"/>
  <c r="IE8" i="4" s="1"/>
  <c r="IV16" i="4" s="1"/>
  <c r="IV21" i="4" s="1"/>
  <c r="BP77" i="1" s="1"/>
  <c r="IS16" i="4" s="1"/>
  <c r="AJ8" i="1"/>
  <c r="AJ231" i="1" s="1"/>
  <c r="BX143" i="1"/>
  <c r="BY143" i="1" s="1"/>
  <c r="I47" i="1"/>
  <c r="P36" i="1"/>
  <c r="K8" i="1"/>
  <c r="K231" i="1" s="1"/>
  <c r="S39" i="1"/>
  <c r="W22" i="1"/>
  <c r="F46" i="1"/>
  <c r="P39" i="1"/>
  <c r="HR15" i="4"/>
  <c r="JD16" i="4" s="1"/>
  <c r="JD21" i="4" s="1"/>
  <c r="BX77" i="1" s="1"/>
  <c r="BX46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P153" i="1"/>
  <c r="G46" i="1"/>
  <c r="V22" i="1"/>
  <c r="BX159" i="1"/>
  <c r="BX161" i="1" s="1"/>
  <c r="BY209" i="1" s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BX134" i="1" s="1"/>
  <c r="BY134" i="1" s="1"/>
  <c r="Q21" i="1"/>
  <c r="I45" i="1"/>
  <c r="H36" i="1"/>
  <c r="H252" i="1" s="1"/>
  <c r="G23" i="1"/>
  <c r="O51" i="1"/>
  <c r="L45" i="1"/>
  <c r="S22" i="1"/>
  <c r="K25" i="1"/>
  <c r="F32" i="1"/>
  <c r="U25" i="1"/>
  <c r="M22" i="1"/>
  <c r="I22" i="1"/>
  <c r="F45" i="1"/>
  <c r="C9" i="1"/>
  <c r="N15" i="1"/>
  <c r="Q47" i="1"/>
  <c r="N23" i="1"/>
  <c r="J45" i="1"/>
  <c r="N21" i="1"/>
  <c r="O9" i="1"/>
  <c r="K21" i="1"/>
  <c r="E159" i="1"/>
  <c r="H20" i="1"/>
  <c r="P8" i="1"/>
  <c r="P231" i="1" s="1"/>
  <c r="F35" i="1"/>
  <c r="L20" i="1"/>
  <c r="HY7" i="4" s="1"/>
  <c r="BX20" i="1"/>
  <c r="BJ20" i="1"/>
  <c r="AJ9" i="1"/>
  <c r="AM24" i="1"/>
  <c r="BJ24" i="1"/>
  <c r="AL9" i="1"/>
  <c r="U23" i="1"/>
  <c r="J23" i="1"/>
  <c r="C20" i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V51" i="1"/>
  <c r="R21" i="1"/>
  <c r="P20" i="1"/>
  <c r="C47" i="1"/>
  <c r="K46" i="1"/>
  <c r="J24" i="1"/>
  <c r="D22" i="1"/>
  <c r="T39" i="1"/>
  <c r="R15" i="1"/>
  <c r="B8" i="1"/>
  <c r="W13" i="1"/>
  <c r="P160" i="1"/>
  <c r="N45" i="1"/>
  <c r="T47" i="1"/>
  <c r="T32" i="1"/>
  <c r="E35" i="1"/>
  <c r="AL20" i="1"/>
  <c r="AL45" i="1"/>
  <c r="BX15" i="1"/>
  <c r="AJ14" i="1"/>
  <c r="AJ20" i="1"/>
  <c r="AJ26" i="1" s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T51" i="1"/>
  <c r="O23" i="1"/>
  <c r="V24" i="1"/>
  <c r="N51" i="1"/>
  <c r="F22" i="1"/>
  <c r="T23" i="1"/>
  <c r="F8" i="1"/>
  <c r="F231" i="1" s="1"/>
  <c r="D46" i="1"/>
  <c r="W9" i="1"/>
  <c r="W10" i="1" s="1"/>
  <c r="AJ36" i="1"/>
  <c r="BJ23" i="1"/>
  <c r="AJ15" i="1"/>
  <c r="AK25" i="1"/>
  <c r="BJ21" i="1"/>
  <c r="BX144" i="1"/>
  <c r="G36" i="1"/>
  <c r="O15" i="1"/>
  <c r="BX160" i="1"/>
  <c r="J22" i="1"/>
  <c r="G20" i="1"/>
  <c r="U21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P46" i="1"/>
  <c r="T25" i="1"/>
  <c r="I46" i="1"/>
  <c r="F47" i="1"/>
  <c r="M25" i="1"/>
  <c r="T35" i="1"/>
  <c r="T20" i="1"/>
  <c r="P22" i="1"/>
  <c r="H35" i="1"/>
  <c r="U47" i="1"/>
  <c r="N39" i="1"/>
  <c r="C21" i="1"/>
  <c r="D20" i="1"/>
  <c r="J47" i="1"/>
  <c r="W35" i="1"/>
  <c r="C124" i="1"/>
  <c r="U15" i="1"/>
  <c r="T8" i="1"/>
  <c r="T231" i="1" s="1"/>
  <c r="W117" i="1"/>
  <c r="R51" i="1"/>
  <c r="HP16" i="4" s="1"/>
  <c r="HP21" i="4" s="1"/>
  <c r="AJ77" i="1" s="1"/>
  <c r="IZ8" i="4" s="1"/>
  <c r="IZ14" i="4" s="1"/>
  <c r="HR8" i="4" s="1"/>
  <c r="AJ23" i="1"/>
  <c r="AJ25" i="1"/>
  <c r="BX47" i="1"/>
  <c r="BX21" i="1"/>
  <c r="BX51" i="1"/>
  <c r="AK32" i="1"/>
  <c r="AK194" i="1" s="1"/>
  <c r="AL21" i="1"/>
  <c r="BX142" i="1"/>
  <c r="BY142" i="1" s="1"/>
  <c r="BX140" i="1"/>
  <c r="BY140" i="1" s="1"/>
  <c r="BZ202" i="1" s="1"/>
  <c r="E23" i="1"/>
  <c r="BX150" i="1"/>
  <c r="BY150" i="1" s="1"/>
  <c r="BX135" i="1"/>
  <c r="BY135" i="1" s="1"/>
  <c r="BX127" i="1"/>
  <c r="BY12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183" i="1" s="1"/>
  <c r="Q25" i="1"/>
  <c r="J15" i="1"/>
  <c r="E32" i="1"/>
  <c r="E194" i="1" s="1"/>
  <c r="O32" i="1"/>
  <c r="U9" i="1"/>
  <c r="U10" i="1" s="1"/>
  <c r="G47" i="1"/>
  <c r="R32" i="1"/>
  <c r="R194" i="1" s="1"/>
  <c r="I25" i="1"/>
  <c r="H32" i="1"/>
  <c r="H194" i="1" s="1"/>
  <c r="W46" i="1"/>
  <c r="IO16" i="4" s="1"/>
  <c r="IV14" i="4" s="1"/>
  <c r="IY14" i="4" s="1"/>
  <c r="JH16" i="4" s="1"/>
  <c r="JH21" i="4" s="1"/>
  <c r="CB77" i="1" s="1"/>
  <c r="HX9" i="4" s="1"/>
  <c r="BJ8" i="1"/>
  <c r="BJ231" i="1" s="1"/>
  <c r="AL35" i="1"/>
  <c r="BX9" i="1"/>
  <c r="AJ35" i="1"/>
  <c r="AK8" i="1"/>
  <c r="AK231" i="1" s="1"/>
  <c r="AJ21" i="1"/>
  <c r="BX22" i="1"/>
  <c r="BX151" i="1"/>
  <c r="BY151" i="1" s="1"/>
  <c r="R13" i="1"/>
  <c r="U32" i="1"/>
  <c r="U194" i="1" s="1"/>
  <c r="B46" i="1"/>
  <c r="F15" i="1"/>
  <c r="BX147" i="1"/>
  <c r="BY147" i="1" s="1"/>
  <c r="S36" i="1"/>
  <c r="S252" i="1" s="1"/>
  <c r="BX149" i="1"/>
  <c r="BY149" i="1" s="1"/>
  <c r="L35" i="1"/>
  <c r="K20" i="1"/>
  <c r="D8" i="1"/>
  <c r="D231" i="1" s="1"/>
  <c r="J119" i="1"/>
  <c r="D13" i="1"/>
  <c r="P35" i="1"/>
  <c r="V32" i="1"/>
  <c r="V253" i="1" s="1"/>
  <c r="E15" i="1"/>
  <c r="W36" i="1"/>
  <c r="W252" i="1" s="1"/>
  <c r="E9" i="1"/>
  <c r="H47" i="1"/>
  <c r="R39" i="1"/>
  <c r="L32" i="1"/>
  <c r="L253" i="1" s="1"/>
  <c r="V25" i="1"/>
  <c r="L36" i="1"/>
  <c r="Q45" i="1"/>
  <c r="L22" i="1"/>
  <c r="W24" i="1"/>
  <c r="K51" i="1"/>
  <c r="Q36" i="1"/>
  <c r="R46" i="1"/>
  <c r="Q51" i="1"/>
  <c r="F23" i="1"/>
  <c r="F9" i="1"/>
  <c r="R45" i="1"/>
  <c r="U45" i="1"/>
  <c r="B22" i="1"/>
  <c r="L46" i="1"/>
  <c r="P21" i="1"/>
  <c r="N46" i="1"/>
  <c r="G39" i="1"/>
  <c r="K9" i="1"/>
  <c r="P51" i="1"/>
  <c r="I24" i="1"/>
  <c r="D45" i="1"/>
  <c r="K47" i="1"/>
  <c r="G21" i="1"/>
  <c r="P23" i="1"/>
  <c r="N47" i="1"/>
  <c r="J39" i="1"/>
  <c r="O21" i="1"/>
  <c r="D51" i="1"/>
  <c r="R35" i="1"/>
  <c r="H15" i="1"/>
  <c r="S46" i="1"/>
  <c r="M36" i="1"/>
  <c r="M47" i="1"/>
  <c r="G15" i="1"/>
  <c r="C8" i="1"/>
  <c r="C231" i="1" s="1"/>
  <c r="V36" i="1"/>
  <c r="V252" i="1" s="1"/>
  <c r="BJ163" i="1"/>
  <c r="BK163" i="1" s="1"/>
  <c r="BJ154" i="1"/>
  <c r="BK154" i="1" s="1"/>
  <c r="AJ127" i="1"/>
  <c r="AK127" i="1" s="1"/>
  <c r="BJ127" i="1"/>
  <c r="BK127" i="1" s="1"/>
  <c r="AJ122" i="1"/>
  <c r="AK122" i="1" s="1"/>
  <c r="AL145" i="1"/>
  <c r="AL150" i="1"/>
  <c r="AM150" i="1" s="1"/>
  <c r="AL131" i="1"/>
  <c r="AL125" i="1"/>
  <c r="AM125" i="1" s="1"/>
  <c r="AL164" i="1"/>
  <c r="AM164" i="1" s="1"/>
  <c r="AL149" i="1"/>
  <c r="AM149" i="1" s="1"/>
  <c r="AL119" i="1"/>
  <c r="BJ160" i="1"/>
  <c r="BJ147" i="1"/>
  <c r="BK147" i="1" s="1"/>
  <c r="AJ150" i="1"/>
  <c r="AK150" i="1" s="1"/>
  <c r="AJ153" i="1"/>
  <c r="AJ151" i="1"/>
  <c r="AK151" i="1" s="1"/>
  <c r="AL135" i="1"/>
  <c r="AM135" i="1" s="1"/>
  <c r="AJ149" i="1"/>
  <c r="AK149" i="1" s="1"/>
  <c r="BJ124" i="1"/>
  <c r="BK124" i="1" s="1"/>
  <c r="AL133" i="1"/>
  <c r="BJ131" i="1"/>
  <c r="AJ152" i="1"/>
  <c r="AK152" i="1" s="1"/>
  <c r="AJ142" i="1"/>
  <c r="AK142" i="1" s="1"/>
  <c r="AJ154" i="1"/>
  <c r="AK154" i="1" s="1"/>
  <c r="BJ119" i="1"/>
  <c r="AL122" i="1"/>
  <c r="AM122" i="1" s="1"/>
  <c r="BJ126" i="1"/>
  <c r="BK126" i="1" s="1"/>
  <c r="AL153" i="1"/>
  <c r="AL146" i="1"/>
  <c r="AM146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25" i="1"/>
  <c r="AK125" i="1" s="1"/>
  <c r="AL117" i="1"/>
  <c r="AM117" i="1" s="1"/>
  <c r="BJ146" i="1"/>
  <c r="BK146" i="1" s="1"/>
  <c r="AJ117" i="1"/>
  <c r="AK117" i="1" s="1"/>
  <c r="AL118" i="1"/>
  <c r="AM118" i="1" s="1"/>
  <c r="AL132" i="1"/>
  <c r="AL127" i="1"/>
  <c r="AM127" i="1" s="1"/>
  <c r="AL73" i="1"/>
  <c r="AL147" i="1"/>
  <c r="AM147" i="1" s="1"/>
  <c r="BJ118" i="1"/>
  <c r="BK118" i="1" s="1"/>
  <c r="BJ153" i="1"/>
  <c r="BJ150" i="1"/>
  <c r="BK150" i="1" s="1"/>
  <c r="BJ151" i="1"/>
  <c r="BK151" i="1" s="1"/>
  <c r="AJ164" i="1"/>
  <c r="AK164" i="1" s="1"/>
  <c r="AJ126" i="1"/>
  <c r="AK126" i="1" s="1"/>
  <c r="AJ118" i="1"/>
  <c r="AK118" i="1" s="1"/>
  <c r="AL140" i="1"/>
  <c r="AM140" i="1" s="1"/>
  <c r="AM202" i="1" s="1"/>
  <c r="BJ122" i="1"/>
  <c r="BK122" i="1" s="1"/>
  <c r="BJ117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43" i="1"/>
  <c r="AL143" i="1"/>
  <c r="HP15" i="4"/>
  <c r="HW14" i="4"/>
  <c r="IM14" i="4"/>
  <c r="IO7" i="4"/>
  <c r="JB15" i="4"/>
  <c r="IJ7" i="4"/>
  <c r="HW7" i="4"/>
  <c r="IQ14" i="4"/>
  <c r="IN15" i="4"/>
  <c r="IO8" i="4"/>
  <c r="HR7" i="4"/>
  <c r="J253" i="1"/>
  <c r="HS14" i="4"/>
  <c r="HS19" i="4" s="1"/>
  <c r="AM78" i="1" s="1"/>
  <c r="JC14" i="4"/>
  <c r="F252" i="1"/>
  <c r="IH8" i="4"/>
  <c r="IH15" i="4"/>
  <c r="IH20" i="4" s="1"/>
  <c r="BB79" i="1" s="1"/>
  <c r="BB108" i="1" s="1"/>
  <c r="JA14" i="4"/>
  <c r="JA19" i="4" s="1"/>
  <c r="BU78" i="1" s="1"/>
  <c r="BU107" i="1" s="1"/>
  <c r="JD14" i="4"/>
  <c r="JD19" i="4" s="1"/>
  <c r="BX78" i="1" s="1"/>
  <c r="JI8" i="4"/>
  <c r="IK15" i="4"/>
  <c r="JE15" i="4"/>
  <c r="JE20" i="4" s="1"/>
  <c r="BY79" i="1" s="1"/>
  <c r="BY108" i="1" s="1"/>
  <c r="IU15" i="4"/>
  <c r="JG14" i="4"/>
  <c r="JG19" i="4" s="1"/>
  <c r="CA78" i="1" s="1"/>
  <c r="G183" i="1"/>
  <c r="G26" i="1"/>
  <c r="HW8" i="4"/>
  <c r="W194" i="1"/>
  <c r="S253" i="1"/>
  <c r="HP8" i="4"/>
  <c r="IA8" i="4"/>
  <c r="IT8" i="4"/>
  <c r="HV14" i="4"/>
  <c r="IN14" i="4"/>
  <c r="IN19" i="4" s="1"/>
  <c r="BH78" i="1" s="1"/>
  <c r="BH107" i="1" s="1"/>
  <c r="JH7" i="4"/>
  <c r="ID14" i="4"/>
  <c r="HT8" i="4"/>
  <c r="II7" i="4"/>
  <c r="IU14" i="4"/>
  <c r="IU19" i="4" s="1"/>
  <c r="BO78" i="1" s="1"/>
  <c r="BO107" i="1" s="1"/>
  <c r="I26" i="1"/>
  <c r="HZ8" i="4"/>
  <c r="IC14" i="4"/>
  <c r="IC15" i="4"/>
  <c r="IC20" i="4" s="1"/>
  <c r="AW79" i="1" s="1"/>
  <c r="AW108" i="1" s="1"/>
  <c r="IY7" i="4"/>
  <c r="IH14" i="4"/>
  <c r="IH19" i="4" s="1"/>
  <c r="BB78" i="1" s="1"/>
  <c r="BB107" i="1" s="1"/>
  <c r="IM15" i="4"/>
  <c r="IM20" i="4" s="1"/>
  <c r="BG79" i="1" s="1"/>
  <c r="BG108" i="1" s="1"/>
  <c r="IJ14" i="4"/>
  <c r="IJ19" i="4" s="1"/>
  <c r="BD78" i="1" s="1"/>
  <c r="BD107" i="1" s="1"/>
  <c r="JC8" i="4"/>
  <c r="B26" i="1"/>
  <c r="U26" i="1"/>
  <c r="IX7" i="4"/>
  <c r="HX14" i="4"/>
  <c r="HX19" i="4" s="1"/>
  <c r="AR78" i="1" s="1"/>
  <c r="AR107" i="1" s="1"/>
  <c r="JF14" i="4"/>
  <c r="HZ7" i="4"/>
  <c r="IK7" i="4"/>
  <c r="IW8" i="4"/>
  <c r="HU15" i="4"/>
  <c r="IG15" i="4"/>
  <c r="JF15" i="4"/>
  <c r="JF20" i="4" s="1"/>
  <c r="BZ79" i="1" s="1"/>
  <c r="IZ7" i="4"/>
  <c r="IZ19" i="4" s="1"/>
  <c r="BT78" i="1" s="1"/>
  <c r="BT107" i="1" s="1"/>
  <c r="JC15" i="4"/>
  <c r="JC20" i="4" s="1"/>
  <c r="BW79" i="1" s="1"/>
  <c r="BW108" i="1" s="1"/>
  <c r="JC7" i="4"/>
  <c r="Q252" i="1"/>
  <c r="IO15" i="4"/>
  <c r="IO20" i="4" s="1"/>
  <c r="BI79" i="1" s="1"/>
  <c r="BI108" i="1" s="1"/>
  <c r="IB15" i="4"/>
  <c r="IB20" i="4" s="1"/>
  <c r="AV79" i="1" s="1"/>
  <c r="AV108" i="1" s="1"/>
  <c r="IT7" i="4"/>
  <c r="F10" i="1"/>
  <c r="AM253" i="1"/>
  <c r="L252" i="1"/>
  <c r="IO21" i="4"/>
  <c r="BI77" i="1" s="1"/>
  <c r="D26" i="1"/>
  <c r="E26" i="1"/>
  <c r="IF7" i="4"/>
  <c r="IL15" i="4"/>
  <c r="IL20" i="4" s="1"/>
  <c r="BF79" i="1" s="1"/>
  <c r="BF108" i="1" s="1"/>
  <c r="IV7" i="4"/>
  <c r="IR8" i="4"/>
  <c r="HY8" i="4"/>
  <c r="JG15" i="4"/>
  <c r="JG20" i="4" s="1"/>
  <c r="CA79" i="1" s="1"/>
  <c r="IW7" i="4"/>
  <c r="HT15" i="4"/>
  <c r="IU8" i="4"/>
  <c r="JB14" i="4"/>
  <c r="IK8" i="4"/>
  <c r="AJ33" i="1"/>
  <c r="JB7" i="4"/>
  <c r="IM8" i="4"/>
  <c r="HQ14" i="4"/>
  <c r="HQ19" i="4" s="1"/>
  <c r="AK78" i="1" s="1"/>
  <c r="JI15" i="4"/>
  <c r="HZ14" i="4"/>
  <c r="JF7" i="4"/>
  <c r="IO14" i="4"/>
  <c r="IO19" i="4" s="1"/>
  <c r="BI78" i="1" s="1"/>
  <c r="BI107" i="1" s="1"/>
  <c r="HU7" i="4"/>
  <c r="HP7" i="4"/>
  <c r="IE15" i="4"/>
  <c r="IE20" i="4" s="1"/>
  <c r="AY79" i="1" s="1"/>
  <c r="AY108" i="1" s="1"/>
  <c r="HV8" i="4"/>
  <c r="IY15" i="4"/>
  <c r="IY20" i="4" s="1"/>
  <c r="BS79" i="1" s="1"/>
  <c r="BS108" i="1" s="1"/>
  <c r="HZ15" i="4"/>
  <c r="HZ20" i="4" s="1"/>
  <c r="AT79" i="1" s="1"/>
  <c r="AT108" i="1" s="1"/>
  <c r="HV7" i="4"/>
  <c r="JH14" i="4"/>
  <c r="JH19" i="4" s="1"/>
  <c r="CB78" i="1" s="1"/>
  <c r="IR14" i="4"/>
  <c r="IR19" i="4" s="1"/>
  <c r="BL78" i="1" s="1"/>
  <c r="HU14" i="4"/>
  <c r="HU19" i="4" s="1"/>
  <c r="AO78" i="1" s="1"/>
  <c r="AO107" i="1" s="1"/>
  <c r="JA8" i="4"/>
  <c r="JA15" i="4"/>
  <c r="HQ15" i="4"/>
  <c r="HX8" i="4"/>
  <c r="JD8" i="4"/>
  <c r="JD20" i="4" s="1"/>
  <c r="BX79" i="1" s="1"/>
  <c r="BX108" i="1" s="1"/>
  <c r="U98" i="1"/>
  <c r="BJ179" i="1"/>
  <c r="BK179" i="1" s="1"/>
  <c r="AJ37" i="1"/>
  <c r="IY8" i="4"/>
  <c r="JI14" i="4"/>
  <c r="IT14" i="4"/>
  <c r="IT19" i="4" s="1"/>
  <c r="BN78" i="1" s="1"/>
  <c r="BN107" i="1" s="1"/>
  <c r="IA14" i="4"/>
  <c r="IA19" i="4" s="1"/>
  <c r="AU78" i="1" s="1"/>
  <c r="AU107" i="1" s="1"/>
  <c r="HX15" i="4"/>
  <c r="HX20" i="4" s="1"/>
  <c r="AR79" i="1" s="1"/>
  <c r="AR108" i="1" s="1"/>
  <c r="HY15" i="4"/>
  <c r="HY20" i="4" s="1"/>
  <c r="AS79" i="1" s="1"/>
  <c r="AS108" i="1" s="1"/>
  <c r="JI7" i="4"/>
  <c r="JI19" i="4" s="1"/>
  <c r="CC78" i="1" s="1"/>
  <c r="HY14" i="4"/>
  <c r="IF14" i="4"/>
  <c r="BY128" i="1"/>
  <c r="BZ206" i="1" s="1"/>
  <c r="IB7" i="4"/>
  <c r="IB19" i="4" s="1"/>
  <c r="AV78" i="1" s="1"/>
  <c r="AV107" i="1" s="1"/>
  <c r="IX8" i="4"/>
  <c r="IS15" i="4"/>
  <c r="JH8" i="4"/>
  <c r="BX180" i="1"/>
  <c r="BY180" i="1" s="1"/>
  <c r="BX231" i="1"/>
  <c r="CA98" i="1"/>
  <c r="CA99" i="1" s="1"/>
  <c r="G253" i="1"/>
  <c r="BX179" i="1"/>
  <c r="BY179" i="1" s="1"/>
  <c r="C253" i="1"/>
  <c r="M10" i="1"/>
  <c r="ID7" i="4"/>
  <c r="IN7" i="4"/>
  <c r="G252" i="1"/>
  <c r="IQ15" i="4"/>
  <c r="IQ20" i="4" s="1"/>
  <c r="BK79" i="1" s="1"/>
  <c r="BK108" i="1" s="1"/>
  <c r="W188" i="1"/>
  <c r="I253" i="1"/>
  <c r="IJ8" i="4"/>
  <c r="BX10" i="1"/>
  <c r="BY12" i="1" s="1"/>
  <c r="W98" i="1"/>
  <c r="V11" i="1"/>
  <c r="BX128" i="1"/>
  <c r="V16" i="1"/>
  <c r="V17" i="1" s="1"/>
  <c r="AL253" i="1"/>
  <c r="AL180" i="1"/>
  <c r="AM180" i="1" s="1"/>
  <c r="O26" i="1"/>
  <c r="BX252" i="1"/>
  <c r="V188" i="1"/>
  <c r="AL179" i="1"/>
  <c r="AM179" i="1" s="1"/>
  <c r="K26" i="1"/>
  <c r="AK26" i="1"/>
  <c r="M26" i="1"/>
  <c r="BX148" i="1"/>
  <c r="BX182" i="1" s="1"/>
  <c r="BX253" i="1"/>
  <c r="AM98" i="1"/>
  <c r="AM99" i="1" s="1"/>
  <c r="H253" i="1"/>
  <c r="R253" i="1"/>
  <c r="BX156" i="1"/>
  <c r="BX185" i="1" s="1"/>
  <c r="K10" i="1"/>
  <c r="E10" i="1"/>
  <c r="E16" i="1" s="1"/>
  <c r="Q231" i="1"/>
  <c r="L194" i="1"/>
  <c r="CL107" i="1"/>
  <c r="CL108" i="1"/>
  <c r="CL99" i="1"/>
  <c r="K252" i="1"/>
  <c r="BX120" i="1"/>
  <c r="BX92" i="1" s="1"/>
  <c r="BX94" i="1" s="1"/>
  <c r="I252" i="1"/>
  <c r="I10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K149" i="1"/>
  <c r="AJ128" i="1"/>
  <c r="AJ202" i="1"/>
  <c r="AL128" i="1"/>
  <c r="AK128" i="1"/>
  <c r="AJ120" i="1"/>
  <c r="AL148" i="1"/>
  <c r="ID20" i="4"/>
  <c r="AX79" i="1" s="1"/>
  <c r="AX108" i="1" s="1"/>
  <c r="S98" i="1"/>
  <c r="II19" i="4"/>
  <c r="BC78" i="1" s="1"/>
  <c r="BC107" i="1" s="1"/>
  <c r="HT20" i="4"/>
  <c r="AN79" i="1" s="1"/>
  <c r="AN108" i="1" s="1"/>
  <c r="JB20" i="4"/>
  <c r="BV79" i="1" s="1"/>
  <c r="BV108" i="1" s="1"/>
  <c r="IS19" i="4"/>
  <c r="BM78" i="1" s="1"/>
  <c r="BM107" i="1" s="1"/>
  <c r="IE19" i="4"/>
  <c r="AY78" i="1" s="1"/>
  <c r="AY107" i="1" s="1"/>
  <c r="IN20" i="4"/>
  <c r="BH79" i="1" s="1"/>
  <c r="BH108" i="1" s="1"/>
  <c r="IY19" i="4"/>
  <c r="BS78" i="1" s="1"/>
  <c r="BS107" i="1" s="1"/>
  <c r="IQ19" i="4"/>
  <c r="BK78" i="1" s="1"/>
  <c r="BK107" i="1" s="1"/>
  <c r="IZ20" i="4"/>
  <c r="BT79" i="1" s="1"/>
  <c r="BT108" i="1" s="1"/>
  <c r="IM19" i="4"/>
  <c r="BG78" i="1" s="1"/>
  <c r="BG107" i="1" s="1"/>
  <c r="HW19" i="4"/>
  <c r="AQ78" i="1" s="1"/>
  <c r="AQ107" i="1" s="1"/>
  <c r="HS20" i="4"/>
  <c r="AM79" i="1" s="1"/>
  <c r="IK19" i="4"/>
  <c r="BE78" i="1" s="1"/>
  <c r="BE107" i="1" s="1"/>
  <c r="AL202" i="1"/>
  <c r="AK202" i="1"/>
  <c r="BY202" i="1"/>
  <c r="CL203" i="1"/>
  <c r="CL201" i="1" s="1"/>
  <c r="CM32" i="1"/>
  <c r="AB77" i="1"/>
  <c r="CQ77" i="1"/>
  <c r="AC140" i="1"/>
  <c r="CN65" i="1"/>
  <c r="CO63" i="1"/>
  <c r="P183" i="1" l="1"/>
  <c r="P10" i="1"/>
  <c r="BY120" i="1"/>
  <c r="HX21" i="4"/>
  <c r="AR77" i="1" s="1"/>
  <c r="L26" i="1"/>
  <c r="AL183" i="1"/>
  <c r="AM183" i="1" s="1"/>
  <c r="W26" i="1"/>
  <c r="HR19" i="4"/>
  <c r="AL78" i="1" s="1"/>
  <c r="H10" i="1"/>
  <c r="I188" i="1" s="1"/>
  <c r="JI20" i="4"/>
  <c r="CC79" i="1" s="1"/>
  <c r="IA20" i="4"/>
  <c r="AU79" i="1" s="1"/>
  <c r="AU108" i="1" s="1"/>
  <c r="Q26" i="1"/>
  <c r="HT21" i="4"/>
  <c r="AN77" i="1" s="1"/>
  <c r="Q10" i="1"/>
  <c r="Q188" i="1" s="1"/>
  <c r="W16" i="1"/>
  <c r="X18" i="1" s="1"/>
  <c r="F26" i="1"/>
  <c r="N10" i="1"/>
  <c r="AJ179" i="1"/>
  <c r="F253" i="1"/>
  <c r="D10" i="1"/>
  <c r="D27" i="1" s="1"/>
  <c r="L10" i="1"/>
  <c r="BX26" i="1"/>
  <c r="AL26" i="1"/>
  <c r="C26" i="1"/>
  <c r="B253" i="1"/>
  <c r="N26" i="1"/>
  <c r="AM26" i="1"/>
  <c r="P252" i="1"/>
  <c r="HZ21" i="4"/>
  <c r="AT77" i="1" s="1"/>
  <c r="BX183" i="1"/>
  <c r="J26" i="1"/>
  <c r="S26" i="1"/>
  <c r="H26" i="1"/>
  <c r="M253" i="1"/>
  <c r="F194" i="1"/>
  <c r="AJ183" i="1"/>
  <c r="P253" i="1"/>
  <c r="N253" i="1"/>
  <c r="J10" i="1"/>
  <c r="J98" i="1" s="1"/>
  <c r="B10" i="1"/>
  <c r="B16" i="1" s="1"/>
  <c r="B17" i="1" s="1"/>
  <c r="BX138" i="1"/>
  <c r="BY138" i="1"/>
  <c r="BZ203" i="1" s="1"/>
  <c r="BZ201" i="1" s="1"/>
  <c r="BZ33" i="1"/>
  <c r="Q253" i="1"/>
  <c r="B231" i="1"/>
  <c r="B252" i="1"/>
  <c r="K253" i="1"/>
  <c r="BY33" i="1"/>
  <c r="IF21" i="4"/>
  <c r="AZ77" i="1" s="1"/>
  <c r="HS16" i="4"/>
  <c r="O252" i="1"/>
  <c r="O231" i="1"/>
  <c r="IS21" i="4"/>
  <c r="BM77" i="1" s="1"/>
  <c r="HQ9" i="4"/>
  <c r="HQ21" i="4" s="1"/>
  <c r="AK77" i="1" s="1"/>
  <c r="IG9" i="4" s="1"/>
  <c r="HP9" i="4" s="1"/>
  <c r="IQ16" i="4" s="1"/>
  <c r="IQ21" i="4" s="1"/>
  <c r="BK77" i="1" s="1"/>
  <c r="JG16" i="4" s="1"/>
  <c r="JG21" i="4" s="1"/>
  <c r="CA77" i="1" s="1"/>
  <c r="T253" i="1"/>
  <c r="T194" i="1"/>
  <c r="W11" i="1"/>
  <c r="X11" i="1"/>
  <c r="X188" i="1"/>
  <c r="IX14" i="4" s="1"/>
  <c r="J252" i="1"/>
  <c r="J231" i="1"/>
  <c r="O253" i="1"/>
  <c r="O194" i="1"/>
  <c r="AM16" i="1"/>
  <c r="D252" i="1"/>
  <c r="V26" i="1"/>
  <c r="V27" i="1" s="1"/>
  <c r="BX186" i="1"/>
  <c r="CB189" i="1" s="1"/>
  <c r="N252" i="1"/>
  <c r="C10" i="1"/>
  <c r="O10" i="1"/>
  <c r="AL10" i="1"/>
  <c r="T10" i="1"/>
  <c r="T252" i="1"/>
  <c r="U253" i="1"/>
  <c r="V194" i="1"/>
  <c r="W27" i="1"/>
  <c r="R10" i="1"/>
  <c r="I11" i="1"/>
  <c r="AK10" i="1"/>
  <c r="D253" i="1"/>
  <c r="C252" i="1"/>
  <c r="P26" i="1"/>
  <c r="T26" i="1"/>
  <c r="IK20" i="4"/>
  <c r="BE79" i="1" s="1"/>
  <c r="BE108" i="1" s="1"/>
  <c r="BJ183" i="1"/>
  <c r="BK183" i="1" s="1"/>
  <c r="BJ180" i="1"/>
  <c r="BK180" i="1" s="1"/>
  <c r="R252" i="1"/>
  <c r="M252" i="1"/>
  <c r="AJ10" i="1"/>
  <c r="AJ16" i="1" s="1"/>
  <c r="AJ17" i="1" s="1"/>
  <c r="G10" i="1"/>
  <c r="U16" i="1"/>
  <c r="U17" i="1" s="1"/>
  <c r="BJ185" i="1"/>
  <c r="AL134" i="1"/>
  <c r="AM134" i="1" s="1"/>
  <c r="AM138" i="1" s="1"/>
  <c r="BJ128" i="1"/>
  <c r="AL156" i="1"/>
  <c r="AL185" i="1" s="1"/>
  <c r="AL184" i="1" s="1"/>
  <c r="AL120" i="1"/>
  <c r="AI196" i="1"/>
  <c r="AI198" i="1" s="1"/>
  <c r="AJ134" i="1"/>
  <c r="AK33" i="1" s="1"/>
  <c r="AJ148" i="1"/>
  <c r="AJ180" i="1"/>
  <c r="AK180" i="1" s="1"/>
  <c r="AJ156" i="1"/>
  <c r="BK143" i="1"/>
  <c r="BJ148" i="1"/>
  <c r="AM143" i="1"/>
  <c r="IG20" i="4"/>
  <c r="BA79" i="1" s="1"/>
  <c r="BA108" i="1" s="1"/>
  <c r="CB94" i="1"/>
  <c r="CB102" i="1"/>
  <c r="CB85" i="1"/>
  <c r="HP20" i="4"/>
  <c r="AJ79" i="1" s="1"/>
  <c r="IU20" i="4"/>
  <c r="BO79" i="1" s="1"/>
  <c r="BO108" i="1" s="1"/>
  <c r="IF19" i="4"/>
  <c r="AZ78" i="1" s="1"/>
  <c r="AZ107" i="1" s="1"/>
  <c r="HR20" i="4"/>
  <c r="AL79" i="1" s="1"/>
  <c r="S16" i="1"/>
  <c r="S17" i="1" s="1"/>
  <c r="JC19" i="4"/>
  <c r="BW78" i="1" s="1"/>
  <c r="BW107" i="1" s="1"/>
  <c r="IC19" i="4"/>
  <c r="AW78" i="1" s="1"/>
  <c r="AW107" i="1" s="1"/>
  <c r="IS20" i="4"/>
  <c r="BM79" i="1" s="1"/>
  <c r="BM108" i="1" s="1"/>
  <c r="HQ20" i="4"/>
  <c r="AK79" i="1" s="1"/>
  <c r="I16" i="1"/>
  <c r="I98" i="1"/>
  <c r="N98" i="1"/>
  <c r="N16" i="1"/>
  <c r="IV19" i="4"/>
  <c r="BP78" i="1" s="1"/>
  <c r="BP107" i="1" s="1"/>
  <c r="BZ249" i="1"/>
  <c r="BZ251" i="1" s="1"/>
  <c r="HU20" i="4"/>
  <c r="AO79" i="1" s="1"/>
  <c r="AO108" i="1" s="1"/>
  <c r="JA20" i="4"/>
  <c r="BU79" i="1" s="1"/>
  <c r="BU108" i="1" s="1"/>
  <c r="HY19" i="4"/>
  <c r="AS78" i="1" s="1"/>
  <c r="AS107" i="1" s="1"/>
  <c r="F98" i="1"/>
  <c r="F16" i="1"/>
  <c r="F17" i="1" s="1"/>
  <c r="M98" i="1"/>
  <c r="N188" i="1"/>
  <c r="BK202" i="1"/>
  <c r="BX27" i="1"/>
  <c r="B28" i="1"/>
  <c r="B29" i="1" s="1"/>
  <c r="ID19" i="4"/>
  <c r="AX78" i="1" s="1"/>
  <c r="AX107" i="1" s="1"/>
  <c r="H16" i="1"/>
  <c r="H17" i="1" s="1"/>
  <c r="CC188" i="1"/>
  <c r="BY129" i="1"/>
  <c r="JB19" i="4"/>
  <c r="BV78" i="1" s="1"/>
  <c r="BV107" i="1" s="1"/>
  <c r="HZ19" i="4"/>
  <c r="AT78" i="1" s="1"/>
  <c r="AT107" i="1" s="1"/>
  <c r="JF19" i="4"/>
  <c r="BZ78" i="1" s="1"/>
  <c r="BZ95" i="1" s="1"/>
  <c r="W28" i="1"/>
  <c r="X30" i="1" s="1"/>
  <c r="H98" i="1"/>
  <c r="W17" i="1"/>
  <c r="BX16" i="1"/>
  <c r="BY19" i="1" s="1"/>
  <c r="HV19" i="4"/>
  <c r="AP78" i="1" s="1"/>
  <c r="AP107" i="1" s="1"/>
  <c r="Q98" i="1"/>
  <c r="M11" i="1"/>
  <c r="Q11" i="1"/>
  <c r="Q16" i="1"/>
  <c r="Q17" i="1" s="1"/>
  <c r="BY207" i="1"/>
  <c r="BX95" i="1"/>
  <c r="D16" i="1"/>
  <c r="D17" i="1" s="1"/>
  <c r="F11" i="1"/>
  <c r="AM27" i="1"/>
  <c r="CB11" i="1"/>
  <c r="L98" i="1"/>
  <c r="M188" i="1"/>
  <c r="BX129" i="1"/>
  <c r="F188" i="1"/>
  <c r="BX248" i="1"/>
  <c r="BY249" i="1"/>
  <c r="N11" i="1"/>
  <c r="M16" i="1"/>
  <c r="M17" i="1" s="1"/>
  <c r="J16" i="1"/>
  <c r="J17" i="1" s="1"/>
  <c r="BY206" i="1"/>
  <c r="K98" i="1"/>
  <c r="BX157" i="1"/>
  <c r="BX165" i="1" s="1"/>
  <c r="BX181" i="1"/>
  <c r="J188" i="1"/>
  <c r="K188" i="1"/>
  <c r="E11" i="1"/>
  <c r="L11" i="1"/>
  <c r="K11" i="1"/>
  <c r="J11" i="1"/>
  <c r="B27" i="1"/>
  <c r="W18" i="1"/>
  <c r="K16" i="1"/>
  <c r="K17" i="1" s="1"/>
  <c r="E98" i="1"/>
  <c r="BX168" i="1"/>
  <c r="BX109" i="1" s="1"/>
  <c r="E188" i="1"/>
  <c r="BK249" i="1"/>
  <c r="AJ129" i="1"/>
  <c r="E27" i="1"/>
  <c r="CL102" i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BZ107" i="1"/>
  <c r="BZ110" i="1" s="1"/>
  <c r="AM108" i="1"/>
  <c r="AM104" i="1"/>
  <c r="I17" i="1"/>
  <c r="I18" i="1"/>
  <c r="BX246" i="1"/>
  <c r="BY203" i="1"/>
  <c r="BY201" i="1" s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N17" i="1"/>
  <c r="T18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O18" i="1"/>
  <c r="CC87" i="1"/>
  <c r="BX96" i="1"/>
  <c r="CA103" i="1"/>
  <c r="CA107" i="1"/>
  <c r="CA95" i="1"/>
  <c r="CB18" i="1"/>
  <c r="BX28" i="1"/>
  <c r="C18" i="1"/>
  <c r="G18" i="1"/>
  <c r="E28" i="1"/>
  <c r="E29" i="1" s="1"/>
  <c r="F18" i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P98" i="1" l="1"/>
  <c r="P16" i="1"/>
  <c r="P17" i="1" s="1"/>
  <c r="BZ207" i="1"/>
  <c r="BZ205" i="1" s="1"/>
  <c r="BY92" i="1"/>
  <c r="BY96" i="1" s="1"/>
  <c r="L188" i="1"/>
  <c r="L16" i="1"/>
  <c r="L17" i="1" s="1"/>
  <c r="BX184" i="1"/>
  <c r="BY183" i="1"/>
  <c r="HS21" i="4"/>
  <c r="AM77" i="1" s="1"/>
  <c r="AM102" i="1" s="1"/>
  <c r="IP15" i="4"/>
  <c r="CA94" i="1"/>
  <c r="CA102" i="1"/>
  <c r="IU7" i="4"/>
  <c r="IK9" i="4" s="1"/>
  <c r="HU16" i="4" s="1"/>
  <c r="HU21" i="4" s="1"/>
  <c r="AO77" i="1" s="1"/>
  <c r="IX19" i="4"/>
  <c r="BR78" i="1" s="1"/>
  <c r="BR107" i="1" s="1"/>
  <c r="IN8" i="4"/>
  <c r="IP16" i="4" s="1"/>
  <c r="IP21" i="4" s="1"/>
  <c r="BJ77" i="1" s="1"/>
  <c r="AM17" i="1"/>
  <c r="AM28" i="1"/>
  <c r="D188" i="1"/>
  <c r="C11" i="1"/>
  <c r="C16" i="1"/>
  <c r="C27" i="1"/>
  <c r="O188" i="1"/>
  <c r="P11" i="1"/>
  <c r="O11" i="1"/>
  <c r="O98" i="1"/>
  <c r="O16" i="1"/>
  <c r="AM12" i="1"/>
  <c r="AL27" i="1"/>
  <c r="AL16" i="1"/>
  <c r="T98" i="1"/>
  <c r="T11" i="1"/>
  <c r="T16" i="1"/>
  <c r="T188" i="1"/>
  <c r="S188" i="1"/>
  <c r="S11" i="1"/>
  <c r="R16" i="1"/>
  <c r="R98" i="1"/>
  <c r="AK16" i="1"/>
  <c r="AL12" i="1"/>
  <c r="AK27" i="1"/>
  <c r="G11" i="1"/>
  <c r="G188" i="1"/>
  <c r="G16" i="1"/>
  <c r="G98" i="1"/>
  <c r="P188" i="1"/>
  <c r="U11" i="1"/>
  <c r="U188" i="1"/>
  <c r="H11" i="1"/>
  <c r="R11" i="1"/>
  <c r="H188" i="1"/>
  <c r="R188" i="1"/>
  <c r="AK12" i="1"/>
  <c r="BJ184" i="1"/>
  <c r="AJ28" i="1"/>
  <c r="AJ29" i="1" s="1"/>
  <c r="V28" i="1"/>
  <c r="V34" i="1" s="1"/>
  <c r="V38" i="1" s="1"/>
  <c r="C188" i="1"/>
  <c r="AJ27" i="1"/>
  <c r="D11" i="1"/>
  <c r="AM225" i="1"/>
  <c r="V18" i="1"/>
  <c r="AM33" i="1"/>
  <c r="AL138" i="1"/>
  <c r="AK19" i="1"/>
  <c r="BX17" i="1"/>
  <c r="E18" i="1"/>
  <c r="D28" i="1"/>
  <c r="N18" i="1"/>
  <c r="B112" i="1"/>
  <c r="W232" i="1"/>
  <c r="W233" i="1" s="1"/>
  <c r="BX166" i="1"/>
  <c r="W112" i="1"/>
  <c r="W29" i="1"/>
  <c r="BZ89" i="1"/>
  <c r="W34" i="1"/>
  <c r="W38" i="1" s="1"/>
  <c r="W40" i="1" s="1"/>
  <c r="X250" i="1"/>
  <c r="M18" i="1"/>
  <c r="J18" i="1"/>
  <c r="Q18" i="1"/>
  <c r="R18" i="1"/>
  <c r="BY205" i="1"/>
  <c r="K18" i="1"/>
  <c r="BY37" i="1"/>
  <c r="L18" i="1"/>
  <c r="AJ165" i="1"/>
  <c r="AJ166" i="1" s="1"/>
  <c r="AJ198" i="1"/>
  <c r="AL165" i="1"/>
  <c r="AL166" i="1" s="1"/>
  <c r="BL33" i="1"/>
  <c r="BK138" i="1"/>
  <c r="BL203" i="1" s="1"/>
  <c r="BL201" i="1" s="1"/>
  <c r="BJ94" i="1"/>
  <c r="AM203" i="1"/>
  <c r="AM201" i="1" s="1"/>
  <c r="AL246" i="1"/>
  <c r="AK138" i="1"/>
  <c r="AL33" i="1"/>
  <c r="AL95" i="1"/>
  <c r="AL109" i="1"/>
  <c r="AL111" i="1" s="1"/>
  <c r="AM37" i="1"/>
  <c r="AJ203" i="1"/>
  <c r="AJ201" i="1" s="1"/>
  <c r="BJ186" i="1"/>
  <c r="BJ181" i="1"/>
  <c r="AL181" i="1"/>
  <c r="AL186" i="1"/>
  <c r="CE90" i="1"/>
  <c r="AM226" i="1"/>
  <c r="V41" i="1"/>
  <c r="V40" i="1"/>
  <c r="BX110" i="1"/>
  <c r="BX111" i="1"/>
  <c r="D29" i="1"/>
  <c r="D34" i="1"/>
  <c r="D38" i="1" s="1"/>
  <c r="D232" i="1"/>
  <c r="D233" i="1" s="1"/>
  <c r="E30" i="1"/>
  <c r="D112" i="1"/>
  <c r="C30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IP20" i="4" l="1"/>
  <c r="BJ79" i="1" s="1"/>
  <c r="IV8" i="4"/>
  <c r="HW15" i="4" s="1"/>
  <c r="AM29" i="1"/>
  <c r="AM250" i="1"/>
  <c r="AM251" i="1" s="1"/>
  <c r="AM34" i="1"/>
  <c r="AM38" i="1" s="1"/>
  <c r="AM232" i="1"/>
  <c r="AM233" i="1" s="1"/>
  <c r="C17" i="1"/>
  <c r="C28" i="1"/>
  <c r="P18" i="1"/>
  <c r="O17" i="1"/>
  <c r="AL28" i="1"/>
  <c r="AM19" i="1"/>
  <c r="AL17" i="1"/>
  <c r="U18" i="1"/>
  <c r="T17" i="1"/>
  <c r="R17" i="1"/>
  <c r="S18" i="1"/>
  <c r="AK17" i="1"/>
  <c r="AK28" i="1"/>
  <c r="AL19" i="1"/>
  <c r="H18" i="1"/>
  <c r="G17" i="1"/>
  <c r="D18" i="1"/>
  <c r="V29" i="1"/>
  <c r="AJ232" i="1"/>
  <c r="AJ233" i="1" s="1"/>
  <c r="AJ34" i="1"/>
  <c r="AJ38" i="1" s="1"/>
  <c r="V232" i="1"/>
  <c r="V233" i="1" s="1"/>
  <c r="W250" i="1"/>
  <c r="V112" i="1"/>
  <c r="W30" i="1"/>
  <c r="AM112" i="1"/>
  <c r="AK31" i="1"/>
  <c r="W41" i="1"/>
  <c r="X43" i="1" s="1"/>
  <c r="AL110" i="1"/>
  <c r="AK203" i="1"/>
  <c r="AK201" i="1" s="1"/>
  <c r="AL203" i="1"/>
  <c r="AL201" i="1" s="1"/>
  <c r="V42" i="1"/>
  <c r="V245" i="1" s="1"/>
  <c r="V48" i="1"/>
  <c r="BX38" i="1"/>
  <c r="CA55" i="1"/>
  <c r="D41" i="1"/>
  <c r="D40" i="1"/>
  <c r="W43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J96" i="1" l="1"/>
  <c r="BJ108" i="1"/>
  <c r="BJ111" i="1" s="1"/>
  <c r="HW20" i="4"/>
  <c r="AQ79" i="1" s="1"/>
  <c r="AQ108" i="1" s="1"/>
  <c r="HY16" i="4"/>
  <c r="AM41" i="1"/>
  <c r="AM42" i="1" s="1"/>
  <c r="AM245" i="1" s="1"/>
  <c r="AM40" i="1"/>
  <c r="C250" i="1"/>
  <c r="D250" i="1"/>
  <c r="D30" i="1"/>
  <c r="C29" i="1"/>
  <c r="AL250" i="1"/>
  <c r="AL251" i="1" s="1"/>
  <c r="AL29" i="1"/>
  <c r="AL34" i="1"/>
  <c r="AL38" i="1" s="1"/>
  <c r="AM31" i="1"/>
  <c r="AL232" i="1"/>
  <c r="AL233" i="1" s="1"/>
  <c r="AK34" i="1"/>
  <c r="AK38" i="1" s="1"/>
  <c r="AK29" i="1"/>
  <c r="AL31" i="1"/>
  <c r="AK232" i="1"/>
  <c r="AK233" i="1" s="1"/>
  <c r="AJ41" i="1"/>
  <c r="AJ40" i="1"/>
  <c r="W42" i="1"/>
  <c r="W245" i="1" s="1"/>
  <c r="W234" i="1"/>
  <c r="W48" i="1"/>
  <c r="W52" i="1" s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HY21" i="4" l="1"/>
  <c r="AS77" i="1" s="1"/>
  <c r="IH9" i="4"/>
  <c r="IH21" i="4" s="1"/>
  <c r="BB77" i="1" s="1"/>
  <c r="IQ9" i="4" s="1"/>
  <c r="IV15" i="4" s="1"/>
  <c r="AL40" i="1"/>
  <c r="AL41" i="1"/>
  <c r="AK40" i="1"/>
  <c r="AK41" i="1"/>
  <c r="AJ234" i="1"/>
  <c r="AJ48" i="1"/>
  <c r="AJ42" i="1"/>
  <c r="AK44" i="1"/>
  <c r="AM227" i="1"/>
  <c r="AM234" i="1"/>
  <c r="T250" i="1"/>
  <c r="P250" i="1"/>
  <c r="D193" i="1"/>
  <c r="D195" i="1" s="1"/>
  <c r="D52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IV20" i="4" l="1"/>
  <c r="BP79" i="1" s="1"/>
  <c r="BP108" i="1" s="1"/>
  <c r="IW16" i="4"/>
  <c r="IW21" i="4" s="1"/>
  <c r="BQ77" i="1" s="1"/>
  <c r="JB8" i="4" s="1"/>
  <c r="IW9" i="4" s="1"/>
  <c r="IC9" i="4" s="1"/>
  <c r="IX15" i="4" s="1"/>
  <c r="AL42" i="1"/>
  <c r="AL245" i="1" s="1"/>
  <c r="AL48" i="1"/>
  <c r="AM44" i="1"/>
  <c r="AL234" i="1"/>
  <c r="AK48" i="1"/>
  <c r="AK234" i="1"/>
  <c r="AL44" i="1"/>
  <c r="AK42" i="1"/>
  <c r="AJ207" i="1"/>
  <c r="AJ205" i="1" s="1"/>
  <c r="AJ66" i="1"/>
  <c r="AJ52" i="1"/>
  <c r="AJ193" i="1"/>
  <c r="AJ195" i="1" s="1"/>
  <c r="AJ199" i="1" s="1"/>
  <c r="AJ213" i="1" s="1"/>
  <c r="CA54" i="1"/>
  <c r="BX66" i="1"/>
  <c r="CA69" i="1" s="1"/>
  <c r="BX193" i="1"/>
  <c r="BX195" i="1" s="1"/>
  <c r="BX52" i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IX20" i="4" l="1"/>
  <c r="BR79" i="1" s="1"/>
  <c r="BR108" i="1" s="1"/>
  <c r="IE7" i="4"/>
  <c r="JF16" i="4" s="1"/>
  <c r="AL52" i="1"/>
  <c r="AL66" i="1"/>
  <c r="AL193" i="1"/>
  <c r="AL195" i="1" s="1"/>
  <c r="AK52" i="1"/>
  <c r="AK66" i="1"/>
  <c r="AK193" i="1"/>
  <c r="AK195" i="1" s="1"/>
  <c r="AK119" i="1"/>
  <c r="AK120" i="1" s="1"/>
  <c r="AJ210" i="1"/>
  <c r="AJ211" i="1" s="1"/>
  <c r="AL207" i="1"/>
  <c r="AL205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JF21" i="4" l="1"/>
  <c r="BZ77" i="1" s="1"/>
  <c r="BZ94" i="1" s="1"/>
  <c r="HQ8" i="4"/>
  <c r="IU16" i="4" s="1"/>
  <c r="IU21" i="4" s="1"/>
  <c r="BO77" i="1" s="1"/>
  <c r="IL8" i="4" s="1"/>
  <c r="HS9" i="4" s="1"/>
  <c r="JA16" i="4" s="1"/>
  <c r="JA21" i="4" s="1"/>
  <c r="BU77" i="1" s="1"/>
  <c r="II15" i="4" s="1"/>
  <c r="AK207" i="1"/>
  <c r="AK205" i="1" s="1"/>
  <c r="AK129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II20" i="4" l="1"/>
  <c r="BC79" i="1" s="1"/>
  <c r="BC108" i="1" s="1"/>
  <c r="HZ9" i="4"/>
  <c r="HV9" i="4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9" i="2"/>
  <c r="R70" i="2"/>
  <c r="P95" i="2"/>
  <c r="F105" i="2"/>
  <c r="P60" i="2"/>
  <c r="J60" i="2"/>
  <c r="U59" i="2"/>
  <c r="X45" i="2"/>
  <c r="W95" i="2"/>
  <c r="G92" i="2"/>
  <c r="G76" i="2"/>
  <c r="N86" i="2"/>
  <c r="K98" i="2"/>
  <c r="I66" i="2"/>
  <c r="S62" i="2"/>
  <c r="X61" i="2"/>
  <c r="N42" i="2"/>
  <c r="M78" i="2"/>
  <c r="M53" i="2"/>
  <c r="H99" i="2"/>
  <c r="H93" i="2"/>
  <c r="T61" i="2"/>
  <c r="Q112" i="2"/>
  <c r="J89" i="2"/>
  <c r="K107" i="2"/>
  <c r="AB89" i="3"/>
  <c r="O70" i="2"/>
  <c r="N69" i="2"/>
  <c r="W66" i="2"/>
  <c r="G114" i="2"/>
  <c r="F84" i="2"/>
  <c r="L60" i="2"/>
  <c r="R109" i="2"/>
  <c r="L90" i="2"/>
  <c r="U51" i="2"/>
  <c r="R48" i="2"/>
  <c r="O81" i="2"/>
  <c r="V83" i="2"/>
  <c r="D44" i="2"/>
  <c r="I94" i="2"/>
  <c r="I80" i="2"/>
  <c r="F56" i="2"/>
  <c r="D94" i="2"/>
  <c r="Q109" i="2"/>
  <c r="P110" i="2"/>
  <c r="O41" i="2"/>
  <c r="O58" i="2"/>
  <c r="D82" i="2"/>
  <c r="X48" i="2"/>
  <c r="M61" i="2"/>
  <c r="G94" i="2"/>
  <c r="O52" i="2"/>
  <c r="N87" i="2"/>
  <c r="V71" i="2"/>
  <c r="P86" i="2"/>
  <c r="D62" i="2"/>
  <c r="P66" i="2"/>
  <c r="L83" i="2"/>
  <c r="S100" i="2"/>
  <c r="S79" i="2"/>
  <c r="O59" i="2"/>
  <c r="L112" i="2"/>
  <c r="F49" i="2"/>
  <c r="N63" i="2"/>
  <c r="O100" i="2"/>
  <c r="U70" i="2"/>
  <c r="H52" i="2"/>
  <c r="S68" i="2"/>
  <c r="K87" i="2"/>
  <c r="S86" i="2"/>
  <c r="H66" i="2"/>
  <c r="K45" i="2"/>
  <c r="M114" i="2"/>
  <c r="L111" i="2"/>
  <c r="I54" i="2"/>
  <c r="N52" i="2"/>
  <c r="T65" i="2"/>
  <c r="D71" i="2"/>
  <c r="T68" i="2"/>
  <c r="T100" i="2"/>
  <c r="G49" i="2"/>
  <c r="R92" i="2"/>
  <c r="E93" i="2"/>
  <c r="H112" i="2"/>
  <c r="S72" i="2"/>
  <c r="E51" i="2"/>
  <c r="I46" i="2"/>
  <c r="G66" i="2"/>
  <c r="X60" i="2"/>
  <c r="R87" i="2"/>
  <c r="L66" i="2"/>
  <c r="K91" i="2"/>
  <c r="R57" i="2"/>
  <c r="V81" i="2"/>
  <c r="I62" i="2"/>
  <c r="L46" i="2"/>
  <c r="E52" i="2"/>
  <c r="E55" i="2"/>
  <c r="E96" i="2"/>
  <c r="I50" i="2"/>
  <c r="U85" i="2"/>
  <c r="M54" i="2"/>
  <c r="T43" i="2"/>
  <c r="T91" i="2"/>
  <c r="T41" i="2"/>
  <c r="L45" i="2"/>
  <c r="T69" i="2"/>
  <c r="S94" i="2"/>
  <c r="L61" i="2"/>
  <c r="I109" i="2"/>
  <c r="T89" i="2"/>
  <c r="O42" i="2"/>
  <c r="H113" i="2"/>
  <c r="J81" i="2"/>
  <c r="P88" i="2"/>
  <c r="H42" i="2"/>
  <c r="E100" i="2"/>
  <c r="M95" i="2"/>
  <c r="Q80" i="2"/>
  <c r="T109" i="2"/>
  <c r="I67" i="2"/>
  <c r="X56" i="2"/>
  <c r="N50" i="2"/>
  <c r="P53" i="2"/>
  <c r="X110" i="2"/>
  <c r="AB47" i="3"/>
  <c r="AJ38" i="3"/>
  <c r="S36" i="3"/>
  <c r="P25" i="3"/>
  <c r="AG7" i="3"/>
  <c r="V34" i="3"/>
  <c r="K42" i="3"/>
  <c r="AQ21" i="3"/>
  <c r="AI42" i="3"/>
  <c r="AI20" i="3"/>
  <c r="AM17" i="3"/>
  <c r="W17" i="3"/>
  <c r="K34" i="3"/>
  <c r="AG11" i="3"/>
  <c r="AL42" i="3"/>
  <c r="F43" i="2"/>
  <c r="J41" i="2"/>
  <c r="G57" i="2"/>
  <c r="D57" i="2"/>
  <c r="V46" i="2"/>
  <c r="AP93" i="3"/>
  <c r="AN8" i="3"/>
  <c r="AC39" i="3"/>
  <c r="T33" i="3"/>
  <c r="Y25" i="3"/>
  <c r="T30" i="3"/>
  <c r="AC6" i="3"/>
  <c r="C9" i="3"/>
  <c r="AO41" i="3"/>
  <c r="U26" i="3"/>
  <c r="AC28" i="3"/>
  <c r="I27" i="3"/>
  <c r="AL24" i="3"/>
  <c r="V14" i="3"/>
  <c r="P38" i="3"/>
  <c r="N25" i="3"/>
  <c r="AD23" i="3"/>
  <c r="AM32" i="3"/>
  <c r="L18" i="3"/>
  <c r="J83" i="2"/>
  <c r="U96" i="2"/>
  <c r="C91" i="2"/>
  <c r="U111" i="2"/>
  <c r="W53" i="2"/>
  <c r="C48" i="3"/>
  <c r="H17" i="3"/>
  <c r="I23" i="3"/>
  <c r="S35" i="3"/>
  <c r="Z12" i="3"/>
  <c r="Q29" i="3"/>
  <c r="AO34" i="3"/>
  <c r="T10" i="3"/>
  <c r="AD48" i="3"/>
  <c r="AB27" i="3"/>
  <c r="AD36" i="3"/>
  <c r="T9" i="3"/>
  <c r="AM19" i="3"/>
  <c r="AM15" i="3"/>
  <c r="V40" i="3"/>
  <c r="T5" i="3"/>
  <c r="AC20" i="3"/>
  <c r="AJ15" i="3"/>
  <c r="C68" i="2"/>
  <c r="K54" i="2"/>
  <c r="J70" i="2"/>
  <c r="Q61" i="2"/>
  <c r="G79" i="2"/>
  <c r="L98" i="2"/>
  <c r="AP72" i="3"/>
  <c r="AQ29" i="3"/>
  <c r="N40" i="3"/>
  <c r="Y34" i="3"/>
  <c r="AE11" i="3"/>
  <c r="AL10" i="3"/>
  <c r="AI23" i="3"/>
  <c r="D50" i="3"/>
  <c r="C39" i="3"/>
  <c r="AO28" i="3"/>
  <c r="W23" i="3"/>
  <c r="X8" i="3"/>
  <c r="Z16" i="3"/>
  <c r="Q32" i="3"/>
  <c r="H33" i="3"/>
  <c r="AD25" i="3"/>
  <c r="Y14" i="3"/>
  <c r="C13" i="3"/>
  <c r="AE26" i="3"/>
  <c r="K20" i="3"/>
  <c r="AP65" i="3"/>
  <c r="O75" i="2"/>
  <c r="U64" i="2"/>
  <c r="M96" i="2"/>
  <c r="W46" i="2"/>
  <c r="U71" i="2"/>
  <c r="F98" i="2"/>
  <c r="AP54" i="3"/>
  <c r="T24" i="3"/>
  <c r="I9" i="3"/>
  <c r="AN12" i="3"/>
  <c r="O41" i="3"/>
  <c r="L30" i="3"/>
  <c r="AH40" i="3"/>
  <c r="V7" i="3"/>
  <c r="AL38" i="3"/>
  <c r="O17" i="3"/>
  <c r="T28" i="3"/>
  <c r="T98" i="2"/>
  <c r="E56" i="2"/>
  <c r="O56" i="2"/>
  <c r="H107" i="2"/>
  <c r="D95" i="2"/>
  <c r="I105" i="2"/>
  <c r="E112" i="2"/>
  <c r="F80" i="2"/>
  <c r="V60" i="2"/>
  <c r="N68" i="2"/>
  <c r="S99" i="2"/>
  <c r="AP89" i="3"/>
  <c r="R24" i="3"/>
  <c r="L11" i="3"/>
  <c r="AE39" i="3"/>
  <c r="AA42" i="3"/>
  <c r="T22" i="3"/>
  <c r="V38" i="3"/>
  <c r="I78" i="2"/>
  <c r="O60" i="2"/>
  <c r="D105" i="2"/>
  <c r="O68" i="2"/>
  <c r="Q52" i="2"/>
  <c r="AB58" i="3"/>
  <c r="W5" i="3"/>
  <c r="L25" i="3"/>
  <c r="N34" i="3"/>
  <c r="AM40" i="3"/>
  <c r="AK24" i="3"/>
  <c r="AI34" i="3"/>
  <c r="AC17" i="3"/>
  <c r="I18" i="3"/>
  <c r="AD40" i="3"/>
  <c r="AO12" i="3"/>
  <c r="Z18" i="3"/>
  <c r="Y42" i="3"/>
  <c r="N82" i="2"/>
  <c r="O111" i="2"/>
  <c r="E75" i="2"/>
  <c r="U44" i="2"/>
  <c r="F63" i="2"/>
  <c r="AB73" i="3"/>
  <c r="P32" i="3"/>
  <c r="I28" i="3"/>
  <c r="AL30" i="3"/>
  <c r="AC29" i="3"/>
  <c r="H21" i="3"/>
  <c r="AC7" i="3"/>
  <c r="AB42" i="3"/>
  <c r="S24" i="3"/>
  <c r="AQ30" i="3"/>
  <c r="U67" i="2"/>
  <c r="O107" i="2"/>
  <c r="J43" i="2"/>
  <c r="H43" i="2"/>
  <c r="X98" i="2"/>
  <c r="L68" i="2"/>
  <c r="AB77" i="3"/>
  <c r="L19" i="3"/>
  <c r="V24" i="3"/>
  <c r="W40" i="3"/>
  <c r="AC27" i="3"/>
  <c r="H36" i="3"/>
  <c r="M33" i="3"/>
  <c r="H32" i="3"/>
  <c r="T12" i="3"/>
  <c r="M12" i="3"/>
  <c r="Q15" i="3"/>
  <c r="AM31" i="3"/>
  <c r="T18" i="3"/>
  <c r="G47" i="3"/>
  <c r="K8" i="3"/>
  <c r="L49" i="2"/>
  <c r="S46" i="2"/>
  <c r="V82" i="2"/>
  <c r="R46" i="2"/>
  <c r="I59" i="2"/>
  <c r="AB61" i="3"/>
  <c r="T23" i="3"/>
  <c r="W22" i="3"/>
  <c r="V31" i="3"/>
  <c r="M23" i="3"/>
  <c r="AO14" i="3"/>
  <c r="AC8" i="3"/>
  <c r="AO25" i="3"/>
  <c r="AK7" i="3"/>
  <c r="U23" i="3"/>
  <c r="AB36" i="3"/>
  <c r="U18" i="3"/>
  <c r="AD42" i="3"/>
  <c r="AH30" i="3"/>
  <c r="AA38" i="3"/>
  <c r="AP21" i="3"/>
  <c r="X11" i="3"/>
  <c r="S13" i="3"/>
  <c r="T26" i="3"/>
  <c r="H38" i="3"/>
  <c r="G38" i="3"/>
  <c r="H20" i="3"/>
  <c r="AO17" i="3"/>
  <c r="R8" i="3"/>
  <c r="V20" i="3"/>
  <c r="S6" i="3"/>
  <c r="AD37" i="3"/>
  <c r="Y18" i="3"/>
  <c r="AB7" i="3"/>
  <c r="AN36" i="3"/>
  <c r="V23" i="3"/>
  <c r="V18" i="3"/>
  <c r="AQ38" i="3"/>
  <c r="U39" i="3"/>
  <c r="M24" i="3"/>
  <c r="AH9" i="3"/>
  <c r="L41" i="3"/>
  <c r="C18" i="3"/>
  <c r="Q16" i="3"/>
  <c r="AL17" i="3"/>
  <c r="AJ37" i="3"/>
  <c r="AJ29" i="3"/>
  <c r="V19" i="3"/>
  <c r="P29" i="3"/>
  <c r="AM22" i="3"/>
  <c r="AL40" i="3"/>
  <c r="AP35" i="3"/>
  <c r="AG24" i="3"/>
  <c r="AO30" i="3"/>
  <c r="T42" i="3"/>
  <c r="AK32" i="3"/>
  <c r="C41" i="3"/>
  <c r="U42" i="3"/>
  <c r="K14" i="3"/>
  <c r="N33" i="3"/>
  <c r="Z41" i="3"/>
  <c r="I30" i="3"/>
  <c r="U73" i="2"/>
  <c r="C87" i="2"/>
  <c r="L8" i="3"/>
  <c r="AL6" i="3"/>
  <c r="T40" i="3"/>
  <c r="X6" i="3"/>
  <c r="P12" i="3"/>
  <c r="AM18" i="3"/>
  <c r="F99" i="2"/>
  <c r="AK30" i="3"/>
  <c r="AH19" i="3"/>
  <c r="AH27" i="3"/>
  <c r="S28" i="3"/>
  <c r="AG13" i="3"/>
  <c r="H106" i="2"/>
  <c r="N81" i="2"/>
  <c r="V58" i="2"/>
  <c r="S88" i="2"/>
  <c r="Q85" i="2"/>
  <c r="Q105" i="2"/>
  <c r="Q72" i="2"/>
  <c r="F75" i="2"/>
  <c r="V49" i="2"/>
  <c r="V85" i="2"/>
  <c r="J87" i="2"/>
  <c r="S43" i="2"/>
  <c r="C96" i="2"/>
  <c r="U53" i="2"/>
  <c r="G109" i="2"/>
  <c r="X58" i="2"/>
  <c r="L77" i="2"/>
  <c r="W59" i="2"/>
  <c r="N110" i="2"/>
  <c r="C111" i="2"/>
  <c r="S59" i="2"/>
  <c r="G44" i="2"/>
  <c r="X107" i="2"/>
  <c r="D66" i="2"/>
  <c r="S74" i="2"/>
  <c r="V114" i="2"/>
  <c r="F108" i="2"/>
  <c r="M76" i="2"/>
  <c r="E54" i="2"/>
  <c r="K94" i="2"/>
  <c r="V44" i="2"/>
  <c r="Q96" i="2"/>
  <c r="E110" i="2"/>
  <c r="H65" i="2"/>
  <c r="R111" i="2"/>
  <c r="V106" i="2"/>
  <c r="C107" i="2"/>
  <c r="J45" i="2"/>
  <c r="R72" i="2"/>
  <c r="F51" i="2"/>
  <c r="K63" i="2"/>
  <c r="N106" i="2"/>
  <c r="R65" i="2"/>
  <c r="E107" i="2"/>
  <c r="E53" i="2"/>
  <c r="F42" i="2"/>
  <c r="W84" i="2"/>
  <c r="M90" i="2"/>
  <c r="W49" i="2"/>
  <c r="N89" i="2"/>
  <c r="J66" i="2"/>
  <c r="L63" i="2"/>
  <c r="W109" i="2"/>
  <c r="C55" i="2"/>
  <c r="H109" i="2"/>
  <c r="T75" i="2"/>
  <c r="AP58" i="3"/>
  <c r="T17" i="3"/>
  <c r="M15" i="3"/>
  <c r="S17" i="3"/>
  <c r="M27" i="3"/>
  <c r="Y5" i="3"/>
  <c r="K32" i="3"/>
  <c r="C11" i="3"/>
  <c r="C48" i="2"/>
  <c r="R74" i="2"/>
  <c r="W97" i="2"/>
  <c r="U21" i="3"/>
  <c r="H28" i="3"/>
  <c r="X14" i="3"/>
  <c r="M32" i="3"/>
  <c r="Y28" i="3"/>
  <c r="AI32" i="3"/>
  <c r="Z26" i="3"/>
  <c r="AI25" i="3"/>
  <c r="AL23" i="3"/>
  <c r="AH12" i="3"/>
  <c r="K55" i="2"/>
  <c r="X77" i="2"/>
  <c r="X88" i="2"/>
  <c r="H89" i="2"/>
  <c r="AP61" i="3"/>
  <c r="P39" i="3"/>
  <c r="X28" i="3"/>
  <c r="V9" i="3"/>
  <c r="R26" i="3"/>
  <c r="AJ32" i="3"/>
  <c r="AD30" i="3"/>
  <c r="AE35" i="3"/>
  <c r="AK26" i="3"/>
  <c r="Q25" i="3"/>
  <c r="M34" i="3"/>
  <c r="U54" i="2"/>
  <c r="H78" i="2"/>
  <c r="AN31" i="3"/>
  <c r="M36" i="3"/>
  <c r="Z24" i="3"/>
  <c r="AO31" i="3"/>
  <c r="W27" i="3"/>
  <c r="AJ12" i="3"/>
  <c r="AK35" i="3"/>
  <c r="AQ34" i="3"/>
  <c r="X42" i="3"/>
  <c r="AE36" i="3"/>
  <c r="AQ35" i="3"/>
  <c r="AM6" i="3"/>
  <c r="AP77" i="3"/>
  <c r="X43" i="2"/>
  <c r="F86" i="2"/>
  <c r="V96" i="2"/>
  <c r="Y17" i="3"/>
  <c r="AE21" i="3"/>
  <c r="AG28" i="3"/>
  <c r="AP28" i="3"/>
  <c r="P17" i="3"/>
  <c r="H11" i="3"/>
  <c r="R49" i="2"/>
  <c r="Q62" i="2"/>
  <c r="J96" i="2"/>
  <c r="F45" i="2"/>
  <c r="J52" i="2"/>
  <c r="AP56" i="3"/>
  <c r="AO15" i="3"/>
  <c r="W18" i="3"/>
  <c r="AM14" i="3"/>
  <c r="AC13" i="3"/>
  <c r="I25" i="3"/>
  <c r="U45" i="2"/>
  <c r="R88" i="2"/>
  <c r="V57" i="2"/>
  <c r="F46" i="2"/>
  <c r="X82" i="2"/>
  <c r="AN33" i="3"/>
  <c r="AB20" i="3"/>
  <c r="AD38" i="3"/>
  <c r="C33" i="3"/>
  <c r="AN29" i="3"/>
  <c r="L17" i="3"/>
  <c r="H61" i="2"/>
  <c r="O61" i="2"/>
  <c r="P111" i="2"/>
  <c r="AP55" i="3"/>
  <c r="AH16" i="3"/>
  <c r="AP34" i="3"/>
  <c r="Q23" i="3"/>
  <c r="S27" i="3"/>
  <c r="I10" i="3"/>
  <c r="N98" i="2"/>
  <c r="J59" i="2"/>
  <c r="S60" i="2"/>
  <c r="J82" i="2"/>
  <c r="AJ31" i="3"/>
  <c r="AN7" i="3"/>
  <c r="AJ13" i="3"/>
  <c r="V56" i="2"/>
  <c r="F113" i="2"/>
  <c r="E41" i="2"/>
  <c r="S55" i="2"/>
  <c r="M35" i="3"/>
  <c r="AI24" i="3"/>
  <c r="Y13" i="3"/>
  <c r="J18" i="3"/>
  <c r="O7" i="3"/>
  <c r="P11" i="3"/>
  <c r="P26" i="3"/>
  <c r="I5" i="3"/>
  <c r="L24" i="3"/>
  <c r="AP33" i="3"/>
  <c r="J34" i="3"/>
  <c r="AE37" i="3"/>
  <c r="AL25" i="3"/>
  <c r="L35" i="3"/>
  <c r="L52" i="2"/>
  <c r="N38" i="3"/>
  <c r="U29" i="3"/>
  <c r="S10" i="3"/>
  <c r="T58" i="2"/>
  <c r="P36" i="3"/>
  <c r="C36" i="3"/>
  <c r="G50" i="2"/>
  <c r="L26" i="3"/>
  <c r="U10" i="3"/>
  <c r="J39" i="3"/>
  <c r="AA26" i="3"/>
  <c r="K5" i="3"/>
  <c r="O73" i="2"/>
  <c r="Q111" i="2"/>
  <c r="U77" i="2"/>
  <c r="R43" i="2"/>
  <c r="S82" i="2"/>
  <c r="F77" i="2"/>
  <c r="Q93" i="2"/>
  <c r="I113" i="2"/>
  <c r="C76" i="2"/>
  <c r="X75" i="2"/>
  <c r="Q114" i="2"/>
  <c r="H76" i="2"/>
  <c r="I61" i="2"/>
  <c r="T73" i="2"/>
  <c r="V52" i="2"/>
  <c r="E95" i="2"/>
  <c r="W86" i="2"/>
  <c r="L74" i="2"/>
  <c r="V84" i="2"/>
  <c r="O108" i="2"/>
  <c r="G98" i="2"/>
  <c r="V93" i="2"/>
  <c r="S106" i="2"/>
  <c r="F87" i="2"/>
  <c r="J85" i="2"/>
  <c r="D56" i="2"/>
  <c r="F65" i="2"/>
  <c r="I90" i="2"/>
  <c r="U80" i="2"/>
  <c r="X50" i="2"/>
  <c r="P68" i="2"/>
  <c r="K81" i="2"/>
  <c r="N77" i="2"/>
  <c r="K110" i="2"/>
  <c r="C83" i="2"/>
  <c r="D60" i="2"/>
  <c r="T45" i="2"/>
  <c r="D106" i="2"/>
  <c r="R91" i="2"/>
  <c r="G74" i="2"/>
  <c r="K46" i="2"/>
  <c r="P99" i="2"/>
  <c r="S108" i="2"/>
  <c r="E92" i="2"/>
  <c r="P85" i="2"/>
  <c r="P47" i="2"/>
  <c r="F58" i="2"/>
  <c r="E80" i="2"/>
  <c r="Q94" i="2"/>
  <c r="G51" i="2"/>
  <c r="M63" i="2"/>
  <c r="O69" i="2"/>
  <c r="O99" i="2"/>
  <c r="W41" i="2"/>
  <c r="N67" i="2"/>
  <c r="U58" i="2"/>
  <c r="I84" i="2"/>
  <c r="C72" i="2"/>
  <c r="H96" i="2"/>
  <c r="F69" i="2"/>
  <c r="H80" i="2"/>
  <c r="U91" i="2"/>
  <c r="T79" i="2"/>
  <c r="I43" i="2"/>
  <c r="G81" i="2"/>
  <c r="T64" i="2"/>
  <c r="AB54" i="3"/>
  <c r="J27" i="3"/>
  <c r="Y24" i="3"/>
  <c r="N42" i="3"/>
  <c r="Z5" i="3"/>
  <c r="K97" i="2"/>
  <c r="M109" i="2"/>
  <c r="S21" i="3"/>
  <c r="AH5" i="3"/>
  <c r="V36" i="3"/>
  <c r="J14" i="3"/>
  <c r="AQ8" i="3"/>
  <c r="R75" i="2"/>
  <c r="P59" i="2"/>
  <c r="I74" i="2"/>
  <c r="AO33" i="3"/>
  <c r="AQ19" i="3"/>
  <c r="AN24" i="3"/>
  <c r="Y36" i="3"/>
  <c r="C20" i="3"/>
  <c r="AQ5" i="3"/>
  <c r="U38" i="3"/>
  <c r="Z17" i="3"/>
  <c r="AM42" i="3"/>
  <c r="T67" i="2"/>
  <c r="AP66" i="3"/>
  <c r="AE25" i="3"/>
  <c r="L16" i="3"/>
  <c r="N29" i="3"/>
  <c r="W42" i="3"/>
  <c r="Y8" i="3"/>
  <c r="T15" i="3"/>
  <c r="N93" i="2"/>
  <c r="T66" i="2"/>
  <c r="U107" i="2"/>
  <c r="R41" i="2"/>
  <c r="AP70" i="3"/>
  <c r="AH33" i="3"/>
  <c r="AG17" i="3"/>
  <c r="AJ16" i="3"/>
  <c r="AI5" i="3"/>
  <c r="X38" i="3"/>
  <c r="K24" i="3"/>
  <c r="P13" i="3"/>
  <c r="J74" i="2"/>
  <c r="G75" i="2"/>
  <c r="U82" i="2"/>
  <c r="O105" i="2"/>
  <c r="Z8" i="3"/>
  <c r="M31" i="3"/>
  <c r="P63" i="2"/>
  <c r="E94" i="2"/>
  <c r="J78" i="2"/>
  <c r="AP79" i="3"/>
  <c r="AE9" i="3"/>
  <c r="AH42" i="3"/>
  <c r="S34" i="3"/>
  <c r="AE19" i="3"/>
  <c r="AI31" i="3"/>
  <c r="I40" i="3"/>
  <c r="K6" i="3"/>
  <c r="M8" i="3"/>
  <c r="M42" i="3"/>
  <c r="K113" i="2"/>
  <c r="AP63" i="3"/>
  <c r="I19" i="3"/>
  <c r="AK29" i="3"/>
  <c r="Y16" i="3"/>
  <c r="AL21" i="3"/>
  <c r="V50" i="2"/>
  <c r="X106" i="2"/>
  <c r="X54" i="2"/>
  <c r="G87" i="2"/>
  <c r="F83" i="2"/>
  <c r="AP87" i="3"/>
  <c r="Q34" i="3"/>
  <c r="U15" i="3"/>
  <c r="AE34" i="3"/>
  <c r="H9" i="3"/>
  <c r="C27" i="3"/>
  <c r="AC23" i="3"/>
  <c r="Z29" i="3"/>
  <c r="AH28" i="3"/>
  <c r="I12" i="3"/>
  <c r="AH38" i="3"/>
  <c r="AG40" i="3"/>
  <c r="U100" i="2"/>
  <c r="F50" i="2"/>
  <c r="C105" i="2"/>
  <c r="K42" i="2"/>
  <c r="AP78" i="3"/>
  <c r="G41" i="3"/>
  <c r="AE7" i="3"/>
  <c r="J15" i="3"/>
  <c r="M6" i="3"/>
  <c r="R39" i="3"/>
  <c r="AQ25" i="3"/>
  <c r="K33" i="3"/>
  <c r="K17" i="3"/>
  <c r="O18" i="3"/>
  <c r="H35" i="3"/>
  <c r="AC21" i="3"/>
  <c r="W24" i="3"/>
  <c r="X9" i="3"/>
  <c r="AM27" i="3"/>
  <c r="AM28" i="3"/>
  <c r="AC24" i="3"/>
  <c r="H70" i="2"/>
  <c r="J21" i="3"/>
  <c r="K41" i="3"/>
  <c r="L34" i="3"/>
  <c r="W88" i="2"/>
  <c r="AH10" i="3"/>
  <c r="G33" i="3"/>
  <c r="K37" i="3"/>
  <c r="T31" i="3"/>
  <c r="AD34" i="3"/>
  <c r="AB6" i="3"/>
  <c r="AN16" i="3"/>
  <c r="H12" i="3"/>
  <c r="N91" i="2"/>
  <c r="O19" i="3"/>
  <c r="R7" i="3"/>
  <c r="AG5" i="3"/>
  <c r="I11" i="3"/>
  <c r="J31" i="3"/>
  <c r="AO29" i="3"/>
  <c r="L33" i="3"/>
  <c r="N15" i="3"/>
  <c r="AN41" i="3"/>
  <c r="J99" i="2"/>
  <c r="J24" i="3"/>
  <c r="W98" i="2"/>
  <c r="J107" i="2"/>
  <c r="M74" i="2"/>
  <c r="Q81" i="2"/>
  <c r="L62" i="2"/>
  <c r="H44" i="2"/>
  <c r="I69" i="2"/>
  <c r="C74" i="2"/>
  <c r="V59" i="2"/>
  <c r="M50" i="2"/>
  <c r="E58" i="2"/>
  <c r="Q113" i="2"/>
  <c r="D65" i="2"/>
  <c r="K56" i="2"/>
  <c r="N45" i="2"/>
  <c r="M89" i="2"/>
  <c r="J42" i="2"/>
  <c r="C85" i="2"/>
  <c r="N83" i="2"/>
  <c r="F61" i="2"/>
  <c r="G41" i="2"/>
  <c r="E62" i="2"/>
  <c r="G62" i="2"/>
  <c r="V112" i="2"/>
  <c r="N54" i="2"/>
  <c r="K114" i="2"/>
  <c r="G47" i="2"/>
  <c r="H83" i="2"/>
  <c r="Q78" i="2"/>
  <c r="V91" i="2"/>
  <c r="P92" i="2"/>
  <c r="J79" i="2"/>
  <c r="J56" i="2"/>
  <c r="P112" i="2"/>
  <c r="H47" i="2"/>
  <c r="J77" i="2"/>
  <c r="T83" i="2"/>
  <c r="H68" i="2"/>
  <c r="N65" i="2"/>
  <c r="N59" i="2"/>
  <c r="X63" i="2"/>
  <c r="W93" i="2"/>
  <c r="H90" i="2"/>
  <c r="D110" i="2"/>
  <c r="F114" i="2"/>
  <c r="F96" i="2"/>
  <c r="W60" i="2"/>
  <c r="X70" i="2"/>
  <c r="T46" i="2"/>
  <c r="V108" i="2"/>
  <c r="W74" i="2"/>
  <c r="M100" i="2"/>
  <c r="E90" i="2"/>
  <c r="T42" i="2"/>
  <c r="S98" i="2"/>
  <c r="Q99" i="2"/>
  <c r="G84" i="2"/>
  <c r="AN22" i="3"/>
  <c r="R14" i="3"/>
  <c r="R10" i="3"/>
  <c r="AP40" i="3"/>
  <c r="J80" i="2"/>
  <c r="X57" i="2"/>
  <c r="H81" i="2"/>
  <c r="K112" i="2"/>
  <c r="W28" i="3"/>
  <c r="W34" i="3"/>
  <c r="AP14" i="3"/>
  <c r="AQ14" i="3"/>
  <c r="I24" i="3"/>
  <c r="S8" i="3"/>
  <c r="AK25" i="3"/>
  <c r="AA19" i="3"/>
  <c r="X10" i="3"/>
  <c r="C46" i="2"/>
  <c r="K79" i="2"/>
  <c r="O48" i="2"/>
  <c r="I38" i="3"/>
  <c r="AK11" i="3"/>
  <c r="R37" i="3"/>
  <c r="O32" i="3"/>
  <c r="AI13" i="3"/>
  <c r="W32" i="3"/>
  <c r="W21" i="3"/>
  <c r="J95" i="2"/>
  <c r="P94" i="2"/>
  <c r="F82" i="2"/>
  <c r="V16" i="3"/>
  <c r="Q33" i="3"/>
  <c r="N35" i="3"/>
  <c r="Z31" i="3"/>
  <c r="H15" i="3"/>
  <c r="Q24" i="3"/>
  <c r="AL35" i="3"/>
  <c r="AN30" i="3"/>
  <c r="AG31" i="3"/>
  <c r="L12" i="3"/>
  <c r="AH18" i="3"/>
  <c r="U41" i="2"/>
  <c r="Q77" i="2"/>
  <c r="P87" i="2"/>
  <c r="AB78" i="3"/>
  <c r="X12" i="3"/>
  <c r="H13" i="3"/>
  <c r="AG15" i="3"/>
  <c r="C34" i="3"/>
  <c r="AP31" i="3"/>
  <c r="M37" i="3"/>
  <c r="H48" i="2"/>
  <c r="I99" i="2"/>
  <c r="N73" i="2"/>
  <c r="S84" i="2"/>
  <c r="J68" i="2"/>
  <c r="O39" i="3"/>
  <c r="O28" i="3"/>
  <c r="AE14" i="3"/>
  <c r="AC42" i="3"/>
  <c r="C42" i="3"/>
  <c r="F109" i="2"/>
  <c r="Q83" i="2"/>
  <c r="T97" i="2"/>
  <c r="T50" i="2"/>
  <c r="AB62" i="3"/>
  <c r="AQ39" i="3"/>
  <c r="AP30" i="3"/>
  <c r="R6" i="3"/>
  <c r="AN19" i="3"/>
  <c r="J50" i="2"/>
  <c r="AP10" i="3"/>
  <c r="K40" i="3"/>
  <c r="I26" i="3"/>
  <c r="AM26" i="3"/>
  <c r="AL39" i="3"/>
  <c r="E50" i="3"/>
  <c r="AE17" i="3"/>
  <c r="O113" i="2"/>
  <c r="C67" i="2"/>
  <c r="X85" i="2"/>
  <c r="R25" i="3"/>
  <c r="AD32" i="3"/>
  <c r="AQ41" i="3"/>
  <c r="AH25" i="3"/>
  <c r="K12" i="3"/>
  <c r="AN15" i="3"/>
  <c r="O91" i="2"/>
  <c r="G106" i="2"/>
  <c r="X112" i="2"/>
  <c r="W105" i="2"/>
  <c r="AP91" i="3"/>
  <c r="M17" i="3"/>
  <c r="AA30" i="3"/>
  <c r="T41" i="3"/>
  <c r="AJ8" i="3"/>
  <c r="AA23" i="3"/>
  <c r="L13" i="3"/>
  <c r="Q13" i="3"/>
  <c r="T36" i="3"/>
  <c r="AB8" i="3"/>
  <c r="P6" i="3"/>
  <c r="AQ33" i="3"/>
  <c r="O79" i="2"/>
  <c r="I29" i="3"/>
  <c r="M14" i="3"/>
  <c r="AP97" i="3"/>
  <c r="E48" i="3"/>
  <c r="O92" i="2"/>
  <c r="J33" i="3"/>
  <c r="U17" i="3"/>
  <c r="T90" i="2"/>
  <c r="Q9" i="3"/>
  <c r="Q21" i="3"/>
  <c r="H39" i="3"/>
  <c r="K9" i="3"/>
  <c r="E57" i="2"/>
  <c r="Y9" i="3"/>
  <c r="AE40" i="3"/>
  <c r="X79" i="2"/>
  <c r="AL13" i="3"/>
  <c r="M72" i="2"/>
  <c r="M64" i="2"/>
  <c r="Q42" i="3"/>
  <c r="H31" i="3"/>
  <c r="P96" i="2"/>
  <c r="Q66" i="2"/>
  <c r="F66" i="2"/>
  <c r="V62" i="2"/>
  <c r="F93" i="2"/>
  <c r="G96" i="2"/>
  <c r="F74" i="2"/>
  <c r="O90" i="2"/>
  <c r="W85" i="2"/>
  <c r="L72" i="2"/>
  <c r="R100" i="2"/>
  <c r="D43" i="2"/>
  <c r="F85" i="2"/>
  <c r="C51" i="2"/>
  <c r="L69" i="2"/>
  <c r="K48" i="2"/>
  <c r="I64" i="2"/>
  <c r="J86" i="2"/>
  <c r="H58" i="2"/>
  <c r="T112" i="2"/>
  <c r="U55" i="2"/>
  <c r="D90" i="2"/>
  <c r="L91" i="2"/>
  <c r="I92" i="2"/>
  <c r="T54" i="2"/>
  <c r="P82" i="2"/>
  <c r="W50" i="2"/>
  <c r="C58" i="2"/>
  <c r="G60" i="2"/>
  <c r="K76" i="2"/>
  <c r="J113" i="2"/>
  <c r="P72" i="2"/>
  <c r="R59" i="2"/>
  <c r="I100" i="2"/>
  <c r="G64" i="2"/>
  <c r="N61" i="2"/>
  <c r="F81" i="2"/>
  <c r="Q50" i="2"/>
  <c r="R62" i="2"/>
  <c r="R86" i="2"/>
  <c r="R68" i="2"/>
  <c r="S45" i="2"/>
  <c r="U83" i="2"/>
  <c r="X91" i="2"/>
  <c r="D113" i="2"/>
  <c r="P108" i="2"/>
  <c r="R52" i="2"/>
  <c r="U88" i="2"/>
  <c r="W107" i="2"/>
  <c r="I96" i="2"/>
  <c r="X66" i="2"/>
  <c r="U76" i="2"/>
  <c r="P100" i="2"/>
  <c r="O64" i="2"/>
  <c r="E85" i="2"/>
  <c r="F106" i="2"/>
  <c r="X51" i="2"/>
  <c r="R56" i="2"/>
  <c r="O106" i="2"/>
  <c r="I48" i="2"/>
  <c r="U78" i="2"/>
  <c r="H57" i="2"/>
  <c r="C79" i="2"/>
  <c r="AH21" i="3"/>
  <c r="W15" i="3"/>
  <c r="Q26" i="3"/>
  <c r="M26" i="3"/>
  <c r="X5" i="3"/>
  <c r="AM30" i="3"/>
  <c r="P23" i="3"/>
  <c r="T19" i="3"/>
  <c r="C31" i="3"/>
  <c r="T29" i="3"/>
  <c r="J35" i="3"/>
  <c r="AA40" i="3"/>
  <c r="C47" i="2"/>
  <c r="V94" i="2"/>
  <c r="Q87" i="2"/>
  <c r="R60" i="2"/>
  <c r="K57" i="2"/>
  <c r="S92" i="2"/>
  <c r="T114" i="2"/>
  <c r="H49" i="2"/>
  <c r="L93" i="2"/>
  <c r="P98" i="2"/>
  <c r="L44" i="2"/>
  <c r="I97" i="2"/>
  <c r="H51" i="2"/>
  <c r="O47" i="2"/>
  <c r="K92" i="2"/>
  <c r="W92" i="2"/>
  <c r="O76" i="2"/>
  <c r="W44" i="2"/>
  <c r="F95" i="2"/>
  <c r="I63" i="2"/>
  <c r="O86" i="2"/>
  <c r="H95" i="2"/>
  <c r="C110" i="2"/>
  <c r="Q42" i="2"/>
  <c r="N84" i="2"/>
  <c r="S76" i="2"/>
  <c r="W77" i="2"/>
  <c r="X81" i="2"/>
  <c r="X55" i="2"/>
  <c r="H84" i="2"/>
  <c r="P97" i="2"/>
  <c r="M56" i="2"/>
  <c r="M81" i="2"/>
  <c r="F97" i="2"/>
  <c r="I110" i="2"/>
  <c r="N49" i="2"/>
  <c r="W82" i="2"/>
  <c r="R76" i="2"/>
  <c r="F91" i="2"/>
  <c r="Q65" i="2"/>
  <c r="V105" i="2"/>
  <c r="M91" i="2"/>
  <c r="P50" i="2"/>
  <c r="R66" i="2"/>
  <c r="S96" i="2"/>
  <c r="L55" i="2"/>
  <c r="V86" i="2"/>
  <c r="R54" i="2"/>
  <c r="N66" i="2"/>
  <c r="G45" i="2"/>
  <c r="E44" i="2"/>
  <c r="S47" i="2"/>
  <c r="U46" i="2"/>
  <c r="T80" i="2"/>
  <c r="L54" i="2"/>
  <c r="C106" i="2"/>
  <c r="P54" i="2"/>
  <c r="G55" i="2"/>
  <c r="K108" i="2"/>
  <c r="T56" i="2"/>
  <c r="V97" i="2"/>
  <c r="D84" i="2"/>
  <c r="W72" i="2"/>
  <c r="W48" i="2"/>
  <c r="K61" i="2"/>
  <c r="T108" i="2"/>
  <c r="W56" i="2"/>
  <c r="D47" i="2"/>
  <c r="K82" i="2"/>
  <c r="C78" i="2"/>
  <c r="P52" i="2"/>
  <c r="C89" i="2"/>
  <c r="G78" i="2"/>
  <c r="J54" i="2"/>
  <c r="Q97" i="2"/>
  <c r="E61" i="2"/>
  <c r="Q71" i="2"/>
  <c r="H88" i="2"/>
  <c r="H108" i="2"/>
  <c r="J110" i="2"/>
  <c r="T78" i="2"/>
  <c r="R79" i="2"/>
  <c r="M106" i="2"/>
  <c r="G82" i="2"/>
  <c r="O84" i="2"/>
  <c r="E42" i="2"/>
  <c r="K43" i="2"/>
  <c r="U95" i="2"/>
  <c r="V100" i="2"/>
  <c r="R77" i="2"/>
  <c r="X49" i="2"/>
  <c r="P91" i="2"/>
  <c r="D79" i="2"/>
  <c r="S75" i="2"/>
  <c r="V76" i="2"/>
  <c r="L113" i="2"/>
  <c r="X99" i="2"/>
  <c r="M46" i="2"/>
  <c r="C75" i="2"/>
  <c r="V72" i="2"/>
  <c r="L109" i="2"/>
  <c r="P44" i="2"/>
  <c r="E91" i="2"/>
  <c r="M86" i="2"/>
  <c r="P65" i="2"/>
  <c r="K53" i="2"/>
  <c r="D46" i="2"/>
  <c r="R63" i="2"/>
  <c r="M87" i="2"/>
  <c r="O88" i="2"/>
  <c r="G54" i="2"/>
  <c r="W90" i="2"/>
  <c r="N44" i="2"/>
  <c r="L85" i="2"/>
  <c r="X74" i="2"/>
  <c r="K77" i="2"/>
  <c r="G97" i="2"/>
  <c r="F72" i="2"/>
  <c r="H71" i="2"/>
  <c r="F73" i="2"/>
  <c r="S85" i="2"/>
  <c r="U84" i="2"/>
  <c r="W68" i="2"/>
  <c r="S107" i="2"/>
  <c r="X100" i="2"/>
  <c r="E106" i="2"/>
  <c r="R44" i="2"/>
  <c r="D69" i="2"/>
  <c r="R51" i="2"/>
  <c r="C47" i="3"/>
  <c r="AQ13" i="3"/>
  <c r="W37" i="3"/>
  <c r="O5" i="3"/>
  <c r="AG27" i="3"/>
  <c r="AN23" i="3"/>
  <c r="AG21" i="3"/>
  <c r="AB26" i="3"/>
  <c r="AE20" i="3"/>
  <c r="AD33" i="3"/>
  <c r="C14" i="3"/>
  <c r="U5" i="3"/>
  <c r="R11" i="3"/>
  <c r="Z33" i="3"/>
  <c r="S81" i="2"/>
  <c r="L42" i="2"/>
  <c r="N96" i="2"/>
  <c r="H62" i="2"/>
  <c r="X87" i="2"/>
  <c r="P93" i="2"/>
  <c r="AP48" i="3"/>
  <c r="AI12" i="3"/>
  <c r="S12" i="3"/>
  <c r="AP36" i="3"/>
  <c r="AN20" i="3"/>
  <c r="AJ23" i="3"/>
  <c r="C30" i="3"/>
  <c r="AJ34" i="3"/>
  <c r="N8" i="3"/>
  <c r="AJ28" i="3"/>
  <c r="Z22" i="3"/>
  <c r="S5" i="3"/>
  <c r="D49" i="3"/>
  <c r="I32" i="3"/>
  <c r="AK19" i="3"/>
  <c r="AH39" i="3"/>
  <c r="Q17" i="3"/>
  <c r="Z34" i="3"/>
  <c r="G99" i="2"/>
  <c r="S64" i="2"/>
  <c r="W42" i="2"/>
  <c r="G88" i="2"/>
  <c r="S91" i="2"/>
  <c r="H77" i="2"/>
  <c r="AP88" i="3"/>
  <c r="Z19" i="3"/>
  <c r="AE24" i="3"/>
  <c r="K36" i="3"/>
  <c r="AA36" i="3"/>
  <c r="V33" i="3"/>
  <c r="M7" i="3"/>
  <c r="K15" i="3"/>
  <c r="Z36" i="3"/>
  <c r="Y33" i="3"/>
  <c r="J5" i="3"/>
  <c r="Y35" i="3"/>
  <c r="AJ19" i="3"/>
  <c r="T27" i="3"/>
  <c r="K25" i="3"/>
  <c r="AI33" i="3"/>
  <c r="AK37" i="3"/>
  <c r="O9" i="3"/>
  <c r="O83" i="2"/>
  <c r="V51" i="2"/>
  <c r="K90" i="2"/>
  <c r="S57" i="2"/>
  <c r="E49" i="2"/>
  <c r="L84" i="2"/>
  <c r="AP60" i="3"/>
  <c r="U30" i="3"/>
  <c r="AM25" i="3"/>
  <c r="AK17" i="3"/>
  <c r="O8" i="3"/>
  <c r="AC19" i="3"/>
  <c r="K21" i="3"/>
  <c r="U6" i="3"/>
  <c r="AE28" i="3"/>
  <c r="AJ18" i="3"/>
  <c r="N7" i="3"/>
  <c r="AC30" i="3"/>
  <c r="I31" i="3"/>
  <c r="AK18" i="3"/>
  <c r="AE15" i="3"/>
  <c r="Z20" i="3"/>
  <c r="AP42" i="3"/>
  <c r="AG41" i="3"/>
  <c r="H8" i="3"/>
  <c r="G52" i="2"/>
  <c r="AP81" i="3"/>
  <c r="D54" i="2"/>
  <c r="D97" i="2"/>
  <c r="N43" i="2"/>
  <c r="T87" i="2"/>
  <c r="M68" i="2"/>
  <c r="H56" i="2"/>
  <c r="AB70" i="3"/>
  <c r="AE10" i="3"/>
  <c r="AN9" i="3"/>
  <c r="AB38" i="3"/>
  <c r="L31" i="3"/>
  <c r="R17" i="3"/>
  <c r="AG32" i="3"/>
  <c r="X13" i="3"/>
  <c r="P40" i="3"/>
  <c r="Q35" i="3"/>
  <c r="AJ11" i="3"/>
  <c r="G93" i="2"/>
  <c r="O87" i="2"/>
  <c r="W79" i="2"/>
  <c r="E114" i="2"/>
  <c r="G65" i="2"/>
  <c r="T51" i="2"/>
  <c r="C108" i="2"/>
  <c r="M71" i="2"/>
  <c r="J97" i="2"/>
  <c r="U86" i="2"/>
  <c r="F89" i="2"/>
  <c r="AB85" i="3"/>
  <c r="O21" i="3"/>
  <c r="S32" i="3"/>
  <c r="R32" i="3"/>
  <c r="AB18" i="3"/>
  <c r="U12" i="3"/>
  <c r="O114" i="2"/>
  <c r="S80" i="2"/>
  <c r="P45" i="2"/>
  <c r="J49" i="2"/>
  <c r="N111" i="2"/>
  <c r="N99" i="2"/>
  <c r="AB55" i="3"/>
  <c r="J36" i="3"/>
  <c r="AK21" i="3"/>
  <c r="AQ18" i="3"/>
  <c r="M39" i="3"/>
  <c r="AH11" i="3"/>
  <c r="H42" i="3"/>
  <c r="AM24" i="3"/>
  <c r="N30" i="3"/>
  <c r="K10" i="3"/>
  <c r="Q30" i="3"/>
  <c r="AN42" i="3"/>
  <c r="V68" i="2"/>
  <c r="F112" i="2"/>
  <c r="U61" i="2"/>
  <c r="S114" i="2"/>
  <c r="M57" i="2"/>
  <c r="O51" i="2"/>
  <c r="AB48" i="3"/>
  <c r="C37" i="3"/>
  <c r="AD35" i="3"/>
  <c r="L29" i="3"/>
  <c r="AH36" i="3"/>
  <c r="L20" i="3"/>
  <c r="C15" i="3"/>
  <c r="C40" i="3"/>
  <c r="AK20" i="3"/>
  <c r="AA11" i="3"/>
  <c r="P77" i="2"/>
  <c r="T95" i="2"/>
  <c r="J88" i="2"/>
  <c r="K58" i="2"/>
  <c r="G43" i="2"/>
  <c r="G61" i="2"/>
  <c r="AP59" i="3"/>
  <c r="H41" i="3"/>
  <c r="W33" i="3"/>
  <c r="AJ41" i="3"/>
  <c r="AC36" i="3"/>
  <c r="Y19" i="3"/>
  <c r="O24" i="3"/>
  <c r="G48" i="3"/>
  <c r="AC5" i="3"/>
  <c r="Z7" i="3"/>
  <c r="L15" i="3"/>
  <c r="AN11" i="3"/>
  <c r="AI40" i="3"/>
  <c r="AJ27" i="3"/>
  <c r="AQ7" i="3"/>
  <c r="W89" i="2"/>
  <c r="T107" i="2"/>
  <c r="Q43" i="2"/>
  <c r="E98" i="2"/>
  <c r="X113" i="2"/>
  <c r="AB57" i="3"/>
  <c r="AI6" i="3"/>
  <c r="AD24" i="3"/>
  <c r="P30" i="3"/>
  <c r="AH22" i="3"/>
  <c r="P27" i="3"/>
  <c r="AE18" i="3"/>
  <c r="AG6" i="3"/>
  <c r="S41" i="3"/>
  <c r="AN5" i="3"/>
  <c r="Z13" i="3"/>
  <c r="AD27" i="3"/>
  <c r="AC35" i="3"/>
  <c r="AE13" i="3"/>
  <c r="AE12" i="3"/>
  <c r="AA27" i="3"/>
  <c r="C16" i="3"/>
  <c r="AH13" i="3"/>
  <c r="P16" i="3"/>
  <c r="AB34" i="3"/>
  <c r="AO18" i="3"/>
  <c r="Z15" i="3"/>
  <c r="H16" i="3"/>
  <c r="U32" i="3"/>
  <c r="S37" i="3"/>
  <c r="AP71" i="3"/>
  <c r="AJ5" i="3"/>
  <c r="AB21" i="3"/>
  <c r="U27" i="3"/>
  <c r="G34" i="3"/>
  <c r="V39" i="3"/>
  <c r="AM20" i="3"/>
  <c r="T35" i="3"/>
  <c r="AK14" i="3"/>
  <c r="AK23" i="3"/>
  <c r="X23" i="3"/>
  <c r="AO13" i="3"/>
  <c r="T13" i="3"/>
  <c r="AN32" i="3"/>
  <c r="AI35" i="3"/>
  <c r="AA15" i="3"/>
  <c r="AQ28" i="3"/>
  <c r="H22" i="3"/>
  <c r="AK38" i="3"/>
  <c r="AH14" i="3"/>
  <c r="R41" i="3"/>
  <c r="V10" i="3"/>
  <c r="S20" i="3"/>
  <c r="AN28" i="3"/>
  <c r="AI17" i="3"/>
  <c r="AA37" i="3"/>
  <c r="AQ9" i="3"/>
  <c r="N41" i="3"/>
  <c r="AP38" i="3"/>
  <c r="W39" i="3"/>
  <c r="C4" i="3"/>
  <c r="U35" i="3"/>
  <c r="X68" i="2"/>
  <c r="AB17" i="3"/>
  <c r="G42" i="2"/>
  <c r="T99" i="2"/>
  <c r="N97" i="2"/>
  <c r="C49" i="2"/>
  <c r="X65" i="2"/>
  <c r="O43" i="2"/>
  <c r="V87" i="2"/>
  <c r="R53" i="2"/>
  <c r="I91" i="2"/>
  <c r="K111" i="2"/>
  <c r="J65" i="2"/>
  <c r="T62" i="2"/>
  <c r="L108" i="2"/>
  <c r="V88" i="2"/>
  <c r="X41" i="2"/>
  <c r="N60" i="2"/>
  <c r="D45" i="2"/>
  <c r="Q49" i="2"/>
  <c r="L50" i="2"/>
  <c r="N58" i="2"/>
  <c r="H114" i="2"/>
  <c r="D89" i="2"/>
  <c r="R67" i="2"/>
  <c r="G58" i="2"/>
  <c r="C100" i="2"/>
  <c r="Q91" i="2"/>
  <c r="R71" i="2"/>
  <c r="D96" i="2"/>
  <c r="M107" i="2"/>
  <c r="H92" i="2"/>
  <c r="C95" i="2"/>
  <c r="O77" i="2"/>
  <c r="D99" i="2"/>
  <c r="M55" i="2"/>
  <c r="C99" i="2"/>
  <c r="W110" i="2"/>
  <c r="H73" i="2"/>
  <c r="M113" i="2"/>
  <c r="V61" i="2"/>
  <c r="C86" i="2"/>
  <c r="W78" i="2"/>
  <c r="M70" i="2"/>
  <c r="L86" i="2"/>
  <c r="S78" i="2"/>
  <c r="V41" i="2"/>
  <c r="G85" i="2"/>
  <c r="W96" i="2"/>
  <c r="O97" i="2"/>
  <c r="O78" i="2"/>
  <c r="M92" i="2"/>
  <c r="K105" i="2"/>
  <c r="I83" i="2"/>
  <c r="P48" i="2"/>
  <c r="K52" i="2"/>
  <c r="U62" i="2"/>
  <c r="O85" i="2"/>
  <c r="F100" i="2"/>
  <c r="C50" i="2"/>
  <c r="L70" i="2"/>
  <c r="N53" i="2"/>
  <c r="E47" i="2"/>
  <c r="J51" i="2"/>
  <c r="C73" i="2"/>
  <c r="Q69" i="2"/>
  <c r="E68" i="2"/>
  <c r="V95" i="2"/>
  <c r="K85" i="2"/>
  <c r="E86" i="2"/>
  <c r="D108" i="2"/>
  <c r="I37" i="3"/>
  <c r="AN35" i="3"/>
  <c r="U28" i="3"/>
  <c r="H18" i="3"/>
  <c r="AE41" i="3"/>
  <c r="AA7" i="3"/>
  <c r="U81" i="2"/>
  <c r="J112" i="2"/>
  <c r="G95" i="2"/>
  <c r="AB79" i="3"/>
  <c r="Q5" i="3"/>
  <c r="AB25" i="3"/>
  <c r="AI8" i="3"/>
  <c r="AN26" i="3"/>
  <c r="P33" i="3"/>
  <c r="AH20" i="3"/>
  <c r="AO20" i="3"/>
  <c r="U63" i="2"/>
  <c r="H60" i="2"/>
  <c r="K38" i="3"/>
  <c r="AO24" i="3"/>
  <c r="AB29" i="3"/>
  <c r="AL26" i="3"/>
  <c r="O34" i="3"/>
  <c r="V15" i="3"/>
  <c r="AK41" i="3"/>
  <c r="J75" i="2"/>
  <c r="T57" i="2"/>
  <c r="Q51" i="2"/>
  <c r="AP84" i="3"/>
  <c r="C21" i="3"/>
  <c r="I16" i="3"/>
  <c r="P20" i="3"/>
  <c r="AC12" i="3"/>
  <c r="V5" i="3"/>
  <c r="AG25" i="3"/>
  <c r="AJ35" i="3"/>
  <c r="P46" i="2"/>
  <c r="D64" i="2"/>
  <c r="C94" i="2"/>
  <c r="G56" i="2"/>
  <c r="AP69" i="3"/>
  <c r="I13" i="3"/>
  <c r="V27" i="3"/>
  <c r="AO23" i="3"/>
  <c r="W9" i="3"/>
  <c r="W81" i="2"/>
  <c r="W87" i="2"/>
  <c r="C54" i="2"/>
  <c r="M110" i="2"/>
  <c r="I45" i="2"/>
  <c r="Z30" i="3"/>
  <c r="S53" i="2"/>
  <c r="AB92" i="3"/>
  <c r="Q31" i="3"/>
  <c r="AA6" i="3"/>
  <c r="AA32" i="3"/>
  <c r="AO9" i="3"/>
  <c r="AK40" i="3"/>
  <c r="C70" i="2"/>
  <c r="C84" i="2"/>
  <c r="K64" i="2"/>
  <c r="AH23" i="3"/>
  <c r="U11" i="3"/>
  <c r="I21" i="3"/>
  <c r="Q40" i="3"/>
  <c r="L95" i="2"/>
  <c r="R69" i="2"/>
  <c r="AB96" i="3"/>
  <c r="AA25" i="3"/>
  <c r="X35" i="3"/>
  <c r="J42" i="3"/>
  <c r="U37" i="3"/>
  <c r="Z37" i="3"/>
  <c r="N9" i="3"/>
  <c r="R13" i="3"/>
  <c r="AA22" i="3"/>
  <c r="AC11" i="3"/>
  <c r="I17" i="3"/>
  <c r="F107" i="2"/>
  <c r="P58" i="2"/>
  <c r="AB72" i="3"/>
  <c r="AJ30" i="3"/>
  <c r="AB12" i="3"/>
  <c r="AP18" i="3"/>
  <c r="V6" i="3"/>
  <c r="C29" i="3"/>
  <c r="AQ16" i="3"/>
  <c r="AA35" i="3"/>
  <c r="L6" i="3"/>
  <c r="W12" i="3"/>
  <c r="S25" i="3"/>
  <c r="AJ33" i="3"/>
  <c r="AI19" i="3"/>
  <c r="X18" i="3"/>
  <c r="G39" i="3"/>
  <c r="J7" i="3"/>
  <c r="W38" i="3"/>
  <c r="X41" i="3"/>
  <c r="M40" i="3"/>
  <c r="AQ23" i="3"/>
  <c r="J11" i="3"/>
  <c r="P18" i="3"/>
  <c r="T20" i="3"/>
  <c r="H29" i="3"/>
  <c r="Y21" i="3"/>
  <c r="N80" i="2"/>
  <c r="AD49" i="3"/>
  <c r="I41" i="3"/>
  <c r="AB14" i="3"/>
  <c r="AH41" i="3"/>
  <c r="AA16" i="3"/>
  <c r="AK16" i="3"/>
  <c r="Q89" i="2"/>
  <c r="W36" i="3"/>
  <c r="G80" i="2"/>
  <c r="AK6" i="3"/>
  <c r="W99" i="2"/>
  <c r="O13" i="3"/>
  <c r="J63" i="2"/>
  <c r="L64" i="2"/>
  <c r="L88" i="2"/>
  <c r="N94" i="2"/>
  <c r="I53" i="2"/>
  <c r="O72" i="2"/>
  <c r="C77" i="2"/>
  <c r="I85" i="2"/>
  <c r="N88" i="2"/>
  <c r="H67" i="2"/>
  <c r="J84" i="2"/>
  <c r="N95" i="2"/>
  <c r="H53" i="2"/>
  <c r="K86" i="2"/>
  <c r="C109" i="2"/>
  <c r="I65" i="2"/>
  <c r="V89" i="2"/>
  <c r="O46" i="2"/>
  <c r="C69" i="2"/>
  <c r="K66" i="2"/>
  <c r="W65" i="2"/>
  <c r="N47" i="2"/>
  <c r="C93" i="2"/>
  <c r="O74" i="2"/>
  <c r="M98" i="2"/>
  <c r="U72" i="2"/>
  <c r="D112" i="2"/>
  <c r="X47" i="2"/>
  <c r="V77" i="2"/>
  <c r="M84" i="2"/>
  <c r="E76" i="2"/>
  <c r="S52" i="2"/>
  <c r="Q110" i="2"/>
  <c r="Q68" i="2"/>
  <c r="F53" i="2"/>
  <c r="G113" i="2"/>
  <c r="J93" i="2"/>
  <c r="X76" i="2"/>
  <c r="M77" i="2"/>
  <c r="W63" i="2"/>
  <c r="X111" i="2"/>
  <c r="E99" i="2"/>
  <c r="F57" i="2"/>
  <c r="C82" i="2"/>
  <c r="I81" i="2"/>
  <c r="G90" i="2"/>
  <c r="N41" i="2"/>
  <c r="G53" i="2"/>
  <c r="D100" i="2"/>
  <c r="G48" i="2"/>
  <c r="R82" i="2"/>
  <c r="T76" i="2"/>
  <c r="R85" i="2"/>
  <c r="M94" i="2"/>
  <c r="T85" i="2"/>
  <c r="V75" i="2"/>
  <c r="F110" i="2"/>
  <c r="D87" i="2"/>
  <c r="T63" i="2"/>
  <c r="M10" i="3"/>
  <c r="AA9" i="3"/>
  <c r="AI15" i="3"/>
  <c r="H19" i="3"/>
  <c r="AE8" i="3"/>
  <c r="S39" i="3"/>
  <c r="AJ26" i="3"/>
  <c r="R16" i="3"/>
  <c r="C7" i="3"/>
  <c r="N46" i="2"/>
  <c r="W43" i="2"/>
  <c r="W111" i="2"/>
  <c r="S112" i="2"/>
  <c r="AB75" i="3"/>
  <c r="O23" i="3"/>
  <c r="AA34" i="3"/>
  <c r="AP37" i="3"/>
  <c r="C12" i="3"/>
  <c r="I15" i="3"/>
  <c r="W16" i="3"/>
  <c r="H37" i="3"/>
  <c r="AI18" i="3"/>
  <c r="U34" i="3"/>
  <c r="K11" i="3"/>
  <c r="S18" i="3"/>
  <c r="AP32" i="3"/>
  <c r="W94" i="2"/>
  <c r="M44" i="2"/>
  <c r="I89" i="2"/>
  <c r="AB63" i="3"/>
  <c r="AB41" i="3"/>
  <c r="W19" i="3"/>
  <c r="C22" i="3"/>
  <c r="AP26" i="3"/>
  <c r="J20" i="3"/>
  <c r="N71" i="2"/>
  <c r="AO7" i="3"/>
  <c r="AA41" i="3"/>
  <c r="T88" i="2"/>
  <c r="U94" i="2"/>
  <c r="O89" i="2"/>
  <c r="N56" i="2"/>
  <c r="AP12" i="3"/>
  <c r="H5" i="3"/>
  <c r="AA17" i="3"/>
  <c r="V29" i="3"/>
  <c r="R42" i="3"/>
  <c r="C6" i="3"/>
  <c r="R34" i="3"/>
  <c r="Y15" i="3"/>
  <c r="AM38" i="3"/>
  <c r="AD29" i="3"/>
  <c r="U13" i="3"/>
  <c r="AO35" i="3"/>
  <c r="S22" i="3"/>
  <c r="AP73" i="3"/>
  <c r="L80" i="2"/>
  <c r="I106" i="2"/>
  <c r="R29" i="3"/>
  <c r="AG30" i="3"/>
  <c r="T21" i="3"/>
  <c r="W10" i="3"/>
  <c r="U93" i="2"/>
  <c r="N92" i="2"/>
  <c r="P51" i="2"/>
  <c r="D72" i="2"/>
  <c r="F78" i="2"/>
  <c r="H94" i="2"/>
  <c r="AP86" i="3"/>
  <c r="AL33" i="3"/>
  <c r="AP13" i="3"/>
  <c r="K35" i="3"/>
  <c r="G32" i="3"/>
  <c r="G110" i="2"/>
  <c r="F60" i="2"/>
  <c r="C57" i="2"/>
  <c r="AM16" i="3"/>
  <c r="Z21" i="3"/>
  <c r="U92" i="2"/>
  <c r="W106" i="2"/>
  <c r="U90" i="2"/>
  <c r="F67" i="2"/>
  <c r="O62" i="2"/>
  <c r="G36" i="3"/>
  <c r="Z11" i="3"/>
  <c r="S40" i="3"/>
  <c r="X25" i="3"/>
  <c r="Y20" i="3"/>
  <c r="W55" i="2"/>
  <c r="AN37" i="3"/>
  <c r="N23" i="3"/>
  <c r="V42" i="2"/>
  <c r="E79" i="2"/>
  <c r="C23" i="3"/>
  <c r="AJ24" i="3"/>
  <c r="S9" i="3"/>
  <c r="AI27" i="3"/>
  <c r="Q6" i="3"/>
  <c r="N12" i="3"/>
  <c r="AI14" i="3"/>
  <c r="X19" i="3"/>
  <c r="C59" i="2"/>
  <c r="M28" i="3"/>
  <c r="T81" i="2"/>
  <c r="AK28" i="3"/>
  <c r="Y23" i="3"/>
  <c r="O36" i="3"/>
  <c r="T72" i="2"/>
  <c r="AO26" i="3"/>
  <c r="AC34" i="3"/>
  <c r="L99" i="2"/>
  <c r="Q22" i="3"/>
  <c r="K30" i="3"/>
  <c r="AJ9" i="3"/>
  <c r="AI26" i="3"/>
  <c r="P114" i="2"/>
  <c r="C71" i="2"/>
  <c r="E77" i="2"/>
  <c r="M51" i="2"/>
  <c r="S71" i="2"/>
  <c r="E66" i="2"/>
  <c r="R89" i="2"/>
  <c r="C65" i="2"/>
  <c r="J100" i="2"/>
  <c r="Q46" i="2"/>
  <c r="I95" i="2"/>
  <c r="N57" i="2"/>
  <c r="I72" i="2"/>
  <c r="U49" i="2"/>
  <c r="P55" i="2"/>
  <c r="L48" i="2"/>
  <c r="I60" i="2"/>
  <c r="M108" i="2"/>
  <c r="C81" i="2"/>
  <c r="X69" i="2"/>
  <c r="T74" i="2"/>
  <c r="U98" i="2"/>
  <c r="E48" i="2"/>
  <c r="D50" i="2"/>
  <c r="V92" i="2"/>
  <c r="L110" i="2"/>
  <c r="G91" i="2"/>
  <c r="H75" i="2"/>
  <c r="Q100" i="2"/>
  <c r="T47" i="2"/>
  <c r="R94" i="2"/>
  <c r="J114" i="2"/>
  <c r="L67" i="2"/>
  <c r="O57" i="2"/>
  <c r="S41" i="2"/>
  <c r="G59" i="2"/>
  <c r="E71" i="2"/>
  <c r="D53" i="2"/>
  <c r="D75" i="2"/>
  <c r="M59" i="2"/>
  <c r="G73" i="2"/>
  <c r="Q41" i="2"/>
  <c r="D58" i="2"/>
  <c r="K100" i="2"/>
  <c r="V107" i="2"/>
  <c r="U106" i="2"/>
  <c r="R107" i="2"/>
  <c r="V90" i="2"/>
  <c r="N107" i="2"/>
  <c r="U105" i="2"/>
  <c r="P69" i="2"/>
  <c r="K75" i="2"/>
  <c r="C43" i="2"/>
  <c r="V63" i="2"/>
  <c r="O45" i="2"/>
  <c r="F71" i="2"/>
  <c r="D109" i="2"/>
  <c r="Q75" i="2"/>
  <c r="D80" i="2"/>
  <c r="U110" i="2"/>
  <c r="R110" i="2"/>
  <c r="R96" i="2"/>
  <c r="K83" i="2"/>
  <c r="U79" i="2"/>
  <c r="Q95" i="2"/>
  <c r="D63" i="2"/>
  <c r="M73" i="2"/>
  <c r="H46" i="2"/>
  <c r="AB86" i="3"/>
  <c r="L37" i="3"/>
  <c r="I39" i="3"/>
  <c r="H40" i="3"/>
  <c r="AM13" i="3"/>
  <c r="AQ37" i="3"/>
  <c r="AL36" i="3"/>
  <c r="Y26" i="3"/>
  <c r="W20" i="3"/>
  <c r="AB9" i="3"/>
  <c r="J72" i="2"/>
  <c r="P49" i="2"/>
  <c r="AB82" i="3"/>
  <c r="J12" i="3"/>
  <c r="P22" i="3"/>
  <c r="K19" i="3"/>
  <c r="X21" i="3"/>
  <c r="AB28" i="3"/>
  <c r="K7" i="3"/>
  <c r="Q11" i="3"/>
  <c r="H110" i="2"/>
  <c r="E87" i="2"/>
  <c r="O94" i="2"/>
  <c r="J46" i="2"/>
  <c r="AP95" i="3"/>
  <c r="H14" i="3"/>
  <c r="N5" i="3"/>
  <c r="C32" i="3"/>
  <c r="G50" i="3"/>
  <c r="AB13" i="3"/>
  <c r="H23" i="3"/>
  <c r="L40" i="3"/>
  <c r="AJ21" i="3"/>
  <c r="AP85" i="3"/>
  <c r="P84" i="2"/>
  <c r="G89" i="2"/>
  <c r="X105" i="2"/>
  <c r="AP90" i="3"/>
  <c r="AJ25" i="3"/>
  <c r="L5" i="3"/>
  <c r="AJ20" i="3"/>
  <c r="Y7" i="3"/>
  <c r="AM7" i="3"/>
  <c r="AG16" i="3"/>
  <c r="AA24" i="3"/>
  <c r="V35" i="3"/>
  <c r="O22" i="3"/>
  <c r="E84" i="2"/>
  <c r="S66" i="2"/>
  <c r="R98" i="2"/>
  <c r="T8" i="3"/>
  <c r="AM5" i="3"/>
  <c r="X29" i="3"/>
  <c r="AI9" i="3"/>
  <c r="E83" i="2"/>
  <c r="P71" i="2"/>
  <c r="H72" i="2"/>
  <c r="I70" i="2"/>
  <c r="F55" i="2"/>
  <c r="D76" i="2"/>
  <c r="AB90" i="3"/>
  <c r="N20" i="3"/>
  <c r="E73" i="2"/>
  <c r="U65" i="2"/>
  <c r="M29" i="3"/>
  <c r="M20" i="3"/>
  <c r="N32" i="3"/>
  <c r="X22" i="3"/>
  <c r="U25" i="3"/>
  <c r="AQ26" i="3"/>
  <c r="X37" i="3"/>
  <c r="S95" i="2"/>
  <c r="U112" i="2"/>
  <c r="U113" i="2"/>
  <c r="E113" i="2"/>
  <c r="O63" i="2"/>
  <c r="AP82" i="3"/>
  <c r="AK22" i="3"/>
  <c r="AQ40" i="3"/>
  <c r="Q64" i="2"/>
  <c r="I87" i="2"/>
  <c r="O53" i="2"/>
  <c r="AB49" i="3"/>
  <c r="N19" i="3"/>
  <c r="V41" i="3"/>
  <c r="AG10" i="3"/>
  <c r="O11" i="3"/>
  <c r="H10" i="3"/>
  <c r="Q12" i="3"/>
  <c r="O40" i="3"/>
  <c r="P67" i="2"/>
  <c r="W113" i="2"/>
  <c r="X27" i="3"/>
  <c r="G35" i="3"/>
  <c r="W11" i="3"/>
  <c r="AC26" i="3"/>
  <c r="AQ10" i="3"/>
  <c r="K26" i="3"/>
  <c r="AG29" i="3"/>
  <c r="I44" i="2"/>
  <c r="AM10" i="3"/>
  <c r="O27" i="3"/>
  <c r="J22" i="3"/>
  <c r="J62" i="2"/>
  <c r="W31" i="3"/>
  <c r="AG33" i="3"/>
  <c r="V37" i="3"/>
  <c r="I33" i="3"/>
  <c r="K72" i="2"/>
  <c r="I34" i="3"/>
  <c r="Q37" i="3"/>
  <c r="X20" i="3"/>
  <c r="N17" i="3"/>
  <c r="Q7" i="3"/>
  <c r="P19" i="3"/>
  <c r="S30" i="3"/>
  <c r="AP16" i="3"/>
  <c r="N18" i="3"/>
  <c r="AB71" i="3"/>
  <c r="K18" i="3"/>
  <c r="Q18" i="3"/>
  <c r="AJ6" i="3"/>
  <c r="I75" i="2"/>
  <c r="L92" i="2"/>
  <c r="I73" i="2"/>
  <c r="W51" i="2"/>
  <c r="M97" i="2"/>
  <c r="D93" i="2"/>
  <c r="P107" i="2"/>
  <c r="E67" i="2"/>
  <c r="N74" i="2"/>
  <c r="H97" i="2"/>
  <c r="P90" i="2"/>
  <c r="M75" i="2"/>
  <c r="G86" i="2"/>
  <c r="U99" i="2"/>
  <c r="I55" i="2"/>
  <c r="I71" i="2"/>
  <c r="J111" i="2"/>
  <c r="X89" i="2"/>
  <c r="F92" i="2"/>
  <c r="V110" i="2"/>
  <c r="D114" i="2"/>
  <c r="H87" i="2"/>
  <c r="N75" i="2"/>
  <c r="W83" i="2"/>
  <c r="U43" i="2"/>
  <c r="O50" i="2"/>
  <c r="L73" i="2"/>
  <c r="X83" i="2"/>
  <c r="K71" i="2"/>
  <c r="E69" i="2"/>
  <c r="Q44" i="2"/>
  <c r="X95" i="2"/>
  <c r="L53" i="2"/>
  <c r="L75" i="2"/>
  <c r="G108" i="2"/>
  <c r="O82" i="2"/>
  <c r="G83" i="2"/>
  <c r="E82" i="2"/>
  <c r="U68" i="2"/>
  <c r="W70" i="2"/>
  <c r="N70" i="2"/>
  <c r="F59" i="2"/>
  <c r="L87" i="2"/>
  <c r="I79" i="2"/>
  <c r="I107" i="2"/>
  <c r="G100" i="2"/>
  <c r="L51" i="2"/>
  <c r="K89" i="2"/>
  <c r="E108" i="2"/>
  <c r="L94" i="2"/>
  <c r="X109" i="2"/>
  <c r="W76" i="2"/>
  <c r="C90" i="2"/>
  <c r="K73" i="2"/>
  <c r="S70" i="2"/>
  <c r="S87" i="2"/>
  <c r="X114" i="2"/>
  <c r="X52" i="2"/>
  <c r="T96" i="2"/>
  <c r="D83" i="2"/>
  <c r="T71" i="2"/>
  <c r="N78" i="2"/>
  <c r="AP49" i="3"/>
  <c r="Y6" i="3"/>
  <c r="W62" i="2"/>
  <c r="D70" i="2"/>
  <c r="J109" i="2"/>
  <c r="F111" i="2"/>
  <c r="T55" i="2"/>
  <c r="I47" i="2"/>
  <c r="L47" i="2"/>
  <c r="M88" i="2"/>
  <c r="T86" i="2"/>
  <c r="G105" i="2"/>
  <c r="K59" i="2"/>
  <c r="I42" i="2"/>
  <c r="D98" i="2"/>
  <c r="V67" i="2"/>
  <c r="G107" i="2"/>
  <c r="W100" i="2"/>
  <c r="V64" i="2"/>
  <c r="E64" i="2"/>
  <c r="S113" i="2"/>
  <c r="E111" i="2"/>
  <c r="J76" i="2"/>
  <c r="P109" i="2"/>
  <c r="Q54" i="2"/>
  <c r="U69" i="2"/>
  <c r="D92" i="2"/>
  <c r="F41" i="2"/>
  <c r="E105" i="2"/>
  <c r="R81" i="2"/>
  <c r="O55" i="2"/>
  <c r="D77" i="2"/>
  <c r="C97" i="2"/>
  <c r="O67" i="2"/>
  <c r="M11" i="3"/>
  <c r="AK34" i="3"/>
  <c r="S29" i="3"/>
  <c r="M47" i="2"/>
  <c r="W80" i="2"/>
  <c r="O29" i="3"/>
  <c r="H27" i="3"/>
  <c r="L22" i="3"/>
  <c r="AD47" i="3"/>
  <c r="AG12" i="3"/>
  <c r="AG35" i="3"/>
  <c r="X15" i="3"/>
  <c r="W52" i="2"/>
  <c r="G77" i="2"/>
  <c r="S16" i="3"/>
  <c r="AB22" i="3"/>
  <c r="AB24" i="3"/>
  <c r="AN38" i="3"/>
  <c r="N16" i="3"/>
  <c r="O33" i="3"/>
  <c r="G72" i="2"/>
  <c r="S42" i="2"/>
  <c r="S65" i="2"/>
  <c r="AP41" i="3"/>
  <c r="AL9" i="3"/>
  <c r="AA5" i="3"/>
  <c r="AH26" i="3"/>
  <c r="N37" i="3"/>
  <c r="J23" i="3"/>
  <c r="V28" i="3"/>
  <c r="AB93" i="3"/>
  <c r="L97" i="2"/>
  <c r="K65" i="2"/>
  <c r="AL20" i="3"/>
  <c r="P8" i="3"/>
  <c r="AK36" i="3"/>
  <c r="C38" i="3"/>
  <c r="K106" i="2"/>
  <c r="V98" i="2"/>
  <c r="R113" i="2"/>
  <c r="P75" i="2"/>
  <c r="N26" i="3"/>
  <c r="AM8" i="3"/>
  <c r="AN17" i="3"/>
  <c r="L81" i="2"/>
  <c r="N64" i="2"/>
  <c r="Z10" i="3"/>
  <c r="AP8" i="3"/>
  <c r="C24" i="3"/>
  <c r="U14" i="3"/>
  <c r="X71" i="2"/>
  <c r="L100" i="2"/>
  <c r="L79" i="2"/>
  <c r="I36" i="3"/>
  <c r="R40" i="3"/>
  <c r="L36" i="3"/>
  <c r="M93" i="2"/>
  <c r="K70" i="2"/>
  <c r="AB83" i="3"/>
  <c r="U19" i="3"/>
  <c r="O16" i="3"/>
  <c r="W35" i="3"/>
  <c r="X17" i="3"/>
  <c r="AJ40" i="3"/>
  <c r="X96" i="2"/>
  <c r="K84" i="2"/>
  <c r="AB66" i="3"/>
  <c r="AC22" i="3"/>
  <c r="T16" i="3"/>
  <c r="AK39" i="3"/>
  <c r="K31" i="3"/>
  <c r="U16" i="3"/>
  <c r="AQ17" i="3"/>
  <c r="J29" i="3"/>
  <c r="Y12" i="3"/>
  <c r="AD26" i="3"/>
  <c r="AL12" i="3"/>
  <c r="AJ10" i="3"/>
  <c r="AA14" i="3"/>
  <c r="P7" i="3"/>
  <c r="AD19" i="3"/>
  <c r="Q10" i="3"/>
  <c r="AP68" i="3"/>
  <c r="AD41" i="3"/>
  <c r="AQ27" i="3"/>
  <c r="O10" i="3"/>
  <c r="AC14" i="3"/>
  <c r="AL18" i="3"/>
  <c r="P24" i="3"/>
  <c r="AB40" i="3"/>
  <c r="AM37" i="3"/>
  <c r="AE38" i="3"/>
  <c r="AE23" i="3"/>
  <c r="AA10" i="3"/>
  <c r="V12" i="3"/>
  <c r="R22" i="3"/>
  <c r="AA28" i="3"/>
  <c r="G46" i="2"/>
  <c r="K80" i="2"/>
  <c r="V111" i="2"/>
  <c r="E59" i="2"/>
  <c r="T84" i="2"/>
  <c r="V74" i="2"/>
  <c r="Z35" i="3"/>
  <c r="H7" i="3"/>
  <c r="R84" i="2"/>
  <c r="AB33" i="3"/>
  <c r="AB32" i="3"/>
  <c r="M58" i="2"/>
  <c r="AG9" i="3"/>
  <c r="J41" i="3"/>
  <c r="P61" i="2"/>
  <c r="J8" i="3"/>
  <c r="AO38" i="3"/>
  <c r="R12" i="3"/>
  <c r="AE22" i="3"/>
  <c r="X44" i="2"/>
  <c r="AL22" i="3"/>
  <c r="V113" i="2"/>
  <c r="AI41" i="3"/>
  <c r="N10" i="3"/>
  <c r="M69" i="2"/>
  <c r="C64" i="2"/>
  <c r="S33" i="3"/>
  <c r="AM9" i="3"/>
  <c r="AI37" i="3"/>
  <c r="L59" i="2"/>
  <c r="AB64" i="3"/>
  <c r="AO21" i="3"/>
  <c r="W6" i="3"/>
  <c r="Y32" i="3"/>
  <c r="C61" i="2"/>
  <c r="T53" i="2"/>
  <c r="AM21" i="3"/>
  <c r="J38" i="3"/>
  <c r="V21" i="3"/>
  <c r="Y41" i="3"/>
  <c r="X86" i="2"/>
  <c r="AH37" i="3"/>
  <c r="J9" i="3"/>
  <c r="AG14" i="3"/>
  <c r="H64" i="2"/>
  <c r="AL19" i="3"/>
  <c r="AP29" i="3"/>
  <c r="N72" i="2"/>
  <c r="D48" i="3"/>
  <c r="I35" i="3"/>
  <c r="H30" i="3"/>
  <c r="T6" i="3"/>
  <c r="Q41" i="3"/>
  <c r="J19" i="3"/>
  <c r="J13" i="3"/>
  <c r="AP94" i="3"/>
  <c r="K95" i="2"/>
  <c r="AL14" i="3"/>
  <c r="AO40" i="3"/>
  <c r="Q53" i="2"/>
  <c r="P106" i="2"/>
  <c r="J53" i="2"/>
  <c r="U74" i="2"/>
  <c r="N108" i="2"/>
  <c r="U50" i="2"/>
  <c r="S69" i="2"/>
  <c r="X73" i="2"/>
  <c r="O54" i="2"/>
  <c r="I57" i="2"/>
  <c r="U75" i="2"/>
  <c r="J48" i="2"/>
  <c r="J90" i="2"/>
  <c r="C28" i="3"/>
  <c r="R30" i="3"/>
  <c r="AC31" i="3"/>
  <c r="AA39" i="3"/>
  <c r="I88" i="2"/>
  <c r="Z25" i="3"/>
  <c r="Q19" i="3"/>
  <c r="W30" i="3"/>
  <c r="D68" i="2"/>
  <c r="AB60" i="3"/>
  <c r="AN21" i="3"/>
  <c r="AG22" i="3"/>
  <c r="Y40" i="3"/>
  <c r="J91" i="2"/>
  <c r="AP74" i="3"/>
  <c r="AH15" i="3"/>
  <c r="AC33" i="3"/>
  <c r="AA29" i="3"/>
  <c r="U20" i="3"/>
  <c r="J40" i="3"/>
  <c r="AO22" i="3"/>
  <c r="M52" i="2"/>
  <c r="V11" i="3"/>
  <c r="T77" i="2"/>
  <c r="E63" i="2"/>
  <c r="S111" i="2"/>
  <c r="F68" i="2"/>
  <c r="O37" i="3"/>
  <c r="P43" i="2"/>
  <c r="H59" i="2"/>
  <c r="K29" i="3"/>
  <c r="AL7" i="3"/>
  <c r="S89" i="2"/>
  <c r="AB95" i="3"/>
  <c r="AM41" i="3"/>
  <c r="AG8" i="3"/>
  <c r="AE30" i="3"/>
  <c r="G71" i="2"/>
  <c r="I22" i="3"/>
  <c r="AO16" i="3"/>
  <c r="K27" i="3"/>
  <c r="H111" i="2"/>
  <c r="M60" i="2"/>
  <c r="G42" i="3"/>
  <c r="M25" i="3"/>
  <c r="I14" i="3"/>
  <c r="AD22" i="3"/>
  <c r="AC40" i="3"/>
  <c r="V78" i="2"/>
  <c r="J26" i="3"/>
  <c r="V17" i="3"/>
  <c r="AO8" i="3"/>
  <c r="Z39" i="3"/>
  <c r="Z40" i="3"/>
  <c r="AP75" i="3"/>
  <c r="AB11" i="3"/>
  <c r="V42" i="3"/>
  <c r="E50" i="2"/>
  <c r="P105" i="2"/>
  <c r="E70" i="2"/>
  <c r="W91" i="2"/>
  <c r="S105" i="2"/>
  <c r="N114" i="2"/>
  <c r="M79" i="2"/>
  <c r="M83" i="2"/>
  <c r="L96" i="2"/>
  <c r="J58" i="2"/>
  <c r="I56" i="2"/>
  <c r="K23" i="3"/>
  <c r="Z9" i="3"/>
  <c r="AI39" i="3"/>
  <c r="C88" i="2"/>
  <c r="V22" i="3"/>
  <c r="T34" i="3"/>
  <c r="J30" i="3"/>
  <c r="AQ31" i="3"/>
  <c r="L78" i="2"/>
  <c r="AP92" i="3"/>
  <c r="AC25" i="3"/>
  <c r="AQ42" i="3"/>
  <c r="Q86" i="2"/>
  <c r="AP57" i="3"/>
  <c r="AG34" i="3"/>
  <c r="K78" i="2"/>
  <c r="AH24" i="3"/>
  <c r="R23" i="3"/>
  <c r="S73" i="2"/>
  <c r="Q74" i="2"/>
  <c r="Z6" i="3"/>
  <c r="AI28" i="3"/>
  <c r="AQ15" i="3"/>
  <c r="J94" i="2"/>
  <c r="R35" i="3"/>
  <c r="AL34" i="3"/>
  <c r="U8" i="3"/>
  <c r="Q48" i="2"/>
  <c r="AO5" i="3"/>
  <c r="AL11" i="3"/>
  <c r="L10" i="3"/>
  <c r="AP27" i="3"/>
  <c r="I98" i="2"/>
  <c r="AP24" i="3"/>
  <c r="AK10" i="3"/>
  <c r="AH31" i="3"/>
  <c r="N13" i="3"/>
  <c r="AL8" i="3"/>
  <c r="AB97" i="3"/>
  <c r="Q39" i="3"/>
  <c r="F79" i="2"/>
  <c r="P79" i="2"/>
  <c r="J67" i="2"/>
  <c r="O44" i="2"/>
  <c r="M99" i="2"/>
  <c r="E74" i="2"/>
  <c r="M66" i="2"/>
  <c r="Q106" i="2"/>
  <c r="V45" i="2"/>
  <c r="R47" i="2"/>
  <c r="R58" i="2"/>
  <c r="N112" i="2"/>
  <c r="J108" i="2"/>
  <c r="H54" i="2"/>
  <c r="M42" i="2"/>
  <c r="M67" i="2"/>
  <c r="L56" i="2"/>
  <c r="Q88" i="2"/>
  <c r="H69" i="2"/>
  <c r="R106" i="2"/>
  <c r="H85" i="2"/>
  <c r="M111" i="2"/>
  <c r="J71" i="2"/>
  <c r="Q36" i="3"/>
  <c r="AP64" i="3"/>
  <c r="AB88" i="3"/>
  <c r="U87" i="2"/>
  <c r="U41" i="3"/>
  <c r="X36" i="3"/>
  <c r="M82" i="2"/>
  <c r="C62" i="2"/>
  <c r="AP25" i="3"/>
  <c r="J25" i="3"/>
  <c r="AH35" i="3"/>
  <c r="AM23" i="3"/>
  <c r="AC38" i="3"/>
  <c r="R31" i="3"/>
  <c r="W108" i="2"/>
  <c r="J32" i="3"/>
  <c r="X92" i="2"/>
  <c r="Q73" i="2"/>
  <c r="I8" i="3"/>
  <c r="T82" i="2"/>
  <c r="AD21" i="3"/>
  <c r="U108" i="2"/>
  <c r="R21" i="3"/>
  <c r="W54" i="2"/>
  <c r="K109" i="2"/>
  <c r="AB87" i="3"/>
  <c r="AH17" i="3"/>
  <c r="AB10" i="3"/>
  <c r="M38" i="3"/>
  <c r="AN13" i="3"/>
  <c r="AO37" i="3"/>
  <c r="AB91" i="3"/>
  <c r="AK13" i="3"/>
  <c r="G40" i="3"/>
  <c r="AK15" i="3"/>
  <c r="S23" i="3"/>
  <c r="M18" i="3"/>
  <c r="J10" i="3"/>
  <c r="G63" i="2"/>
  <c r="AC41" i="3"/>
  <c r="AM35" i="3"/>
  <c r="AK12" i="3"/>
  <c r="J73" i="2"/>
  <c r="H82" i="2"/>
  <c r="R42" i="2"/>
  <c r="S51" i="2"/>
  <c r="D107" i="2"/>
  <c r="S83" i="2"/>
  <c r="V79" i="2"/>
  <c r="S77" i="2"/>
  <c r="S58" i="2"/>
  <c r="L114" i="2"/>
  <c r="R80" i="2"/>
  <c r="M41" i="2"/>
  <c r="E65" i="2"/>
  <c r="H86" i="2"/>
  <c r="O96" i="2"/>
  <c r="W61" i="2"/>
  <c r="N85" i="2"/>
  <c r="S109" i="2"/>
  <c r="L107" i="2"/>
  <c r="V25" i="3"/>
  <c r="AI22" i="3"/>
  <c r="AQ12" i="3"/>
  <c r="R108" i="2"/>
  <c r="R15" i="3"/>
  <c r="AG38" i="3"/>
  <c r="AA13" i="3"/>
  <c r="M41" i="3"/>
  <c r="V70" i="2"/>
  <c r="AM33" i="3"/>
  <c r="AG23" i="3"/>
  <c r="J28" i="3"/>
  <c r="O35" i="3"/>
  <c r="U33" i="3"/>
  <c r="L43" i="2"/>
  <c r="R28" i="3"/>
  <c r="P42" i="2"/>
  <c r="V47" i="2"/>
  <c r="J64" i="2"/>
  <c r="AP80" i="3"/>
  <c r="C52" i="2"/>
  <c r="H26" i="3"/>
  <c r="Q108" i="2"/>
  <c r="E97" i="2"/>
  <c r="R36" i="3"/>
  <c r="L38" i="3"/>
  <c r="L65" i="2"/>
  <c r="AG37" i="3"/>
  <c r="M21" i="3"/>
  <c r="C35" i="3"/>
  <c r="AG36" i="3"/>
  <c r="AO10" i="3"/>
  <c r="V13" i="3"/>
  <c r="AH34" i="3"/>
  <c r="Y22" i="3"/>
  <c r="AQ11" i="3"/>
  <c r="R105" i="2"/>
  <c r="AI29" i="3"/>
  <c r="S19" i="3"/>
  <c r="AH6" i="3"/>
  <c r="H79" i="2"/>
  <c r="U89" i="2"/>
  <c r="V65" i="2"/>
  <c r="P76" i="2"/>
  <c r="X59" i="2"/>
  <c r="C80" i="2"/>
  <c r="I49" i="2"/>
  <c r="W73" i="2"/>
  <c r="P62" i="2"/>
  <c r="G70" i="2"/>
  <c r="L89" i="2"/>
  <c r="M45" i="2"/>
  <c r="K69" i="2"/>
  <c r="I68" i="2"/>
  <c r="N105" i="2"/>
  <c r="Q76" i="2"/>
  <c r="D67" i="2"/>
  <c r="U57" i="2"/>
  <c r="R45" i="2"/>
  <c r="F88" i="2"/>
  <c r="D88" i="2"/>
  <c r="D81" i="2"/>
  <c r="X94" i="2"/>
  <c r="D55" i="2"/>
  <c r="L82" i="2"/>
  <c r="D73" i="2"/>
  <c r="L57" i="2"/>
  <c r="D51" i="2"/>
  <c r="U56" i="2"/>
  <c r="U97" i="2"/>
  <c r="H98" i="2"/>
  <c r="X34" i="3"/>
  <c r="AC9" i="3"/>
  <c r="AA20" i="3"/>
  <c r="S44" i="2"/>
  <c r="P78" i="2"/>
  <c r="AL27" i="3"/>
  <c r="O42" i="3"/>
  <c r="AE33" i="3"/>
  <c r="O25" i="3"/>
  <c r="D47" i="3"/>
  <c r="AD39" i="3"/>
  <c r="L14" i="3"/>
  <c r="E89" i="2"/>
  <c r="I41" i="2"/>
  <c r="AG42" i="3"/>
  <c r="M22" i="3"/>
  <c r="H25" i="3"/>
  <c r="AL29" i="3"/>
  <c r="R5" i="3"/>
  <c r="W14" i="3"/>
  <c r="C42" i="2"/>
  <c r="T92" i="2"/>
  <c r="O109" i="2"/>
  <c r="Q27" i="3"/>
  <c r="N21" i="3"/>
  <c r="O30" i="3"/>
  <c r="J6" i="3"/>
  <c r="M16" i="3"/>
  <c r="X32" i="3"/>
  <c r="O31" i="3"/>
  <c r="P56" i="2"/>
  <c r="H63" i="2"/>
  <c r="U66" i="2"/>
  <c r="AE32" i="3"/>
  <c r="AM12" i="3"/>
  <c r="AL15" i="3"/>
  <c r="AK27" i="3"/>
  <c r="R99" i="2"/>
  <c r="I76" i="2"/>
  <c r="L105" i="2"/>
  <c r="T106" i="2"/>
  <c r="J16" i="3"/>
  <c r="AM39" i="3"/>
  <c r="P21" i="3"/>
  <c r="C53" i="2"/>
  <c r="M43" i="2"/>
  <c r="V8" i="3"/>
  <c r="C25" i="3"/>
  <c r="AQ22" i="3"/>
  <c r="P15" i="3"/>
  <c r="T44" i="2"/>
  <c r="C45" i="2"/>
  <c r="AB65" i="3"/>
  <c r="N14" i="3"/>
  <c r="AB30" i="3"/>
  <c r="X26" i="3"/>
  <c r="Q92" i="2"/>
  <c r="V109" i="2"/>
  <c r="AP96" i="3"/>
  <c r="AA8" i="3"/>
  <c r="R20" i="3"/>
  <c r="L39" i="3"/>
  <c r="AL28" i="3"/>
  <c r="L21" i="3"/>
  <c r="L58" i="2"/>
  <c r="E88" i="2"/>
  <c r="X30" i="3"/>
  <c r="AP23" i="3"/>
  <c r="U22" i="3"/>
  <c r="AP39" i="3"/>
  <c r="U7" i="3"/>
  <c r="AJ7" i="3"/>
  <c r="AO11" i="3"/>
  <c r="V32" i="3"/>
  <c r="Y10" i="3"/>
  <c r="AN40" i="3"/>
  <c r="V30" i="3"/>
  <c r="R19" i="3"/>
  <c r="K39" i="3"/>
  <c r="K28" i="3"/>
  <c r="R9" i="3"/>
  <c r="X33" i="3"/>
  <c r="AK31" i="3"/>
  <c r="I20" i="3"/>
  <c r="H6" i="3"/>
  <c r="Q20" i="3"/>
  <c r="Q28" i="3"/>
  <c r="P34" i="3"/>
  <c r="S26" i="3"/>
  <c r="AM36" i="3"/>
  <c r="X78" i="2"/>
  <c r="U42" i="2"/>
  <c r="R83" i="2"/>
  <c r="F64" i="2"/>
  <c r="P81" i="2"/>
  <c r="D78" i="2"/>
  <c r="C92" i="2"/>
  <c r="T52" i="2"/>
  <c r="T105" i="2"/>
  <c r="R97" i="2"/>
  <c r="J55" i="2"/>
  <c r="P80" i="2"/>
  <c r="D85" i="2"/>
  <c r="I112" i="2"/>
  <c r="K62" i="2"/>
  <c r="R78" i="2"/>
  <c r="K93" i="2"/>
  <c r="S97" i="2"/>
  <c r="W57" i="2"/>
  <c r="J57" i="2"/>
  <c r="X80" i="2"/>
  <c r="J106" i="2"/>
  <c r="K51" i="2"/>
  <c r="D111" i="2"/>
  <c r="P83" i="2"/>
  <c r="K50" i="2"/>
  <c r="K96" i="2"/>
  <c r="P89" i="2"/>
  <c r="Q67" i="2"/>
  <c r="W67" i="2"/>
  <c r="N109" i="2"/>
  <c r="AB81" i="3"/>
  <c r="AB23" i="3"/>
  <c r="Y37" i="3"/>
  <c r="AN39" i="3"/>
  <c r="R112" i="2"/>
  <c r="F70" i="2"/>
  <c r="AB19" i="3"/>
  <c r="AQ36" i="3"/>
  <c r="I42" i="3"/>
  <c r="P42" i="3"/>
  <c r="AO42" i="3"/>
  <c r="AC15" i="3"/>
  <c r="N36" i="3"/>
  <c r="D61" i="2"/>
  <c r="M48" i="2"/>
  <c r="P10" i="3"/>
  <c r="AN27" i="3"/>
  <c r="AC16" i="3"/>
  <c r="L42" i="3"/>
  <c r="Z14" i="3"/>
  <c r="AC18" i="3"/>
  <c r="J47" i="2"/>
  <c r="V54" i="2"/>
  <c r="AB94" i="3"/>
  <c r="E47" i="3"/>
  <c r="AQ32" i="3"/>
  <c r="W41" i="3"/>
  <c r="R27" i="3"/>
  <c r="AB16" i="3"/>
  <c r="AM34" i="3"/>
  <c r="O12" i="3"/>
  <c r="J44" i="2"/>
  <c r="S48" i="2"/>
  <c r="O110" i="2"/>
  <c r="AI16" i="3"/>
  <c r="C17" i="3"/>
  <c r="T14" i="3"/>
  <c r="C19" i="3"/>
  <c r="O93" i="2"/>
  <c r="J61" i="2"/>
  <c r="O66" i="2"/>
  <c r="E78" i="2"/>
  <c r="T25" i="3"/>
  <c r="Z28" i="3"/>
  <c r="I86" i="2"/>
  <c r="O65" i="2"/>
  <c r="R61" i="2"/>
  <c r="AD28" i="3"/>
  <c r="M9" i="3"/>
  <c r="T11" i="3"/>
  <c r="P37" i="3"/>
  <c r="F47" i="2"/>
  <c r="T113" i="2"/>
  <c r="AP76" i="3"/>
  <c r="J37" i="3"/>
  <c r="AE42" i="3"/>
  <c r="W13" i="3"/>
  <c r="S54" i="2"/>
  <c r="I111" i="2"/>
  <c r="AP67" i="3"/>
  <c r="X24" i="3"/>
  <c r="AA21" i="3"/>
  <c r="R33" i="3"/>
  <c r="Y29" i="3"/>
  <c r="N27" i="3"/>
  <c r="K41" i="2"/>
  <c r="P57" i="2"/>
  <c r="AD50" i="3"/>
  <c r="X16" i="3"/>
  <c r="AN14" i="3"/>
  <c r="AB35" i="3"/>
  <c r="M19" i="3"/>
  <c r="C26" i="3"/>
  <c r="L23" i="3"/>
  <c r="V48" i="2"/>
  <c r="C10" i="3"/>
  <c r="Z42" i="3"/>
  <c r="T39" i="3"/>
  <c r="AB31" i="3"/>
  <c r="X39" i="3"/>
  <c r="U40" i="3"/>
  <c r="AO36" i="3"/>
  <c r="AI7" i="3"/>
  <c r="AP20" i="3"/>
  <c r="D52" i="2"/>
  <c r="J105" i="2"/>
  <c r="R50" i="2"/>
  <c r="O95" i="2"/>
  <c r="N90" i="2"/>
  <c r="E45" i="2"/>
  <c r="E43" i="2"/>
  <c r="D49" i="2"/>
  <c r="S56" i="2"/>
  <c r="N76" i="2"/>
  <c r="V43" i="2"/>
  <c r="S61" i="2"/>
  <c r="C44" i="2"/>
  <c r="D59" i="2"/>
  <c r="Q107" i="2"/>
  <c r="X53" i="2"/>
  <c r="W64" i="2"/>
  <c r="M105" i="2"/>
  <c r="C63" i="2"/>
  <c r="D86" i="2"/>
  <c r="S93" i="2"/>
  <c r="M49" i="2"/>
  <c r="I77" i="2"/>
  <c r="K68" i="2"/>
  <c r="K49" i="2"/>
  <c r="AB59" i="3"/>
  <c r="AL5" i="3"/>
  <c r="U114" i="2"/>
  <c r="AP19" i="3"/>
  <c r="S11" i="3"/>
  <c r="AG19" i="3"/>
  <c r="AD31" i="3"/>
  <c r="X62" i="2"/>
  <c r="N48" i="2"/>
  <c r="AI11" i="3"/>
  <c r="AI10" i="3"/>
  <c r="AP22" i="3"/>
  <c r="T37" i="3"/>
  <c r="R64" i="2"/>
  <c r="AP47" i="3"/>
  <c r="AM11" i="3"/>
  <c r="V26" i="3"/>
  <c r="Z32" i="3"/>
  <c r="S110" i="2"/>
  <c r="AP83" i="3"/>
  <c r="X7" i="3"/>
  <c r="R38" i="3"/>
  <c r="AH7" i="3"/>
  <c r="X84" i="2"/>
  <c r="N100" i="2"/>
  <c r="T111" i="2"/>
  <c r="V73" i="2"/>
  <c r="AP17" i="3"/>
  <c r="T110" i="2"/>
  <c r="AB74" i="3"/>
  <c r="I6" i="3"/>
  <c r="M85" i="2"/>
  <c r="X31" i="3"/>
  <c r="AH29" i="3"/>
  <c r="Y27" i="3"/>
  <c r="P35" i="3"/>
  <c r="N11" i="3"/>
  <c r="AN10" i="3"/>
  <c r="F48" i="2"/>
  <c r="T60" i="2"/>
  <c r="L71" i="2"/>
  <c r="P41" i="2"/>
  <c r="O112" i="2"/>
  <c r="Q98" i="2"/>
  <c r="V55" i="2"/>
  <c r="C98" i="2"/>
  <c r="X72" i="2"/>
  <c r="Q84" i="2"/>
  <c r="K99" i="2"/>
  <c r="N79" i="2"/>
  <c r="W58" i="2"/>
  <c r="M80" i="2"/>
  <c r="T70" i="2"/>
  <c r="W45" i="2"/>
  <c r="V66" i="2"/>
  <c r="U60" i="2"/>
  <c r="AB68" i="3"/>
  <c r="AE6" i="3"/>
  <c r="AJ39" i="3"/>
  <c r="P14" i="3"/>
  <c r="N113" i="2"/>
  <c r="AA12" i="3"/>
  <c r="AN6" i="3"/>
  <c r="M30" i="3"/>
  <c r="X97" i="2"/>
  <c r="N28" i="3"/>
  <c r="W69" i="2"/>
  <c r="AB50" i="3"/>
  <c r="AD20" i="3"/>
  <c r="W7" i="3"/>
  <c r="J98" i="2"/>
  <c r="AI38" i="3"/>
  <c r="AB56" i="3"/>
  <c r="Q38" i="3"/>
  <c r="AG20" i="3"/>
  <c r="D42" i="2"/>
  <c r="R114" i="2"/>
  <c r="Y11" i="3"/>
  <c r="Y30" i="3"/>
  <c r="U47" i="2"/>
  <c r="T7" i="3"/>
  <c r="M112" i="2"/>
  <c r="L106" i="2"/>
  <c r="L41" i="2"/>
  <c r="AJ42" i="3"/>
  <c r="AC10" i="3"/>
  <c r="E81" i="2"/>
  <c r="AK33" i="3"/>
  <c r="S67" i="2"/>
  <c r="AO27" i="3"/>
  <c r="F54" i="2"/>
  <c r="V53" i="2"/>
  <c r="G112" i="2"/>
  <c r="R93" i="2"/>
  <c r="I51" i="2"/>
  <c r="O98" i="2"/>
  <c r="I58" i="2"/>
  <c r="H74" i="2"/>
  <c r="D74" i="2"/>
  <c r="T93" i="2"/>
  <c r="I93" i="2"/>
  <c r="S49" i="2"/>
  <c r="W114" i="2"/>
  <c r="H41" i="2"/>
  <c r="J92" i="2"/>
  <c r="U48" i="2"/>
  <c r="N51" i="2"/>
  <c r="Q63" i="2"/>
  <c r="T49" i="2"/>
  <c r="X90" i="2"/>
  <c r="AG39" i="3"/>
  <c r="AA33" i="3"/>
  <c r="AQ20" i="3"/>
  <c r="E60" i="2"/>
  <c r="AP50" i="3"/>
  <c r="G37" i="3"/>
  <c r="AH32" i="3"/>
  <c r="K22" i="3"/>
  <c r="I114" i="2"/>
  <c r="I52" i="2"/>
  <c r="AB67" i="3"/>
  <c r="N39" i="3"/>
  <c r="O20" i="3"/>
  <c r="L27" i="3"/>
  <c r="S14" i="3"/>
  <c r="AI30" i="3"/>
  <c r="W112" i="2"/>
  <c r="K74" i="2"/>
  <c r="AJ17" i="3"/>
  <c r="AP15" i="3"/>
  <c r="G49" i="3"/>
  <c r="AB15" i="3"/>
  <c r="AH8" i="3"/>
  <c r="G68" i="2"/>
  <c r="AI21" i="3"/>
  <c r="O80" i="2"/>
  <c r="P64" i="2"/>
  <c r="I82" i="2"/>
  <c r="P41" i="3"/>
  <c r="AJ14" i="3"/>
  <c r="E72" i="2"/>
  <c r="R95" i="2"/>
  <c r="AB69" i="3"/>
  <c r="U24" i="3"/>
  <c r="AL16" i="3"/>
  <c r="N31" i="3"/>
  <c r="J69" i="2"/>
  <c r="AL41" i="3"/>
  <c r="AP11" i="3"/>
  <c r="U31" i="3"/>
  <c r="AC32" i="3"/>
  <c r="C41" i="2"/>
  <c r="V80" i="2"/>
  <c r="AG26" i="3"/>
  <c r="AK42" i="3"/>
  <c r="Q8" i="3"/>
  <c r="AG18" i="3"/>
  <c r="K13" i="3"/>
  <c r="N24" i="3"/>
  <c r="N55" i="2"/>
  <c r="AE16" i="3"/>
  <c r="P113" i="2"/>
  <c r="H105" i="2"/>
  <c r="C56" i="2"/>
  <c r="Q90" i="2"/>
  <c r="G67" i="2"/>
  <c r="G111" i="2"/>
  <c r="I108" i="2"/>
  <c r="V69" i="2"/>
  <c r="AK9" i="3"/>
  <c r="X40" i="3"/>
  <c r="Y38" i="3"/>
  <c r="D41" i="2"/>
  <c r="S42" i="3"/>
  <c r="J17" i="3"/>
  <c r="AM29" i="3"/>
  <c r="L7" i="3"/>
  <c r="P9" i="3"/>
  <c r="K67" i="2"/>
  <c r="AB76" i="3"/>
  <c r="AO32" i="3"/>
  <c r="O26" i="3"/>
  <c r="AA18" i="3"/>
  <c r="Z27" i="3"/>
  <c r="W8" i="3"/>
  <c r="U52" i="2"/>
  <c r="H91" i="2"/>
  <c r="L32" i="3"/>
  <c r="W29" i="3"/>
  <c r="O6" i="3"/>
  <c r="D91" i="2"/>
  <c r="H45" i="2"/>
  <c r="AP62" i="3"/>
  <c r="AN34" i="3"/>
  <c r="T59" i="2"/>
  <c r="AB84" i="3"/>
  <c r="H24" i="3"/>
  <c r="AJ36" i="3"/>
  <c r="AL32" i="3"/>
  <c r="X108" i="2"/>
  <c r="E49" i="3"/>
  <c r="AA31" i="3"/>
  <c r="S38" i="3"/>
  <c r="U109" i="2"/>
  <c r="AJ22" i="3"/>
  <c r="M13" i="3"/>
  <c r="I7" i="3"/>
  <c r="Z38" i="3"/>
  <c r="S15" i="3"/>
  <c r="T94" i="2"/>
  <c r="N6" i="3"/>
  <c r="O38" i="3"/>
  <c r="F94" i="2"/>
  <c r="W25" i="3"/>
  <c r="T32" i="3"/>
  <c r="F52" i="2"/>
  <c r="N22" i="3"/>
  <c r="M62" i="2"/>
  <c r="M65" i="2"/>
  <c r="P73" i="2"/>
  <c r="T48" i="2"/>
  <c r="L76" i="2"/>
  <c r="G69" i="2"/>
  <c r="P74" i="2"/>
  <c r="S90" i="2"/>
  <c r="O49" i="2"/>
  <c r="S50" i="2"/>
  <c r="R90" i="2"/>
  <c r="F44" i="2"/>
  <c r="AE31" i="3"/>
  <c r="H34" i="3"/>
  <c r="AN18" i="3"/>
  <c r="S7" i="3"/>
  <c r="Q45" i="2"/>
  <c r="Y39" i="3"/>
  <c r="Z23" i="3"/>
  <c r="AE27" i="3"/>
  <c r="R73" i="2"/>
  <c r="N62" i="2"/>
  <c r="W26" i="3"/>
  <c r="AC37" i="3"/>
  <c r="L9" i="3"/>
  <c r="T38" i="3"/>
  <c r="AQ24" i="3"/>
  <c r="P28" i="3"/>
  <c r="AB80" i="3"/>
  <c r="F62" i="2"/>
  <c r="R18" i="3"/>
  <c r="AB37" i="3"/>
  <c r="AK5" i="3"/>
  <c r="O71" i="2"/>
  <c r="AL37" i="3"/>
  <c r="Y31" i="3"/>
  <c r="E109" i="2"/>
  <c r="AO39" i="3"/>
  <c r="AL31" i="3"/>
  <c r="C8" i="3"/>
  <c r="U9" i="3"/>
  <c r="O15" i="3"/>
  <c r="Q14" i="3"/>
  <c r="X46" i="2"/>
  <c r="P5" i="3"/>
  <c r="AN25" i="3"/>
  <c r="AE5" i="3"/>
  <c r="P31" i="3"/>
  <c r="AO19" i="3"/>
  <c r="Q82" i="2"/>
  <c r="K47" i="2"/>
  <c r="C49" i="3"/>
  <c r="AP9" i="3"/>
  <c r="AI36" i="3"/>
  <c r="O14" i="3"/>
  <c r="U36" i="3"/>
  <c r="K16" i="3"/>
  <c r="L28" i="3"/>
  <c r="M5" i="3"/>
  <c r="AK8" i="3"/>
  <c r="S31" i="3"/>
  <c r="AE29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I142" i="1"/>
  <c r="N117" i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I89" i="3"/>
  <c r="M67" i="3"/>
  <c r="AM60" i="3"/>
  <c r="Y62" i="3"/>
  <c r="Q48" i="3"/>
  <c r="H78" i="3"/>
  <c r="AJ87" i="3"/>
  <c r="AO74" i="3"/>
  <c r="AL73" i="3"/>
  <c r="T70" i="3"/>
  <c r="M85" i="3"/>
  <c r="AA49" i="3"/>
  <c r="L77" i="3"/>
  <c r="I79" i="3"/>
  <c r="S54" i="3"/>
  <c r="AQ47" i="3"/>
  <c r="X79" i="3"/>
  <c r="P75" i="3"/>
  <c r="X73" i="3"/>
  <c r="AG87" i="3"/>
  <c r="AC59" i="3"/>
  <c r="K67" i="3"/>
  <c r="O49" i="3"/>
  <c r="N81" i="3"/>
  <c r="AJ77" i="3"/>
  <c r="U59" i="3"/>
  <c r="AL88" i="3"/>
  <c r="AL75" i="3"/>
  <c r="AJ62" i="3"/>
  <c r="R68" i="3"/>
  <c r="AI85" i="3"/>
  <c r="X91" i="3"/>
  <c r="AM92" i="3"/>
  <c r="Y73" i="3"/>
  <c r="V81" i="3"/>
  <c r="P82" i="3"/>
  <c r="T86" i="3"/>
  <c r="K48" i="3"/>
  <c r="K74" i="3"/>
  <c r="AO70" i="3"/>
  <c r="AO75" i="3"/>
  <c r="AK70" i="3"/>
  <c r="K88" i="3"/>
  <c r="W54" i="3"/>
  <c r="J67" i="3"/>
  <c r="X74" i="3"/>
  <c r="X96" i="3"/>
  <c r="AA77" i="3"/>
  <c r="O89" i="3"/>
  <c r="AE71" i="3"/>
  <c r="AA67" i="3"/>
  <c r="AL76" i="3"/>
  <c r="T77" i="3"/>
  <c r="AC49" i="3"/>
  <c r="I62" i="3"/>
  <c r="Q77" i="3"/>
  <c r="H89" i="3"/>
  <c r="AC84" i="3"/>
  <c r="V55" i="3"/>
  <c r="T59" i="3"/>
  <c r="R56" i="3"/>
  <c r="AC50" i="3"/>
  <c r="N76" i="3"/>
  <c r="AH85" i="3"/>
  <c r="O82" i="3"/>
  <c r="J65" i="3"/>
  <c r="P77" i="3"/>
  <c r="O96" i="3"/>
  <c r="O81" i="3"/>
  <c r="AG76" i="3"/>
  <c r="AQ88" i="3"/>
  <c r="AM68" i="3"/>
  <c r="N79" i="3"/>
  <c r="M62" i="3"/>
  <c r="AM90" i="3"/>
  <c r="Y81" i="3"/>
  <c r="V75" i="3"/>
  <c r="K65" i="3"/>
  <c r="AI50" i="3"/>
  <c r="AM83" i="3"/>
  <c r="H97" i="3"/>
  <c r="N77" i="3"/>
  <c r="U86" i="3"/>
  <c r="AN49" i="3"/>
  <c r="AM48" i="3"/>
  <c r="AC74" i="3"/>
  <c r="X58" i="3"/>
  <c r="T66" i="3"/>
  <c r="I60" i="3"/>
  <c r="M75" i="3"/>
  <c r="M56" i="3"/>
  <c r="AG57" i="3"/>
  <c r="Z69" i="3"/>
  <c r="AL97" i="3"/>
  <c r="V76" i="3"/>
  <c r="I58" i="3"/>
  <c r="Y83" i="3"/>
  <c r="K58" i="3"/>
  <c r="I87" i="3"/>
  <c r="AQ95" i="3"/>
  <c r="L66" i="3"/>
  <c r="AE79" i="3"/>
  <c r="V79" i="3"/>
  <c r="W75" i="3"/>
  <c r="K62" i="3"/>
  <c r="R74" i="3"/>
  <c r="J81" i="3"/>
  <c r="N56" i="3"/>
  <c r="AH96" i="3"/>
  <c r="AC57" i="3"/>
  <c r="AI71" i="3"/>
  <c r="Q88" i="3"/>
  <c r="AJ58" i="3"/>
  <c r="P55" i="3"/>
  <c r="Z82" i="3"/>
  <c r="X90" i="3"/>
  <c r="I86" i="3"/>
  <c r="AK86" i="3"/>
  <c r="H76" i="3"/>
  <c r="Q75" i="3"/>
  <c r="AH56" i="3"/>
  <c r="P69" i="3"/>
  <c r="J92" i="3"/>
  <c r="AI69" i="3"/>
  <c r="AC75" i="3"/>
  <c r="AM91" i="3"/>
  <c r="Y64" i="3"/>
  <c r="Q97" i="3"/>
  <c r="AN88" i="3"/>
  <c r="L58" i="3"/>
  <c r="R83" i="3"/>
  <c r="AQ66" i="3"/>
  <c r="AO80" i="3"/>
  <c r="T73" i="3"/>
  <c r="W81" i="3"/>
  <c r="AL94" i="3"/>
  <c r="Z63" i="3"/>
  <c r="O94" i="3"/>
  <c r="J76" i="3"/>
  <c r="AJ61" i="3"/>
  <c r="AN78" i="3"/>
  <c r="AL96" i="3"/>
  <c r="M69" i="3"/>
  <c r="W65" i="3"/>
  <c r="L64" i="3"/>
  <c r="T75" i="3"/>
  <c r="H81" i="3"/>
  <c r="Z49" i="3"/>
  <c r="Q76" i="3"/>
  <c r="T54" i="3"/>
  <c r="AN76" i="3"/>
  <c r="L88" i="3"/>
  <c r="Q60" i="3"/>
  <c r="AC58" i="3"/>
  <c r="I66" i="3"/>
  <c r="W80" i="3"/>
  <c r="AN77" i="3"/>
  <c r="AA56" i="3"/>
  <c r="H50" i="3"/>
  <c r="Z56" i="3"/>
  <c r="N66" i="3"/>
  <c r="Y92" i="3"/>
  <c r="P96" i="3"/>
  <c r="AG59" i="3"/>
  <c r="AL64" i="3"/>
  <c r="AA89" i="3"/>
  <c r="Z47" i="3"/>
  <c r="Q81" i="3"/>
  <c r="AO63" i="3"/>
  <c r="U79" i="3"/>
  <c r="AE96" i="3"/>
  <c r="V77" i="3"/>
  <c r="AL90" i="3"/>
  <c r="Q85" i="3"/>
  <c r="X47" i="3"/>
  <c r="AO83" i="3"/>
  <c r="X70" i="3"/>
  <c r="Y58" i="3"/>
  <c r="L65" i="3"/>
  <c r="AA79" i="3"/>
  <c r="AG60" i="3"/>
  <c r="AQ64" i="3"/>
  <c r="AG54" i="3"/>
  <c r="AI79" i="3"/>
  <c r="AN80" i="3"/>
  <c r="P48" i="3"/>
  <c r="M84" i="3"/>
  <c r="H94" i="3"/>
  <c r="U82" i="3"/>
  <c r="L83" i="3"/>
  <c r="W49" i="3"/>
  <c r="S77" i="3"/>
  <c r="AG62" i="3"/>
  <c r="S81" i="3"/>
  <c r="AM50" i="3"/>
  <c r="N88" i="3"/>
  <c r="Q78" i="3"/>
  <c r="AI65" i="3"/>
  <c r="AM61" i="3"/>
  <c r="AN92" i="3"/>
  <c r="AN85" i="3"/>
  <c r="AL67" i="3"/>
  <c r="AC61" i="3"/>
  <c r="Y72" i="3"/>
  <c r="I61" i="3"/>
  <c r="W83" i="3"/>
  <c r="AI74" i="3"/>
  <c r="Y78" i="3"/>
  <c r="AK58" i="3"/>
  <c r="AK74" i="3"/>
  <c r="Z90" i="3"/>
  <c r="AK82" i="3"/>
  <c r="Y95" i="3"/>
  <c r="AE62" i="3"/>
  <c r="AJ86" i="3"/>
  <c r="Z59" i="3"/>
  <c r="AH92" i="3"/>
  <c r="T56" i="3"/>
  <c r="AK84" i="3"/>
  <c r="Y74" i="3"/>
  <c r="H63" i="3"/>
  <c r="N83" i="3"/>
  <c r="T48" i="3"/>
  <c r="Q69" i="3"/>
  <c r="AC47" i="3"/>
  <c r="X67" i="3"/>
  <c r="K47" i="3"/>
  <c r="V92" i="3"/>
  <c r="AO69" i="3"/>
  <c r="I95" i="3"/>
  <c r="I70" i="3"/>
  <c r="T83" i="3"/>
  <c r="O58" i="3"/>
  <c r="K85" i="3"/>
  <c r="M64" i="3"/>
  <c r="AN60" i="3"/>
  <c r="AM81" i="3"/>
  <c r="I49" i="3"/>
  <c r="AH49" i="3"/>
  <c r="AQ91" i="3"/>
  <c r="AI54" i="3"/>
  <c r="V86" i="3"/>
  <c r="O47" i="3"/>
  <c r="Z76" i="3"/>
  <c r="S71" i="3"/>
  <c r="AI88" i="3"/>
  <c r="S93" i="3"/>
  <c r="N54" i="3"/>
  <c r="H93" i="3"/>
  <c r="L95" i="3"/>
  <c r="AM96" i="3"/>
  <c r="T96" i="3"/>
  <c r="I65" i="3"/>
  <c r="X63" i="3"/>
  <c r="S79" i="3"/>
  <c r="T58" i="3"/>
  <c r="AJ74" i="3"/>
  <c r="M76" i="3"/>
  <c r="AN75" i="3"/>
  <c r="K79" i="3"/>
  <c r="V96" i="3"/>
  <c r="AQ97" i="3"/>
  <c r="AE49" i="3"/>
  <c r="R55" i="3"/>
  <c r="Z86" i="3"/>
  <c r="W62" i="3"/>
  <c r="AL47" i="3"/>
  <c r="AG86" i="3"/>
  <c r="AQ57" i="3"/>
  <c r="AJ60" i="3"/>
  <c r="T91" i="3"/>
  <c r="W57" i="3"/>
  <c r="AQ84" i="3"/>
  <c r="O59" i="3"/>
  <c r="Z60" i="3"/>
  <c r="K82" i="3"/>
  <c r="AQ77" i="3"/>
  <c r="AL84" i="3"/>
  <c r="AH88" i="3"/>
  <c r="T89" i="3"/>
  <c r="V83" i="3"/>
  <c r="AA93" i="3"/>
  <c r="AJ83" i="3"/>
  <c r="AQ79" i="3"/>
  <c r="N69" i="3"/>
  <c r="X92" i="3"/>
  <c r="M80" i="3"/>
  <c r="M65" i="3"/>
  <c r="S57" i="3"/>
  <c r="R73" i="3"/>
  <c r="Y55" i="3"/>
  <c r="AE94" i="3"/>
  <c r="H57" i="3"/>
  <c r="AL72" i="3"/>
  <c r="Q70" i="3"/>
  <c r="AN95" i="3"/>
  <c r="AA90" i="3"/>
  <c r="J61" i="3"/>
  <c r="P81" i="3"/>
  <c r="S74" i="3"/>
  <c r="AH75" i="3"/>
  <c r="AQ68" i="3"/>
  <c r="AK73" i="3"/>
  <c r="T78" i="3"/>
  <c r="AC82" i="3"/>
  <c r="AQ62" i="3"/>
  <c r="O77" i="3"/>
  <c r="U50" i="3"/>
  <c r="T63" i="3"/>
  <c r="T50" i="3"/>
  <c r="L75" i="3"/>
  <c r="U81" i="3"/>
  <c r="V58" i="3"/>
  <c r="V94" i="3"/>
  <c r="X97" i="3"/>
  <c r="U80" i="3"/>
  <c r="J91" i="3"/>
  <c r="AG61" i="3"/>
  <c r="R93" i="3"/>
  <c r="AG74" i="3"/>
  <c r="AE89" i="3"/>
  <c r="AM72" i="3"/>
  <c r="Y76" i="3"/>
  <c r="O61" i="3"/>
  <c r="H54" i="3"/>
  <c r="AL55" i="3"/>
  <c r="Y68" i="3"/>
  <c r="X72" i="3"/>
  <c r="AM89" i="3"/>
  <c r="S63" i="3"/>
  <c r="AJ76" i="3"/>
  <c r="W94" i="3"/>
  <c r="O66" i="3"/>
  <c r="Z70" i="3"/>
  <c r="S47" i="3"/>
  <c r="L94" i="3"/>
  <c r="Y47" i="3"/>
  <c r="AG85" i="3"/>
  <c r="K64" i="3"/>
  <c r="AK97" i="3"/>
  <c r="M57" i="3"/>
  <c r="AG90" i="3"/>
  <c r="J70" i="3"/>
  <c r="V69" i="3"/>
  <c r="P54" i="3"/>
  <c r="J80" i="3"/>
  <c r="V87" i="3"/>
  <c r="AO49" i="3"/>
  <c r="O83" i="3"/>
  <c r="U69" i="3"/>
  <c r="AJ48" i="3"/>
  <c r="K94" i="3"/>
  <c r="AG94" i="3"/>
  <c r="AM63" i="3"/>
  <c r="T47" i="3"/>
  <c r="AC81" i="3"/>
  <c r="L69" i="3"/>
  <c r="AA59" i="3"/>
  <c r="AH77" i="3"/>
  <c r="AH73" i="3"/>
  <c r="H91" i="3"/>
  <c r="O62" i="3"/>
  <c r="W48" i="3"/>
  <c r="AH76" i="3"/>
  <c r="T84" i="3"/>
  <c r="AN83" i="3"/>
  <c r="AL50" i="3"/>
  <c r="O55" i="3"/>
  <c r="W61" i="3"/>
  <c r="M93" i="3"/>
  <c r="Z85" i="3"/>
  <c r="W82" i="3"/>
  <c r="P76" i="3"/>
  <c r="T69" i="3"/>
  <c r="H49" i="3"/>
  <c r="AM76" i="3"/>
  <c r="H86" i="3"/>
  <c r="AE81" i="3"/>
  <c r="AL78" i="3"/>
  <c r="AN73" i="3"/>
  <c r="AO90" i="3"/>
  <c r="R94" i="3"/>
  <c r="AL59" i="3"/>
  <c r="Y57" i="3"/>
  <c r="AE80" i="3"/>
  <c r="AJ85" i="3"/>
  <c r="V95" i="3"/>
  <c r="H66" i="3"/>
  <c r="AJ84" i="3"/>
  <c r="W70" i="3"/>
  <c r="AG77" i="3"/>
  <c r="U56" i="3"/>
  <c r="AH68" i="3"/>
  <c r="N95" i="3"/>
  <c r="AN65" i="3"/>
  <c r="AK71" i="3"/>
  <c r="M58" i="3"/>
  <c r="O65" i="3"/>
  <c r="AN81" i="3"/>
  <c r="S90" i="3"/>
  <c r="AH95" i="3"/>
  <c r="Q83" i="3"/>
  <c r="L55" i="3"/>
  <c r="AN57" i="3"/>
  <c r="AM94" i="3"/>
  <c r="I91" i="3"/>
  <c r="AL80" i="3"/>
  <c r="H83" i="3"/>
  <c r="X64" i="3"/>
  <c r="U70" i="3"/>
  <c r="AC89" i="3"/>
  <c r="I59" i="3"/>
  <c r="Q59" i="3"/>
  <c r="AH91" i="3"/>
  <c r="I90" i="3"/>
  <c r="S50" i="3"/>
  <c r="O87" i="3"/>
  <c r="W55" i="3"/>
  <c r="R61" i="3"/>
  <c r="J89" i="3"/>
  <c r="M81" i="3"/>
  <c r="M82" i="3"/>
  <c r="AJ94" i="3"/>
  <c r="Z75" i="3"/>
  <c r="N67" i="3"/>
  <c r="AE91" i="3"/>
  <c r="R59" i="3"/>
  <c r="T60" i="3"/>
  <c r="K66" i="3"/>
  <c r="M70" i="3"/>
  <c r="T85" i="3"/>
  <c r="U49" i="3"/>
  <c r="O76" i="3"/>
  <c r="X83" i="3"/>
  <c r="AI68" i="3"/>
  <c r="Q64" i="3"/>
  <c r="J85" i="3"/>
  <c r="AO50" i="3"/>
  <c r="AL93" i="3"/>
  <c r="M92" i="3"/>
  <c r="H85" i="3"/>
  <c r="Q68" i="3"/>
  <c r="AJ75" i="3"/>
  <c r="S76" i="3"/>
  <c r="AO78" i="3"/>
  <c r="I55" i="3"/>
  <c r="N64" i="3"/>
  <c r="Q93" i="3"/>
  <c r="Y82" i="3"/>
  <c r="AO91" i="3"/>
  <c r="J56" i="3"/>
  <c r="W56" i="3"/>
  <c r="AH64" i="3"/>
  <c r="I77" i="3"/>
  <c r="X49" i="3"/>
  <c r="AO58" i="3"/>
  <c r="AJ66" i="3"/>
  <c r="V61" i="3"/>
  <c r="AM56" i="3"/>
  <c r="Q89" i="3"/>
  <c r="U93" i="3"/>
  <c r="T93" i="3"/>
  <c r="K72" i="3"/>
  <c r="Y63" i="3"/>
  <c r="Y80" i="3"/>
  <c r="AK80" i="3"/>
  <c r="T65" i="3"/>
  <c r="Z89" i="3"/>
  <c r="H65" i="3"/>
  <c r="AC67" i="3"/>
  <c r="U92" i="3"/>
  <c r="AA72" i="3"/>
  <c r="AM71" i="3"/>
  <c r="Y56" i="3"/>
  <c r="V85" i="3"/>
  <c r="AM74" i="3"/>
  <c r="S82" i="3"/>
  <c r="V84" i="3"/>
  <c r="N49" i="3"/>
  <c r="AC78" i="3"/>
  <c r="AJ97" i="3"/>
  <c r="AO67" i="3"/>
  <c r="J47" i="3"/>
  <c r="S49" i="3"/>
  <c r="AQ55" i="3"/>
  <c r="Y97" i="3"/>
  <c r="O93" i="3"/>
  <c r="R96" i="3"/>
  <c r="J58" i="3"/>
  <c r="Z92" i="3"/>
  <c r="AO48" i="3"/>
  <c r="Z88" i="3"/>
  <c r="Y85" i="3"/>
  <c r="H61" i="3"/>
  <c r="Q63" i="3"/>
  <c r="R76" i="3"/>
  <c r="AG97" i="3"/>
  <c r="AQ63" i="3"/>
  <c r="Q96" i="3"/>
  <c r="AN74" i="3"/>
  <c r="AK57" i="3"/>
  <c r="M71" i="3"/>
  <c r="AA54" i="3"/>
  <c r="AQ76" i="3"/>
  <c r="Q91" i="3"/>
  <c r="M68" i="3"/>
  <c r="AQ49" i="3"/>
  <c r="V74" i="3"/>
  <c r="AC68" i="3"/>
  <c r="R91" i="3"/>
  <c r="N58" i="3"/>
  <c r="P91" i="3"/>
  <c r="AK75" i="3"/>
  <c r="Q65" i="3"/>
  <c r="AE77" i="3"/>
  <c r="V89" i="3"/>
  <c r="L87" i="3"/>
  <c r="AQ89" i="3"/>
  <c r="R81" i="3"/>
  <c r="Z91" i="3"/>
  <c r="P86" i="3"/>
  <c r="AM97" i="3"/>
  <c r="AC90" i="3"/>
  <c r="Y65" i="3"/>
  <c r="R65" i="3"/>
  <c r="AE75" i="3"/>
  <c r="U64" i="3"/>
  <c r="AE88" i="3"/>
  <c r="J88" i="3"/>
  <c r="AC54" i="3"/>
  <c r="R50" i="3"/>
  <c r="Z80" i="3"/>
  <c r="K90" i="3"/>
  <c r="S80" i="3"/>
  <c r="AH89" i="3"/>
  <c r="AG96" i="3"/>
  <c r="AA69" i="3"/>
  <c r="AK78" i="3"/>
  <c r="P64" i="3"/>
  <c r="AI67" i="3"/>
  <c r="AQ71" i="3"/>
  <c r="R97" i="3"/>
  <c r="AJ88" i="3"/>
  <c r="Z57" i="3"/>
  <c r="H58" i="3"/>
  <c r="S73" i="3"/>
  <c r="S69" i="3"/>
  <c r="AO82" i="3"/>
  <c r="AO84" i="3"/>
  <c r="U57" i="3"/>
  <c r="AI94" i="3"/>
  <c r="V72" i="3"/>
  <c r="I93" i="3"/>
  <c r="AH79" i="3"/>
  <c r="AM67" i="3"/>
  <c r="AK89" i="3"/>
  <c r="H70" i="3"/>
  <c r="H96" i="3"/>
  <c r="AO68" i="3"/>
  <c r="Y91" i="3"/>
  <c r="J59" i="3"/>
  <c r="AH87" i="3"/>
  <c r="AE69" i="3"/>
  <c r="AI96" i="3"/>
  <c r="V50" i="3"/>
  <c r="AJ95" i="3"/>
  <c r="AH71" i="3"/>
  <c r="AC69" i="3"/>
  <c r="AK56" i="3"/>
  <c r="J66" i="3"/>
  <c r="X81" i="3"/>
  <c r="H79" i="3"/>
  <c r="W74" i="3"/>
  <c r="X50" i="3"/>
  <c r="AH90" i="3"/>
  <c r="W67" i="3"/>
  <c r="AK95" i="3"/>
  <c r="AE93" i="3"/>
  <c r="Z55" i="3"/>
  <c r="AQ73" i="3"/>
  <c r="I75" i="3"/>
  <c r="AM47" i="3"/>
  <c r="V57" i="3"/>
  <c r="AG67" i="3"/>
  <c r="W64" i="3"/>
  <c r="AM69" i="3"/>
  <c r="N82" i="3"/>
  <c r="AA64" i="3"/>
  <c r="J78" i="3"/>
  <c r="K69" i="3"/>
  <c r="T71" i="3"/>
  <c r="J93" i="3"/>
  <c r="AE63" i="3"/>
  <c r="L70" i="3"/>
  <c r="S55" i="3"/>
  <c r="AN69" i="3"/>
  <c r="X78" i="3"/>
  <c r="AQ65" i="3"/>
  <c r="T72" i="3"/>
  <c r="AO54" i="3"/>
  <c r="AJ91" i="3"/>
  <c r="M89" i="3"/>
  <c r="Z50" i="3"/>
  <c r="Z94" i="3"/>
  <c r="L72" i="3"/>
  <c r="S94" i="3"/>
  <c r="AC93" i="3"/>
  <c r="Z77" i="3"/>
  <c r="AC96" i="3"/>
  <c r="P49" i="3"/>
  <c r="X48" i="3"/>
  <c r="AA68" i="3"/>
  <c r="L74" i="3"/>
  <c r="T82" i="3"/>
  <c r="AJ92" i="3"/>
  <c r="I83" i="3"/>
  <c r="U78" i="3"/>
  <c r="X57" i="3"/>
  <c r="U88" i="3"/>
  <c r="AK62" i="3"/>
  <c r="AC91" i="3"/>
  <c r="Q50" i="3"/>
  <c r="P74" i="3"/>
  <c r="Y50" i="3"/>
  <c r="H82" i="3"/>
  <c r="AM78" i="3"/>
  <c r="O75" i="3"/>
  <c r="AG65" i="3"/>
  <c r="K68" i="3"/>
  <c r="K57" i="3"/>
  <c r="X62" i="3"/>
  <c r="N68" i="3"/>
  <c r="AO97" i="3"/>
  <c r="T67" i="3"/>
  <c r="L54" i="3"/>
  <c r="AE57" i="3"/>
  <c r="T90" i="3"/>
  <c r="AK91" i="3"/>
  <c r="O85" i="3"/>
  <c r="M90" i="3"/>
  <c r="W63" i="3"/>
  <c r="Y67" i="3"/>
  <c r="O92" i="3"/>
  <c r="AE84" i="3"/>
  <c r="Y96" i="3"/>
  <c r="AK93" i="3"/>
  <c r="Z58" i="3"/>
  <c r="X94" i="3"/>
  <c r="L62" i="3"/>
  <c r="Q94" i="3"/>
  <c r="K92" i="3"/>
  <c r="AH50" i="3"/>
  <c r="U95" i="3"/>
  <c r="AK96" i="3"/>
  <c r="AA87" i="3"/>
  <c r="Q74" i="3"/>
  <c r="P84" i="3"/>
  <c r="S65" i="3"/>
  <c r="X56" i="3"/>
  <c r="AH94" i="3"/>
  <c r="AO92" i="3"/>
  <c r="S95" i="3"/>
  <c r="L84" i="3"/>
  <c r="AA70" i="3"/>
  <c r="AJ72" i="3"/>
  <c r="Y94" i="3"/>
  <c r="AI56" i="3"/>
  <c r="AI58" i="3"/>
  <c r="T49" i="3"/>
  <c r="AG58" i="3"/>
  <c r="AI63" i="3"/>
  <c r="U67" i="3"/>
  <c r="H74" i="3"/>
  <c r="AO95" i="3"/>
  <c r="AN66" i="3"/>
  <c r="N92" i="3"/>
  <c r="AI90" i="3"/>
  <c r="AO73" i="3"/>
  <c r="K86" i="3"/>
  <c r="AL85" i="3"/>
  <c r="AI77" i="3"/>
  <c r="AC63" i="3"/>
  <c r="AQ75" i="3"/>
  <c r="M47" i="3"/>
  <c r="U65" i="3"/>
  <c r="AE92" i="3"/>
  <c r="K59" i="3"/>
  <c r="P93" i="3"/>
  <c r="U77" i="3"/>
  <c r="AC70" i="3"/>
  <c r="P97" i="3"/>
  <c r="S86" i="3"/>
  <c r="AM82" i="3"/>
  <c r="N78" i="3"/>
  <c r="AA80" i="3"/>
  <c r="L73" i="3"/>
  <c r="X55" i="3"/>
  <c r="Z83" i="3"/>
  <c r="AL54" i="3"/>
  <c r="AO96" i="3"/>
  <c r="AQ67" i="3"/>
  <c r="AO65" i="3"/>
  <c r="I88" i="3"/>
  <c r="AK55" i="3"/>
  <c r="AK64" i="3"/>
  <c r="Q92" i="3"/>
  <c r="AJ68" i="3"/>
  <c r="AE61" i="3"/>
  <c r="N62" i="3"/>
  <c r="U96" i="3"/>
  <c r="J82" i="3"/>
  <c r="I96" i="3"/>
  <c r="Z79" i="3"/>
  <c r="S89" i="3"/>
  <c r="I94" i="3"/>
  <c r="AG72" i="3"/>
  <c r="N60" i="3"/>
  <c r="AM70" i="3"/>
  <c r="L85" i="3"/>
  <c r="AN93" i="3"/>
  <c r="AN55" i="3"/>
  <c r="H56" i="3"/>
  <c r="V68" i="3"/>
  <c r="AE76" i="3"/>
  <c r="AC92" i="3"/>
  <c r="AL58" i="3"/>
  <c r="AI92" i="3"/>
  <c r="AL70" i="3"/>
  <c r="M63" i="3"/>
  <c r="P63" i="3"/>
  <c r="H68" i="3"/>
  <c r="Q82" i="3"/>
  <c r="I97" i="3"/>
  <c r="J49" i="3"/>
  <c r="W71" i="3"/>
  <c r="W95" i="3"/>
  <c r="AJ89" i="3"/>
  <c r="M96" i="3"/>
  <c r="S96" i="3"/>
  <c r="K60" i="3"/>
  <c r="T95" i="3"/>
  <c r="AO60" i="3"/>
  <c r="AH80" i="3"/>
  <c r="AI59" i="3"/>
  <c r="AM79" i="3"/>
  <c r="V90" i="3"/>
  <c r="T68" i="3"/>
  <c r="AQ93" i="3"/>
  <c r="H69" i="3"/>
  <c r="AQ78" i="3"/>
  <c r="AH55" i="3"/>
  <c r="Q73" i="3"/>
  <c r="AH69" i="3"/>
  <c r="J74" i="3"/>
  <c r="P56" i="3"/>
  <c r="Q66" i="3"/>
  <c r="V88" i="3"/>
  <c r="AJ67" i="3"/>
  <c r="AL89" i="3"/>
  <c r="H47" i="3"/>
  <c r="AQ58" i="3"/>
  <c r="J90" i="3"/>
  <c r="N91" i="3"/>
  <c r="AE90" i="3"/>
  <c r="J97" i="3"/>
  <c r="X76" i="3"/>
  <c r="AH58" i="3"/>
  <c r="U84" i="3"/>
  <c r="M74" i="3"/>
  <c r="AK68" i="3"/>
  <c r="O90" i="3"/>
  <c r="R47" i="3"/>
  <c r="O48" i="3"/>
  <c r="J69" i="3"/>
  <c r="AI47" i="3"/>
  <c r="AM75" i="3"/>
  <c r="AN58" i="3"/>
  <c r="AA74" i="3"/>
  <c r="P80" i="3"/>
  <c r="I84" i="3"/>
  <c r="AG55" i="3"/>
  <c r="J83" i="3"/>
  <c r="AE73" i="3"/>
  <c r="N96" i="3"/>
  <c r="AE65" i="3"/>
  <c r="J79" i="3"/>
  <c r="AH60" i="3"/>
  <c r="AC56" i="3"/>
  <c r="AO79" i="3"/>
  <c r="L97" i="3"/>
  <c r="AO93" i="3"/>
  <c r="N90" i="3"/>
  <c r="AJ56" i="3"/>
  <c r="AK79" i="3"/>
  <c r="I72" i="3"/>
  <c r="AL74" i="3"/>
  <c r="AK72" i="3"/>
  <c r="AC60" i="3"/>
  <c r="AK76" i="3"/>
  <c r="N94" i="3"/>
  <c r="V56" i="3"/>
  <c r="AN70" i="3"/>
  <c r="I64" i="3"/>
  <c r="U61" i="3"/>
  <c r="P78" i="3"/>
  <c r="AJ63" i="3"/>
  <c r="W68" i="3"/>
  <c r="S56" i="3"/>
  <c r="R72" i="3"/>
  <c r="O72" i="3"/>
  <c r="I50" i="3"/>
  <c r="H62" i="3"/>
  <c r="N47" i="3"/>
  <c r="U97" i="3"/>
  <c r="P68" i="3"/>
  <c r="R89" i="3"/>
  <c r="P57" i="3"/>
  <c r="AA50" i="3"/>
  <c r="Z78" i="3"/>
  <c r="K50" i="3"/>
  <c r="R92" i="3"/>
  <c r="L89" i="3"/>
  <c r="AG48" i="3"/>
  <c r="M55" i="3"/>
  <c r="AG50" i="3"/>
  <c r="AM73" i="3"/>
  <c r="AK47" i="3"/>
  <c r="AN56" i="3"/>
  <c r="AH54" i="3"/>
  <c r="AM84" i="3"/>
  <c r="O88" i="3"/>
  <c r="AC55" i="3"/>
  <c r="I56" i="3"/>
  <c r="J54" i="3"/>
  <c r="AL62" i="3"/>
  <c r="AA96" i="3"/>
  <c r="W60" i="3"/>
  <c r="AH86" i="3"/>
  <c r="I71" i="3"/>
  <c r="I85" i="3"/>
  <c r="O73" i="3"/>
  <c r="AQ69" i="3"/>
  <c r="U72" i="3"/>
  <c r="X87" i="3"/>
  <c r="AQ50" i="3"/>
  <c r="AM57" i="3"/>
  <c r="AI62" i="3"/>
  <c r="T81" i="3"/>
  <c r="AH47" i="3"/>
  <c r="J63" i="3"/>
  <c r="J55" i="3"/>
  <c r="AH78" i="3"/>
  <c r="Y77" i="3"/>
  <c r="AL57" i="3"/>
  <c r="R77" i="3"/>
  <c r="P60" i="3"/>
  <c r="W87" i="3"/>
  <c r="S97" i="3"/>
  <c r="R95" i="3"/>
  <c r="T79" i="3"/>
  <c r="Q54" i="3"/>
  <c r="Z67" i="3"/>
  <c r="Q84" i="3"/>
  <c r="T88" i="3"/>
  <c r="X66" i="3"/>
  <c r="U89" i="3"/>
  <c r="AA65" i="3"/>
  <c r="AE55" i="3"/>
  <c r="AC77" i="3"/>
  <c r="X93" i="3"/>
  <c r="U54" i="3"/>
  <c r="N73" i="3"/>
  <c r="AQ54" i="3"/>
  <c r="J64" i="3"/>
  <c r="R64" i="3"/>
  <c r="Q49" i="3"/>
  <c r="AO76" i="3"/>
  <c r="H90" i="3"/>
  <c r="AK77" i="3"/>
  <c r="AE72" i="3"/>
  <c r="U48" i="3"/>
  <c r="AQ87" i="3"/>
  <c r="Q72" i="3"/>
  <c r="L96" i="3"/>
  <c r="L48" i="3"/>
  <c r="Y59" i="3"/>
  <c r="K83" i="3"/>
  <c r="S67" i="3"/>
  <c r="K96" i="3"/>
  <c r="M77" i="3"/>
  <c r="S92" i="3"/>
  <c r="AM55" i="3"/>
  <c r="K70" i="3"/>
  <c r="AL48" i="3"/>
  <c r="S70" i="3"/>
  <c r="AN59" i="3"/>
  <c r="AG82" i="3"/>
  <c r="AN67" i="3"/>
  <c r="AG71" i="3"/>
  <c r="L59" i="3"/>
  <c r="M95" i="3"/>
  <c r="S87" i="3"/>
  <c r="I80" i="3"/>
  <c r="AA88" i="3"/>
  <c r="AI97" i="3"/>
  <c r="X89" i="3"/>
  <c r="AM88" i="3"/>
  <c r="Y87" i="3"/>
  <c r="N48" i="3"/>
  <c r="L93" i="3"/>
  <c r="L78" i="3"/>
  <c r="V47" i="3"/>
  <c r="N86" i="3"/>
  <c r="Y69" i="3"/>
  <c r="AJ82" i="3"/>
  <c r="Y90" i="3"/>
  <c r="AE97" i="3"/>
  <c r="L82" i="3"/>
  <c r="X54" i="3"/>
  <c r="AG49" i="3"/>
  <c r="AC86" i="3"/>
  <c r="Q71" i="3"/>
  <c r="M60" i="3"/>
  <c r="O86" i="3"/>
  <c r="AN94" i="3"/>
  <c r="I54" i="3"/>
  <c r="AG95" i="3"/>
  <c r="Z65" i="3"/>
  <c r="V67" i="3"/>
  <c r="AM64" i="3"/>
  <c r="AL79" i="3"/>
  <c r="AQ60" i="3"/>
  <c r="S83" i="3"/>
  <c r="N97" i="3"/>
  <c r="Z68" i="3"/>
  <c r="AE58" i="3"/>
  <c r="M78" i="3"/>
  <c r="AH59" i="3"/>
  <c r="M94" i="3"/>
  <c r="AN90" i="3"/>
  <c r="AH66" i="3"/>
  <c r="O71" i="3"/>
  <c r="AN62" i="3"/>
  <c r="AI57" i="3"/>
  <c r="AA91" i="3"/>
  <c r="O95" i="3"/>
  <c r="J48" i="3"/>
  <c r="AC76" i="3"/>
  <c r="U66" i="3"/>
  <c r="AH48" i="3"/>
  <c r="O74" i="3"/>
  <c r="O84" i="3"/>
  <c r="AG47" i="3"/>
  <c r="Y88" i="3"/>
  <c r="V71" i="3"/>
  <c r="AI83" i="3"/>
  <c r="AA48" i="3"/>
  <c r="P67" i="3"/>
  <c r="L76" i="3"/>
  <c r="X61" i="3"/>
  <c r="K78" i="3"/>
  <c r="H73" i="3"/>
  <c r="R90" i="3"/>
  <c r="AG80" i="3"/>
  <c r="AA58" i="3"/>
  <c r="AJ57" i="3"/>
  <c r="AC73" i="3"/>
  <c r="I68" i="3"/>
  <c r="P94" i="3"/>
  <c r="AN82" i="3"/>
  <c r="AJ64" i="3"/>
  <c r="M79" i="3"/>
  <c r="AI70" i="3"/>
  <c r="AH72" i="3"/>
  <c r="K77" i="3"/>
  <c r="AQ80" i="3"/>
  <c r="AE50" i="3"/>
  <c r="AI80" i="3"/>
  <c r="AN54" i="3"/>
  <c r="T57" i="3"/>
  <c r="X84" i="3"/>
  <c r="V48" i="3"/>
  <c r="P89" i="3"/>
  <c r="W58" i="3"/>
  <c r="AI86" i="3"/>
  <c r="AE86" i="3"/>
  <c r="X85" i="3"/>
  <c r="AN68" i="3"/>
  <c r="AA66" i="3"/>
  <c r="AG69" i="3"/>
  <c r="S68" i="3"/>
  <c r="AM59" i="3"/>
  <c r="AG93" i="3"/>
  <c r="N87" i="3"/>
  <c r="AJ93" i="3"/>
  <c r="U87" i="3"/>
  <c r="AI91" i="3"/>
  <c r="AE82" i="3"/>
  <c r="Y75" i="3"/>
  <c r="AM93" i="3"/>
  <c r="V65" i="3"/>
  <c r="T97" i="3"/>
  <c r="AI72" i="3"/>
  <c r="AL81" i="3"/>
  <c r="W90" i="3"/>
  <c r="AJ71" i="3"/>
  <c r="N55" i="3"/>
  <c r="P71" i="3"/>
  <c r="AG68" i="3"/>
  <c r="V82" i="3"/>
  <c r="W72" i="3"/>
  <c r="U75" i="3"/>
  <c r="AA62" i="3"/>
  <c r="R85" i="3"/>
  <c r="R57" i="3"/>
  <c r="T61" i="3"/>
  <c r="AN97" i="3"/>
  <c r="T76" i="3"/>
  <c r="J72" i="3"/>
  <c r="U62" i="3"/>
  <c r="Q62" i="3"/>
  <c r="J71" i="3"/>
  <c r="AH65" i="3"/>
  <c r="AM54" i="3"/>
  <c r="AA84" i="3"/>
  <c r="L68" i="3"/>
  <c r="U68" i="3"/>
  <c r="AL87" i="3"/>
  <c r="K97" i="3"/>
  <c r="AM66" i="3"/>
  <c r="V70" i="3"/>
  <c r="K84" i="3"/>
  <c r="AA78" i="3"/>
  <c r="AH97" i="3"/>
  <c r="H55" i="3"/>
  <c r="H75" i="3"/>
  <c r="J95" i="3"/>
  <c r="W78" i="3"/>
  <c r="T74" i="3"/>
  <c r="H87" i="3"/>
  <c r="W92" i="3"/>
  <c r="AH62" i="3"/>
  <c r="AI55" i="3"/>
  <c r="O68" i="3"/>
  <c r="S91" i="3"/>
  <c r="W79" i="3"/>
  <c r="AK65" i="3"/>
  <c r="AN89" i="3"/>
  <c r="AI84" i="3"/>
  <c r="AG73" i="3"/>
  <c r="Z64" i="3"/>
  <c r="AG56" i="3"/>
  <c r="H84" i="3"/>
  <c r="AJ47" i="3"/>
  <c r="K91" i="3"/>
  <c r="AJ69" i="3"/>
  <c r="I78" i="3"/>
  <c r="AH84" i="3"/>
  <c r="N61" i="3"/>
  <c r="AA95" i="3"/>
  <c r="S85" i="3"/>
  <c r="P88" i="3"/>
  <c r="AG70" i="3"/>
  <c r="AE56" i="3"/>
  <c r="AA63" i="3"/>
  <c r="R49" i="3"/>
  <c r="J84" i="3"/>
  <c r="J73" i="3"/>
  <c r="AE54" i="3"/>
  <c r="P58" i="3"/>
  <c r="P87" i="3"/>
  <c r="K63" i="3"/>
  <c r="AJ70" i="3"/>
  <c r="AN72" i="3"/>
  <c r="AM62" i="3"/>
  <c r="J77" i="3"/>
  <c r="AN84" i="3"/>
  <c r="M66" i="3"/>
  <c r="J94" i="3"/>
  <c r="AL86" i="3"/>
  <c r="P73" i="3"/>
  <c r="Z93" i="3"/>
  <c r="K75" i="3"/>
  <c r="V49" i="3"/>
  <c r="AI61" i="3"/>
  <c r="Q57" i="3"/>
  <c r="AH57" i="3"/>
  <c r="X88" i="3"/>
  <c r="X82" i="3"/>
  <c r="O79" i="3"/>
  <c r="AO61" i="3"/>
  <c r="N75" i="3"/>
  <c r="AJ80" i="3"/>
  <c r="O80" i="3"/>
  <c r="L61" i="3"/>
  <c r="U47" i="3"/>
  <c r="AG75" i="3"/>
  <c r="AK61" i="3"/>
  <c r="O91" i="3"/>
  <c r="M49" i="3"/>
  <c r="AO47" i="3"/>
  <c r="W88" i="3"/>
  <c r="H48" i="3"/>
  <c r="I47" i="3"/>
  <c r="AA57" i="3"/>
  <c r="W66" i="3"/>
  <c r="R58" i="3"/>
  <c r="P90" i="3"/>
  <c r="AG78" i="3"/>
  <c r="Y66" i="3"/>
  <c r="Z71" i="3"/>
  <c r="O54" i="3"/>
  <c r="R48" i="3"/>
  <c r="S88" i="3"/>
  <c r="AK83" i="3"/>
  <c r="AA61" i="3"/>
  <c r="R75" i="3"/>
  <c r="P83" i="3"/>
  <c r="X95" i="3"/>
  <c r="I82" i="3"/>
  <c r="V59" i="3"/>
  <c r="AG89" i="3"/>
  <c r="H59" i="3"/>
  <c r="K76" i="3"/>
  <c r="U71" i="3"/>
  <c r="Z54" i="3"/>
  <c r="AI76" i="3"/>
  <c r="AM86" i="3"/>
  <c r="Y86" i="3"/>
  <c r="AI66" i="3"/>
  <c r="K73" i="3"/>
  <c r="K87" i="3"/>
  <c r="AO55" i="3"/>
  <c r="AO57" i="3"/>
  <c r="O78" i="3"/>
  <c r="AL60" i="3"/>
  <c r="I76" i="3"/>
  <c r="AA47" i="3"/>
  <c r="O50" i="3"/>
  <c r="AI82" i="3"/>
  <c r="AI81" i="3"/>
  <c r="AA75" i="3"/>
  <c r="AL66" i="3"/>
  <c r="M59" i="3"/>
  <c r="K89" i="3"/>
  <c r="AA85" i="3"/>
  <c r="O64" i="3"/>
  <c r="V73" i="3"/>
  <c r="AL61" i="3"/>
  <c r="K54" i="3"/>
  <c r="J60" i="3"/>
  <c r="AJ50" i="3"/>
  <c r="N89" i="3"/>
  <c r="J75" i="3"/>
  <c r="P72" i="3"/>
  <c r="Z97" i="3"/>
  <c r="AN91" i="3"/>
  <c r="AN47" i="3"/>
  <c r="AC65" i="3"/>
  <c r="M61" i="3"/>
  <c r="I81" i="3"/>
  <c r="L56" i="3"/>
  <c r="U85" i="3"/>
  <c r="Y79" i="3"/>
  <c r="L60" i="3"/>
  <c r="AC87" i="3"/>
  <c r="AL69" i="3"/>
  <c r="AC85" i="3"/>
  <c r="R82" i="3"/>
  <c r="AA97" i="3"/>
  <c r="AH74" i="3"/>
  <c r="AE74" i="3"/>
  <c r="W84" i="3"/>
  <c r="AC97" i="3"/>
  <c r="Y70" i="3"/>
  <c r="H71" i="3"/>
  <c r="AO72" i="3"/>
  <c r="T92" i="3"/>
  <c r="AA94" i="3"/>
  <c r="AH63" i="3"/>
  <c r="V93" i="3"/>
  <c r="L91" i="3"/>
  <c r="W73" i="3"/>
  <c r="T55" i="3"/>
  <c r="AC94" i="3"/>
  <c r="V60" i="3"/>
  <c r="N72" i="3"/>
  <c r="L67" i="3"/>
  <c r="AG81" i="3"/>
  <c r="AI93" i="3"/>
  <c r="Y49" i="3"/>
  <c r="AE48" i="3"/>
  <c r="W91" i="3"/>
  <c r="AC62" i="3"/>
  <c r="X69" i="3"/>
  <c r="AO59" i="3"/>
  <c r="AL63" i="3"/>
  <c r="V63" i="3"/>
  <c r="AI73" i="3"/>
  <c r="T64" i="3"/>
  <c r="AL92" i="3"/>
  <c r="H95" i="3"/>
  <c r="AK50" i="3"/>
  <c r="J62" i="3"/>
  <c r="AM95" i="3"/>
  <c r="S64" i="3"/>
  <c r="I63" i="3"/>
  <c r="K71" i="3"/>
  <c r="I67" i="3"/>
  <c r="AA81" i="3"/>
  <c r="K49" i="3"/>
  <c r="M97" i="3"/>
  <c r="M87" i="3"/>
  <c r="T80" i="3"/>
  <c r="Z87" i="3"/>
  <c r="O97" i="3"/>
  <c r="W93" i="3"/>
  <c r="AK88" i="3"/>
  <c r="S66" i="3"/>
  <c r="AL91" i="3"/>
  <c r="AC72" i="3"/>
  <c r="Q79" i="3"/>
  <c r="AE60" i="3"/>
  <c r="R79" i="3"/>
  <c r="AN64" i="3"/>
  <c r="V54" i="3"/>
  <c r="R62" i="3"/>
  <c r="Q67" i="3"/>
  <c r="AE78" i="3"/>
  <c r="AC66" i="3"/>
  <c r="AN48" i="3"/>
  <c r="AO71" i="3"/>
  <c r="U58" i="3"/>
  <c r="AK54" i="3"/>
  <c r="Y61" i="3"/>
  <c r="X80" i="3"/>
  <c r="U94" i="3"/>
  <c r="O70" i="3"/>
  <c r="Y60" i="3"/>
  <c r="Y48" i="3"/>
  <c r="R78" i="3"/>
  <c r="P66" i="3"/>
  <c r="U91" i="3"/>
  <c r="Y71" i="3"/>
  <c r="AE67" i="3"/>
  <c r="K80" i="3"/>
  <c r="V97" i="3"/>
  <c r="AA83" i="3"/>
  <c r="AI64" i="3"/>
  <c r="AN96" i="3"/>
  <c r="AK48" i="3"/>
  <c r="H77" i="3"/>
  <c r="Q55" i="3"/>
  <c r="V64" i="3"/>
  <c r="Q61" i="3"/>
  <c r="X68" i="3"/>
  <c r="Y93" i="3"/>
  <c r="AN63" i="3"/>
  <c r="W97" i="3"/>
  <c r="AK60" i="3"/>
  <c r="Z73" i="3"/>
  <c r="R70" i="3"/>
  <c r="L47" i="3"/>
  <c r="W69" i="3"/>
  <c r="R71" i="3"/>
  <c r="P70" i="3"/>
  <c r="AL49" i="3"/>
  <c r="U90" i="3"/>
  <c r="J96" i="3"/>
  <c r="AO94" i="3"/>
  <c r="J68" i="3"/>
  <c r="AG64" i="3"/>
  <c r="H64" i="3"/>
  <c r="U63" i="3"/>
  <c r="AG92" i="3"/>
  <c r="AA71" i="3"/>
  <c r="R60" i="3"/>
  <c r="Z66" i="3"/>
  <c r="T87" i="3"/>
  <c r="N63" i="3"/>
  <c r="AJ73" i="3"/>
  <c r="P92" i="3"/>
  <c r="V80" i="3"/>
  <c r="AC95" i="3"/>
  <c r="Q56" i="3"/>
  <c r="AH67" i="3"/>
  <c r="AH81" i="3"/>
  <c r="AQ90" i="3"/>
  <c r="AJ78" i="3"/>
  <c r="AO87" i="3"/>
  <c r="AJ90" i="3"/>
  <c r="V91" i="3"/>
  <c r="AC79" i="3"/>
  <c r="R66" i="3"/>
  <c r="H88" i="3"/>
  <c r="AG88" i="3"/>
  <c r="AQ59" i="3"/>
  <c r="AK67" i="3"/>
  <c r="AK87" i="3"/>
  <c r="AI48" i="3"/>
  <c r="AI78" i="3"/>
  <c r="N59" i="3"/>
  <c r="L90" i="3"/>
  <c r="X77" i="3"/>
  <c r="X75" i="3"/>
  <c r="AC64" i="3"/>
  <c r="P85" i="3"/>
  <c r="P59" i="3"/>
  <c r="X59" i="3"/>
  <c r="AM87" i="3"/>
  <c r="AL95" i="3"/>
  <c r="AC80" i="3"/>
  <c r="H60" i="3"/>
  <c r="Z72" i="3"/>
  <c r="AA92" i="3"/>
  <c r="W59" i="3"/>
  <c r="I48" i="3"/>
  <c r="AE68" i="3"/>
  <c r="AJ59" i="3"/>
  <c r="M72" i="3"/>
  <c r="P47" i="3"/>
  <c r="AK94" i="3"/>
  <c r="AE85" i="3"/>
  <c r="Y84" i="3"/>
  <c r="AI87" i="3"/>
  <c r="Z48" i="3"/>
  <c r="X65" i="3"/>
  <c r="L79" i="3"/>
  <c r="M88" i="3"/>
  <c r="AG91" i="3"/>
  <c r="V66" i="3"/>
  <c r="AQ70" i="3"/>
  <c r="I73" i="3"/>
  <c r="W96" i="3"/>
  <c r="I57" i="3"/>
  <c r="P62" i="3"/>
  <c r="M91" i="3"/>
  <c r="R84" i="3"/>
  <c r="P79" i="3"/>
  <c r="S59" i="3"/>
  <c r="AQ81" i="3"/>
  <c r="AO89" i="3"/>
  <c r="AJ55" i="3"/>
  <c r="U83" i="3"/>
  <c r="I74" i="3"/>
  <c r="N93" i="3"/>
  <c r="L57" i="3"/>
  <c r="AA55" i="3"/>
  <c r="R86" i="3"/>
  <c r="H72" i="3"/>
  <c r="K61" i="3"/>
  <c r="AE66" i="3"/>
  <c r="U76" i="3"/>
  <c r="N57" i="3"/>
  <c r="I89" i="3"/>
  <c r="Z62" i="3"/>
  <c r="L81" i="3"/>
  <c r="AQ74" i="3"/>
  <c r="Y54" i="3"/>
  <c r="AQ86" i="3"/>
  <c r="L86" i="3"/>
  <c r="AG66" i="3"/>
  <c r="Z61" i="3"/>
  <c r="AE64" i="3"/>
  <c r="AJ96" i="3"/>
  <c r="AL56" i="3"/>
  <c r="AO77" i="3"/>
  <c r="AN79" i="3"/>
  <c r="AL65" i="3"/>
  <c r="N65" i="3"/>
  <c r="AK66" i="3"/>
  <c r="AM85" i="3"/>
  <c r="AK90" i="3"/>
  <c r="R87" i="3"/>
  <c r="AO56" i="3"/>
  <c r="U55" i="3"/>
  <c r="AK92" i="3"/>
  <c r="W77" i="3"/>
  <c r="R63" i="3"/>
  <c r="M86" i="3"/>
  <c r="S61" i="3"/>
  <c r="K81" i="3"/>
  <c r="N74" i="3"/>
  <c r="Z95" i="3"/>
  <c r="S62" i="3"/>
  <c r="L71" i="3"/>
  <c r="K95" i="3"/>
  <c r="AM65" i="3"/>
  <c r="Z96" i="3"/>
  <c r="O60" i="3"/>
  <c r="J87" i="3"/>
  <c r="R88" i="3"/>
  <c r="R69" i="3"/>
  <c r="AI60" i="3"/>
  <c r="AQ56" i="3"/>
  <c r="AA60" i="3"/>
  <c r="L50" i="3"/>
  <c r="AO85" i="3"/>
  <c r="Q87" i="3"/>
  <c r="AL83" i="3"/>
  <c r="I92" i="3"/>
  <c r="Q47" i="3"/>
  <c r="U73" i="3"/>
  <c r="AC88" i="3"/>
  <c r="AE87" i="3"/>
  <c r="AO88" i="3"/>
  <c r="W76" i="3"/>
  <c r="AM80" i="3"/>
  <c r="N71" i="3"/>
  <c r="Q86" i="3"/>
  <c r="P50" i="3"/>
  <c r="AO62" i="3"/>
  <c r="S48" i="3"/>
  <c r="H67" i="3"/>
  <c r="AA82" i="3"/>
  <c r="P61" i="3"/>
  <c r="R54" i="3"/>
  <c r="O63" i="3"/>
  <c r="W89" i="3"/>
  <c r="AQ82" i="3"/>
  <c r="AE83" i="3"/>
  <c r="AA86" i="3"/>
  <c r="S60" i="3"/>
  <c r="S75" i="3"/>
  <c r="X60" i="3"/>
  <c r="AI75" i="3"/>
  <c r="AK85" i="3"/>
  <c r="AJ65" i="3"/>
  <c r="O57" i="3"/>
  <c r="AL68" i="3"/>
  <c r="W50" i="3"/>
  <c r="H80" i="3"/>
  <c r="N84" i="3"/>
  <c r="AJ79" i="3"/>
  <c r="AK59" i="3"/>
  <c r="AH61" i="3"/>
  <c r="AQ48" i="3"/>
  <c r="AK49" i="3"/>
  <c r="AQ85" i="3"/>
  <c r="W85" i="3"/>
  <c r="L92" i="3"/>
  <c r="AK81" i="3"/>
  <c r="AQ61" i="3"/>
  <c r="O56" i="3"/>
  <c r="M73" i="3"/>
  <c r="AG79" i="3"/>
  <c r="AM77" i="3"/>
  <c r="AQ83" i="3"/>
  <c r="AK63" i="3"/>
  <c r="X71" i="3"/>
  <c r="AO66" i="3"/>
  <c r="AH83" i="3"/>
  <c r="AQ96" i="3"/>
  <c r="M83" i="3"/>
  <c r="K56" i="3"/>
  <c r="R67" i="3"/>
  <c r="Z74" i="3"/>
  <c r="Z84" i="3"/>
  <c r="M50" i="3"/>
  <c r="S78" i="3"/>
  <c r="AG63" i="3"/>
  <c r="AL82" i="3"/>
  <c r="AN50" i="3"/>
  <c r="AJ49" i="3"/>
  <c r="AM49" i="3"/>
  <c r="O69" i="3"/>
  <c r="O67" i="3"/>
  <c r="J50" i="3"/>
  <c r="P95" i="3"/>
  <c r="AN87" i="3"/>
  <c r="AN61" i="3"/>
  <c r="AH93" i="3"/>
  <c r="S84" i="3"/>
  <c r="L80" i="3"/>
  <c r="S72" i="3"/>
  <c r="AN86" i="3"/>
  <c r="AL71" i="3"/>
  <c r="V78" i="3"/>
  <c r="P65" i="3"/>
  <c r="AO86" i="3"/>
  <c r="T62" i="3"/>
  <c r="AO64" i="3"/>
  <c r="AH82" i="3"/>
  <c r="Q95" i="3"/>
  <c r="Q80" i="3"/>
  <c r="W86" i="3"/>
  <c r="R80" i="3"/>
  <c r="AE59" i="3"/>
  <c r="J57" i="3"/>
  <c r="N80" i="3"/>
  <c r="AM58" i="3"/>
  <c r="K93" i="3"/>
  <c r="X86" i="3"/>
  <c r="AJ81" i="3"/>
  <c r="AK69" i="3"/>
  <c r="AN71" i="3"/>
  <c r="M48" i="3"/>
  <c r="AQ72" i="3"/>
  <c r="N50" i="3"/>
  <c r="L63" i="3"/>
  <c r="AQ94" i="3"/>
  <c r="K55" i="3"/>
  <c r="AQ92" i="3"/>
  <c r="H92" i="3"/>
  <c r="S58" i="3"/>
  <c r="AH70" i="3"/>
  <c r="AI49" i="3"/>
  <c r="N70" i="3"/>
  <c r="Q90" i="3"/>
  <c r="AC71" i="3"/>
  <c r="AG83" i="3"/>
  <c r="M54" i="3"/>
  <c r="AA76" i="3"/>
  <c r="AJ54" i="3"/>
  <c r="AI95" i="3"/>
  <c r="Q58" i="3"/>
  <c r="N85" i="3"/>
  <c r="U60" i="3"/>
  <c r="AO81" i="3"/>
  <c r="AE47" i="3"/>
  <c r="Y89" i="3"/>
  <c r="AC48" i="3"/>
  <c r="W47" i="3"/>
  <c r="AG84" i="3"/>
  <c r="AC83" i="3"/>
  <c r="U74" i="3"/>
  <c r="AL77" i="3"/>
  <c r="T94" i="3"/>
  <c r="J86" i="3"/>
  <c r="AE70" i="3"/>
  <c r="Z81" i="3"/>
  <c r="AE95" i="3"/>
  <c r="I69" i="3"/>
  <c r="L49" i="3"/>
  <c r="V62" i="3"/>
  <c r="AA73" i="3"/>
  <c r="N161" i="1" l="1"/>
  <c r="O209" i="1" s="1"/>
  <c r="U161" i="1"/>
  <c r="P202" i="1"/>
  <c r="N120" i="1"/>
  <c r="N54" i="1" s="1"/>
  <c r="I161" i="1"/>
  <c r="J209" i="1" s="1"/>
  <c r="L120" i="1"/>
  <c r="O161" i="1"/>
  <c r="P209" i="1" s="1"/>
  <c r="C120" i="1"/>
  <c r="C175" i="1" s="1"/>
  <c r="B65" i="1"/>
  <c r="D120" i="1"/>
  <c r="R134" i="1"/>
  <c r="R138" i="1" s="1"/>
  <c r="S161" i="1"/>
  <c r="T209" i="1" s="1"/>
  <c r="Q202" i="1"/>
  <c r="M120" i="1"/>
  <c r="T202" i="1"/>
  <c r="D128" i="1"/>
  <c r="C202" i="1"/>
  <c r="O120" i="1"/>
  <c r="E120" i="1"/>
  <c r="E54" i="1" s="1"/>
  <c r="U148" i="1"/>
  <c r="U182" i="1" s="1"/>
  <c r="U181" i="1" s="1"/>
  <c r="C128" i="1"/>
  <c r="I148" i="1"/>
  <c r="I182" i="1" s="1"/>
  <c r="I181" i="1" s="1"/>
  <c r="F134" i="1"/>
  <c r="T161" i="1"/>
  <c r="U209" i="1" s="1"/>
  <c r="F128" i="1"/>
  <c r="F37" i="1" s="1"/>
  <c r="Q173" i="1"/>
  <c r="S202" i="1"/>
  <c r="N134" i="1"/>
  <c r="H120" i="1"/>
  <c r="L134" i="1"/>
  <c r="V161" i="1"/>
  <c r="W209" i="1" s="1"/>
  <c r="V202" i="1"/>
  <c r="M161" i="1"/>
  <c r="S173" i="1"/>
  <c r="B173" i="1"/>
  <c r="C134" i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R209" i="1" s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T185" i="1" s="1"/>
  <c r="T184" i="1" s="1"/>
  <c r="J156" i="1"/>
  <c r="E156" i="1"/>
  <c r="G156" i="1"/>
  <c r="O156" i="1"/>
  <c r="U156" i="1"/>
  <c r="L156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V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54" i="1"/>
  <c r="D175" i="1"/>
  <c r="BD10" i="1"/>
  <c r="BD253" i="1"/>
  <c r="BD231" i="1"/>
  <c r="BG98" i="1"/>
  <c r="BG99" i="1" s="1"/>
  <c r="AI203" i="1"/>
  <c r="AI201" i="1" s="1"/>
  <c r="AI26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N175" i="1" l="1"/>
  <c r="D207" i="1"/>
  <c r="T138" i="1"/>
  <c r="T246" i="1" s="1"/>
  <c r="C54" i="1"/>
  <c r="I168" i="1"/>
  <c r="I109" i="1" s="1"/>
  <c r="C207" i="1"/>
  <c r="L54" i="1"/>
  <c r="N248" i="1"/>
  <c r="C249" i="1"/>
  <c r="C251" i="1" s="1"/>
  <c r="L175" i="1"/>
  <c r="R33" i="1"/>
  <c r="AR134" i="1"/>
  <c r="AS33" i="1" s="1"/>
  <c r="R168" i="1"/>
  <c r="R109" i="1" s="1"/>
  <c r="U196" i="1"/>
  <c r="P196" i="1"/>
  <c r="T207" i="1"/>
  <c r="C129" i="1"/>
  <c r="C55" i="1" s="1"/>
  <c r="D249" i="1"/>
  <c r="D251" i="1" s="1"/>
  <c r="E206" i="1"/>
  <c r="O175" i="1"/>
  <c r="O207" i="1"/>
  <c r="O248" i="1"/>
  <c r="O54" i="1"/>
  <c r="M175" i="1"/>
  <c r="M54" i="1"/>
  <c r="M207" i="1"/>
  <c r="N207" i="1"/>
  <c r="D37" i="1"/>
  <c r="D129" i="1"/>
  <c r="D55" i="1" s="1"/>
  <c r="E175" i="1"/>
  <c r="E207" i="1"/>
  <c r="H54" i="1"/>
  <c r="H175" i="1"/>
  <c r="C37" i="1"/>
  <c r="D206" i="1"/>
  <c r="D205" i="1" s="1"/>
  <c r="P197" i="1"/>
  <c r="F33" i="1"/>
  <c r="F138" i="1"/>
  <c r="U197" i="1"/>
  <c r="E196" i="1"/>
  <c r="L33" i="1"/>
  <c r="L138" i="1"/>
  <c r="C138" i="1"/>
  <c r="C33" i="1"/>
  <c r="V37" i="1"/>
  <c r="V168" i="1"/>
  <c r="V109" i="1" s="1"/>
  <c r="S182" i="1"/>
  <c r="S181" i="1" s="1"/>
  <c r="S157" i="1"/>
  <c r="T54" i="1"/>
  <c r="T248" i="1"/>
  <c r="T175" i="1"/>
  <c r="I54" i="1"/>
  <c r="I248" i="1"/>
  <c r="I175" i="1"/>
  <c r="I207" i="1"/>
  <c r="S33" i="1"/>
  <c r="S138" i="1"/>
  <c r="S246" i="1" s="1"/>
  <c r="B138" i="1"/>
  <c r="B33" i="1"/>
  <c r="I209" i="1"/>
  <c r="H248" i="1"/>
  <c r="C108" i="1"/>
  <c r="C66" i="1"/>
  <c r="C107" i="1"/>
  <c r="S249" i="1"/>
  <c r="S251" i="1" s="1"/>
  <c r="S206" i="1"/>
  <c r="S168" i="1"/>
  <c r="S109" i="1" s="1"/>
  <c r="S37" i="1"/>
  <c r="S185" i="1"/>
  <c r="T197" i="1"/>
  <c r="G209" i="1"/>
  <c r="F168" i="1"/>
  <c r="F109" i="1" s="1"/>
  <c r="F248" i="1"/>
  <c r="F207" i="1"/>
  <c r="F54" i="1"/>
  <c r="F129" i="1"/>
  <c r="F55" i="1" s="1"/>
  <c r="F175" i="1"/>
  <c r="T168" i="1"/>
  <c r="T109" i="1" s="1"/>
  <c r="T206" i="1"/>
  <c r="U207" i="1"/>
  <c r="U54" i="1"/>
  <c r="J196" i="1"/>
  <c r="J182" i="1"/>
  <c r="J181" i="1" s="1"/>
  <c r="K196" i="1"/>
  <c r="R129" i="1"/>
  <c r="R55" i="1" s="1"/>
  <c r="R54" i="1"/>
  <c r="R175" i="1"/>
  <c r="H138" i="1"/>
  <c r="H33" i="1"/>
  <c r="S197" i="1"/>
  <c r="N138" i="1"/>
  <c r="N33" i="1"/>
  <c r="N209" i="1"/>
  <c r="M248" i="1"/>
  <c r="J138" i="1"/>
  <c r="J33" i="1"/>
  <c r="U138" i="1"/>
  <c r="U33" i="1"/>
  <c r="E209" i="1"/>
  <c r="D168" i="1"/>
  <c r="D109" i="1" s="1"/>
  <c r="D110" i="1" s="1"/>
  <c r="D113" i="1" s="1"/>
  <c r="D248" i="1"/>
  <c r="O129" i="1"/>
  <c r="O55" i="1" s="1"/>
  <c r="O206" i="1"/>
  <c r="F182" i="1"/>
  <c r="F157" i="1"/>
  <c r="G196" i="1"/>
  <c r="K209" i="1"/>
  <c r="J248" i="1"/>
  <c r="G175" i="1"/>
  <c r="G207" i="1"/>
  <c r="G54" i="1"/>
  <c r="H207" i="1"/>
  <c r="J249" i="1"/>
  <c r="J251" i="1" s="1"/>
  <c r="J37" i="1"/>
  <c r="J168" i="1"/>
  <c r="J109" i="1" s="1"/>
  <c r="J129" i="1"/>
  <c r="J55" i="1" s="1"/>
  <c r="D197" i="1"/>
  <c r="C157" i="1"/>
  <c r="H129" i="1"/>
  <c r="H55" i="1" s="1"/>
  <c r="H206" i="1"/>
  <c r="H205" i="1" s="1"/>
  <c r="H37" i="1"/>
  <c r="H168" i="1"/>
  <c r="H109" i="1" s="1"/>
  <c r="R207" i="1"/>
  <c r="Q248" i="1"/>
  <c r="E182" i="1"/>
  <c r="E181" i="1" s="1"/>
  <c r="F196" i="1"/>
  <c r="P138" i="1"/>
  <c r="P33" i="1"/>
  <c r="V249" i="1"/>
  <c r="V251" i="1" s="1"/>
  <c r="U249" i="1"/>
  <c r="U251" i="1" s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L129" i="1"/>
  <c r="L55" i="1" s="1"/>
  <c r="D185" i="1"/>
  <c r="E197" i="1"/>
  <c r="W138" i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4" i="1"/>
  <c r="BC103" i="1"/>
  <c r="O58" i="1"/>
  <c r="BF104" i="1"/>
  <c r="BF102" i="1"/>
  <c r="BB202" i="1"/>
  <c r="BA202" i="1"/>
  <c r="B68" i="1"/>
  <c r="B69" i="1"/>
  <c r="B87" i="1" s="1"/>
  <c r="BH95" i="1"/>
  <c r="BK27" i="1"/>
  <c r="AW27" i="1"/>
  <c r="AU103" i="1"/>
  <c r="AU104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4" i="1"/>
  <c r="BA27" i="1"/>
  <c r="BQ27" i="1"/>
  <c r="AP27" i="1"/>
  <c r="AQ188" i="1"/>
  <c r="BM27" i="1"/>
  <c r="BN103" i="1"/>
  <c r="BQ11" i="1"/>
  <c r="BM225" i="1"/>
  <c r="BM11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R244" i="1"/>
  <c r="R246" i="1"/>
  <c r="BD11" i="1"/>
  <c r="BE12" i="1"/>
  <c r="BG225" i="1"/>
  <c r="BH11" i="1"/>
  <c r="BD16" i="1"/>
  <c r="BD27" i="1"/>
  <c r="BD188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4" i="1"/>
  <c r="AT103" i="1"/>
  <c r="AT104" i="1"/>
  <c r="AT102" i="1"/>
  <c r="BT104" i="1"/>
  <c r="BT103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C16" i="1"/>
  <c r="BC11" i="1"/>
  <c r="AW183" i="1"/>
  <c r="BD103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I27" i="1"/>
  <c r="AX27" i="1"/>
  <c r="AL103" i="1"/>
  <c r="AQ225" i="1"/>
  <c r="BH181" i="1"/>
  <c r="AQ103" i="1"/>
  <c r="BM188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3" i="1"/>
  <c r="AY104" i="1"/>
  <c r="AT225" i="1"/>
  <c r="P58" i="1"/>
  <c r="AQ16" i="1"/>
  <c r="AQ11" i="1"/>
  <c r="AR12" i="1"/>
  <c r="AX102" i="1"/>
  <c r="AX104" i="1"/>
  <c r="AX103" i="1"/>
  <c r="BH104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G188" i="1"/>
  <c r="BG27" i="1"/>
  <c r="BJ225" i="1"/>
  <c r="BJ244" i="1"/>
  <c r="BH12" i="1"/>
  <c r="BG16" i="1"/>
  <c r="BW188" i="1"/>
  <c r="BV138" i="1"/>
  <c r="BW33" i="1"/>
  <c r="BW13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BU202" i="1" l="1"/>
  <c r="T165" i="1"/>
  <c r="T166" i="1" s="1"/>
  <c r="D111" i="1"/>
  <c r="D114" i="1" s="1"/>
  <c r="V165" i="1"/>
  <c r="AR138" i="1"/>
  <c r="AR246" i="1" s="1"/>
  <c r="AS134" i="1"/>
  <c r="AS138" i="1" s="1"/>
  <c r="J165" i="1"/>
  <c r="J166" i="1" s="1"/>
  <c r="AW202" i="1"/>
  <c r="U198" i="1"/>
  <c r="U199" i="1" s="1"/>
  <c r="S205" i="1"/>
  <c r="BR249" i="1"/>
  <c r="AR181" i="1"/>
  <c r="E205" i="1"/>
  <c r="C165" i="1"/>
  <c r="C244" i="1" s="1"/>
  <c r="O205" i="1"/>
  <c r="P198" i="1"/>
  <c r="P199" i="1" s="1"/>
  <c r="T205" i="1"/>
  <c r="L165" i="1"/>
  <c r="L166" i="1" s="1"/>
  <c r="F165" i="1"/>
  <c r="F166" i="1" s="1"/>
  <c r="D203" i="1"/>
  <c r="D201" i="1" s="1"/>
  <c r="I205" i="1"/>
  <c r="M205" i="1"/>
  <c r="E198" i="1"/>
  <c r="E199" i="1" s="1"/>
  <c r="N205" i="1"/>
  <c r="B165" i="1"/>
  <c r="C203" i="1"/>
  <c r="C201" i="1" s="1"/>
  <c r="F205" i="1"/>
  <c r="F246" i="1"/>
  <c r="F244" i="1"/>
  <c r="K198" i="1"/>
  <c r="K199" i="1" s="1"/>
  <c r="T198" i="1"/>
  <c r="T199" i="1" s="1"/>
  <c r="L244" i="1"/>
  <c r="L246" i="1"/>
  <c r="C68" i="1"/>
  <c r="C69" i="1"/>
  <c r="G205" i="1"/>
  <c r="S198" i="1"/>
  <c r="S199" i="1" s="1"/>
  <c r="H165" i="1"/>
  <c r="H166" i="1" s="1"/>
  <c r="J198" i="1"/>
  <c r="J199" i="1" s="1"/>
  <c r="R205" i="1"/>
  <c r="U205" i="1"/>
  <c r="V205" i="1"/>
  <c r="R166" i="1"/>
  <c r="S203" i="1"/>
  <c r="S201" i="1" s="1"/>
  <c r="S244" i="1"/>
  <c r="T203" i="1"/>
  <c r="T201" i="1" s="1"/>
  <c r="S165" i="1"/>
  <c r="S166" i="1" s="1"/>
  <c r="H246" i="1"/>
  <c r="H244" i="1"/>
  <c r="P244" i="1"/>
  <c r="P246" i="1"/>
  <c r="S186" i="1"/>
  <c r="S184" i="1"/>
  <c r="F181" i="1"/>
  <c r="F186" i="1"/>
  <c r="P165" i="1"/>
  <c r="P166" i="1" s="1"/>
  <c r="K205" i="1"/>
  <c r="D198" i="1"/>
  <c r="D199" i="1" s="1"/>
  <c r="N165" i="1"/>
  <c r="N166" i="1" s="1"/>
  <c r="F198" i="1"/>
  <c r="F199" i="1" s="1"/>
  <c r="G198" i="1"/>
  <c r="G199" i="1" s="1"/>
  <c r="U165" i="1"/>
  <c r="U166" i="1" s="1"/>
  <c r="N246" i="1"/>
  <c r="N244" i="1"/>
  <c r="J246" i="1"/>
  <c r="J244" i="1"/>
  <c r="U244" i="1"/>
  <c r="U246" i="1"/>
  <c r="U203" i="1"/>
  <c r="U201" i="1" s="1"/>
  <c r="L203" i="1"/>
  <c r="L201" i="1" s="1"/>
  <c r="K203" i="1"/>
  <c r="K201" i="1" s="1"/>
  <c r="X203" i="1"/>
  <c r="X201" i="1" s="1"/>
  <c r="W203" i="1"/>
  <c r="W201" i="1" s="1"/>
  <c r="D165" i="1"/>
  <c r="J205" i="1"/>
  <c r="H198" i="1"/>
  <c r="H199" i="1" s="1"/>
  <c r="I165" i="1"/>
  <c r="I166" i="1" s="1"/>
  <c r="Q198" i="1"/>
  <c r="Q199" i="1" s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BV96" i="1"/>
  <c r="BV95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V166" i="1" l="1"/>
  <c r="P213" i="1"/>
  <c r="AR244" i="1"/>
  <c r="AR165" i="1"/>
  <c r="AR166" i="1" s="1"/>
  <c r="C166" i="1"/>
  <c r="AT33" i="1"/>
  <c r="K213" i="1"/>
  <c r="B244" i="1"/>
  <c r="B166" i="1"/>
  <c r="D70" i="1"/>
  <c r="C85" i="1"/>
  <c r="C70" i="1"/>
  <c r="B89" i="1"/>
  <c r="C87" i="1"/>
  <c r="C86" i="1"/>
  <c r="J213" i="1"/>
  <c r="V189" i="1"/>
  <c r="V190" i="1" s="1"/>
  <c r="S213" i="1"/>
  <c r="S210" i="1"/>
  <c r="S211" i="1" s="1"/>
  <c r="T213" i="1"/>
  <c r="T210" i="1"/>
  <c r="T211" i="1" s="1"/>
  <c r="Q213" i="1"/>
  <c r="I213" i="1"/>
  <c r="H210" i="1"/>
  <c r="H211" i="1" s="1"/>
  <c r="K210" i="1"/>
  <c r="K211" i="1" s="1"/>
  <c r="Q210" i="1"/>
  <c r="Q211" i="1" s="1"/>
  <c r="P210" i="1"/>
  <c r="P211" i="1" s="1"/>
  <c r="D210" i="1"/>
  <c r="D211" i="1" s="1"/>
  <c r="D213" i="1"/>
  <c r="U213" i="1"/>
  <c r="U210" i="1"/>
  <c r="U211" i="1" s="1"/>
  <c r="D244" i="1"/>
  <c r="D166" i="1"/>
  <c r="J210" i="1"/>
  <c r="J211" i="1" s="1"/>
  <c r="H213" i="1"/>
  <c r="I210" i="1"/>
  <c r="I211" i="1" s="1"/>
  <c r="M213" i="1"/>
  <c r="N213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5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Z110" i="1"/>
  <c r="AZ113" i="1" s="1"/>
  <c r="BH189" i="1"/>
  <c r="BD189" i="1"/>
  <c r="BN189" i="1"/>
  <c r="BR189" i="1"/>
  <c r="BB189" i="1"/>
  <c r="BF189" i="1"/>
  <c r="BT189" i="1"/>
  <c r="BX189" i="1"/>
  <c r="BL113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O94" i="1"/>
  <c r="BO95" i="1"/>
  <c r="BO96" i="1"/>
  <c r="AL86" i="1"/>
  <c r="AL87" i="1"/>
  <c r="AU95" i="1"/>
  <c r="AU96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7" i="1"/>
  <c r="BV70" i="1"/>
  <c r="BP89" i="1"/>
  <c r="BT87" i="1"/>
  <c r="BT86" i="1"/>
  <c r="BS87" i="1"/>
  <c r="BO89" i="1"/>
  <c r="BS86" i="1"/>
  <c r="BS85" i="1"/>
  <c r="BH89" i="1"/>
  <c r="BK85" i="1"/>
  <c r="BK86" i="1"/>
  <c r="BK87" i="1"/>
  <c r="BG89" i="1"/>
  <c r="BT70" i="1"/>
  <c r="BV89" i="1"/>
  <c r="BZ70" i="1"/>
  <c r="BY70" i="1"/>
  <c r="BI95" i="1"/>
  <c r="BI96" i="1"/>
  <c r="BI94" i="1"/>
  <c r="BU87" i="1"/>
  <c r="BU86" i="1"/>
  <c r="BW85" i="1"/>
  <c r="BW70" i="1"/>
  <c r="BC95" i="1"/>
  <c r="BC96" i="1"/>
  <c r="AW89" i="1"/>
  <c r="BE70" i="1"/>
  <c r="BM89" i="1"/>
  <c r="AQ86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J70" i="1"/>
  <c r="BJ85" i="1"/>
  <c r="AU70" i="1"/>
  <c r="AQ70" i="1"/>
  <c r="AQ87" i="1"/>
  <c r="BQ85" i="1"/>
  <c r="BQ70" i="1"/>
  <c r="AW85" i="1"/>
  <c r="AW86" i="1"/>
  <c r="AS89" i="1"/>
  <c r="BA70" i="1"/>
  <c r="AW87" i="1"/>
  <c r="AV89" i="1"/>
  <c r="AZ86" i="1"/>
  <c r="BD70" i="1"/>
  <c r="AZ85" i="1"/>
  <c r="AZ89" i="1"/>
  <c r="BH70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C89" i="1"/>
  <c r="BG86" i="1"/>
  <c r="BG87" i="1"/>
  <c r="BK70" i="1"/>
  <c r="AT87" i="1"/>
  <c r="AT85" i="1"/>
  <c r="BZ86" i="1"/>
  <c r="CC90" i="1" s="1"/>
  <c r="BN70" i="1"/>
  <c r="BZ85" i="1"/>
  <c r="CC70" i="1"/>
  <c r="BY87" i="1"/>
  <c r="BU89" i="1"/>
  <c r="AX89" i="1"/>
  <c r="BF70" i="1"/>
  <c r="BB87" i="1"/>
  <c r="BB86" i="1"/>
  <c r="BB85" i="1"/>
  <c r="BH87" i="1"/>
  <c r="BD89" i="1"/>
  <c r="BL70" i="1"/>
  <c r="BH86" i="1"/>
  <c r="AT70" i="1"/>
  <c r="AP70" i="1"/>
  <c r="AL89" i="1"/>
  <c r="AP86" i="1"/>
  <c r="BR70" i="1"/>
  <c r="BN86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6" i="1"/>
  <c r="BG95" i="1"/>
  <c r="AQ95" i="1"/>
  <c r="AQ96" i="1"/>
  <c r="AC194" i="1"/>
  <c r="AC132" i="1"/>
  <c r="AC134" i="1" s="1"/>
  <c r="AC33" i="1" s="1"/>
  <c r="CT134" i="1"/>
  <c r="AD125" i="1"/>
  <c r="AD128" i="1" s="1"/>
  <c r="AD249" i="1" s="1"/>
  <c r="AR109" i="1"/>
  <c r="W61" i="1"/>
  <c r="BH90" i="1" l="1"/>
  <c r="BG90" i="1"/>
  <c r="BN90" i="1"/>
  <c r="BB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4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J110" i="1" l="1"/>
  <c r="CJ113" i="1" s="1"/>
  <c r="CJ111" i="1"/>
  <c r="CJ114" i="1" s="1"/>
  <c r="CK231" i="1" l="1"/>
  <c r="CK253" i="1"/>
  <c r="CK252" i="1"/>
  <c r="CL231" i="1"/>
  <c r="CL253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Q8" i="1" l="1"/>
  <c r="CQ253" i="1" s="1"/>
  <c r="CO8" i="1"/>
  <c r="CO10" i="1" s="1"/>
  <c r="CN26" i="1"/>
  <c r="CN23" i="1" s="1"/>
  <c r="CR8" i="1"/>
  <c r="CR253" i="1" s="1"/>
  <c r="CN16" i="1"/>
  <c r="CM26" i="1"/>
  <c r="CM23" i="1" s="1"/>
  <c r="CN12" i="1"/>
  <c r="CM12" i="1"/>
  <c r="CM16" i="1"/>
  <c r="CM15" i="1" s="1"/>
  <c r="CM225" i="1"/>
  <c r="CK225" i="1"/>
  <c r="CL225" i="1"/>
  <c r="CN225" i="1"/>
  <c r="CO225" i="1" l="1"/>
  <c r="CS8" i="1"/>
  <c r="CN15" i="1"/>
  <c r="CN18" i="1"/>
  <c r="CN28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M19" i="1"/>
  <c r="CP231" i="1"/>
  <c r="CP10" i="1"/>
  <c r="CT8" i="1" s="1"/>
  <c r="CQ98" i="1"/>
  <c r="CQ99" i="1" s="1"/>
  <c r="CQ102" i="1" s="1"/>
  <c r="AB8" i="1"/>
  <c r="CP98" i="1"/>
  <c r="CP99" i="1" s="1"/>
  <c r="CP102" i="1" s="1"/>
  <c r="CO16" i="1"/>
  <c r="CO26" i="1"/>
  <c r="CO23" i="1" s="1"/>
  <c r="CO12" i="1"/>
  <c r="CL112" i="1"/>
  <c r="AB253" i="1" l="1"/>
  <c r="CU8" i="1"/>
  <c r="CN250" i="1"/>
  <c r="CN251" i="1" s="1"/>
  <c r="CN29" i="1"/>
  <c r="CN232" i="1"/>
  <c r="CN233" i="1" s="1"/>
  <c r="CN30" i="1"/>
  <c r="CN34" i="1"/>
  <c r="CR16" i="1"/>
  <c r="CR12" i="1"/>
  <c r="CR26" i="1"/>
  <c r="CR23" i="1" s="1"/>
  <c r="CQ12" i="1"/>
  <c r="CQ26" i="1"/>
  <c r="CQ23" i="1" s="1"/>
  <c r="CN31" i="1"/>
  <c r="CM30" i="1"/>
  <c r="CM232" i="1"/>
  <c r="CM233" i="1" s="1"/>
  <c r="CM29" i="1"/>
  <c r="CM34" i="1"/>
  <c r="CQ16" i="1"/>
  <c r="CK250" i="1"/>
  <c r="CK251" i="1" s="1"/>
  <c r="CL250" i="1"/>
  <c r="CL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L226" i="1"/>
  <c r="CR225" i="1"/>
  <c r="CP225" i="1"/>
  <c r="AB10" i="1"/>
  <c r="CS10" i="1"/>
  <c r="CS231" i="1"/>
  <c r="CM112" i="1"/>
  <c r="CN112" i="1"/>
  <c r="CP16" i="1"/>
  <c r="CP15" i="1" s="1"/>
  <c r="CP12" i="1"/>
  <c r="CP26" i="1"/>
  <c r="CP23" i="1" s="1"/>
  <c r="CT253" i="1"/>
  <c r="CL232" i="1"/>
  <c r="CL233" i="1" s="1"/>
  <c r="CO28" i="1"/>
  <c r="CO18" i="1"/>
  <c r="CO19" i="1"/>
  <c r="CQ225" i="1"/>
  <c r="CO15" i="1"/>
  <c r="CM226" i="1"/>
  <c r="CM31" i="1"/>
  <c r="CU253" i="1" l="1"/>
  <c r="CU10" i="1"/>
  <c r="CU231" i="1"/>
  <c r="CS225" i="1"/>
  <c r="CW8" i="1"/>
  <c r="CW253" i="1" s="1"/>
  <c r="AB23" i="1"/>
  <c r="AB26" i="1" s="1"/>
  <c r="AB27" i="1" s="1"/>
  <c r="CR18" i="1"/>
  <c r="CR19" i="1"/>
  <c r="CR28" i="1"/>
  <c r="CR15" i="1"/>
  <c r="CV253" i="1"/>
  <c r="CV231" i="1"/>
  <c r="CV10" i="1"/>
  <c r="CZ8" i="1" s="1"/>
  <c r="CQ15" i="1"/>
  <c r="CQ18" i="1"/>
  <c r="CQ28" i="1"/>
  <c r="CO112" i="1"/>
  <c r="CO250" i="1"/>
  <c r="CO251" i="1" s="1"/>
  <c r="AB98" i="1"/>
  <c r="AB188" i="1"/>
  <c r="CQ19" i="1"/>
  <c r="AB15" i="1"/>
  <c r="AB16" i="1" s="1"/>
  <c r="CO226" i="1"/>
  <c r="AC8" i="1"/>
  <c r="CV98" i="1"/>
  <c r="CV99" i="1" s="1"/>
  <c r="CV102" i="1" s="1"/>
  <c r="AB11" i="1"/>
  <c r="AB58" i="1"/>
  <c r="CS16" i="1"/>
  <c r="CS15" i="1" s="1"/>
  <c r="CS12" i="1"/>
  <c r="CS26" i="1"/>
  <c r="CS23" i="1" s="1"/>
  <c r="CT98" i="1"/>
  <c r="CT99" i="1" s="1"/>
  <c r="CT102" i="1" s="1"/>
  <c r="CO30" i="1"/>
  <c r="CO232" i="1"/>
  <c r="CO233" i="1" s="1"/>
  <c r="CO34" i="1"/>
  <c r="CO31" i="1"/>
  <c r="CO29" i="1"/>
  <c r="CP18" i="1"/>
  <c r="CP28" i="1"/>
  <c r="CP19" i="1"/>
  <c r="CT231" i="1"/>
  <c r="CT10" i="1"/>
  <c r="CU98" i="1"/>
  <c r="CU99" i="1" s="1"/>
  <c r="CU102" i="1" s="1"/>
  <c r="CY8" i="1" l="1"/>
  <c r="CY253" i="1" s="1"/>
  <c r="CU26" i="1"/>
  <c r="CU23" i="1" s="1"/>
  <c r="CU16" i="1"/>
  <c r="CU15" i="1" s="1"/>
  <c r="AC253" i="1"/>
  <c r="CU12" i="1"/>
  <c r="CX8" i="1"/>
  <c r="CV16" i="1"/>
  <c r="CV18" i="1" s="1"/>
  <c r="CR232" i="1"/>
  <c r="CR233" i="1" s="1"/>
  <c r="CR29" i="1"/>
  <c r="CR34" i="1"/>
  <c r="CR30" i="1"/>
  <c r="CV26" i="1"/>
  <c r="CV23" i="1" s="1"/>
  <c r="CV12" i="1"/>
  <c r="CQ34" i="1"/>
  <c r="CQ29" i="1"/>
  <c r="CQ30" i="1"/>
  <c r="CR31" i="1"/>
  <c r="CR250" i="1"/>
  <c r="CR251" i="1" s="1"/>
  <c r="CQ232" i="1"/>
  <c r="CQ233" i="1" s="1"/>
  <c r="AB18" i="1"/>
  <c r="CP112" i="1"/>
  <c r="CP250" i="1"/>
  <c r="CP251" i="1" s="1"/>
  <c r="CQ250" i="1"/>
  <c r="CQ251" i="1" s="1"/>
  <c r="CV225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W231" i="1"/>
  <c r="CW10" i="1"/>
  <c r="CQ112" i="1"/>
  <c r="CW98" i="1"/>
  <c r="CW99" i="1" s="1"/>
  <c r="CW102" i="1" s="1"/>
  <c r="CT16" i="1"/>
  <c r="CT15" i="1" s="1"/>
  <c r="AC15" i="1" s="1"/>
  <c r="CT26" i="1"/>
  <c r="CT23" i="1" s="1"/>
  <c r="CT12" i="1"/>
  <c r="AB59" i="1"/>
  <c r="AB17" i="1"/>
  <c r="AB28" i="1"/>
  <c r="CQ31" i="1"/>
  <c r="CR112" i="1"/>
  <c r="CY231" i="1" l="1"/>
  <c r="CY10" i="1"/>
  <c r="CU18" i="1"/>
  <c r="CU28" i="1"/>
  <c r="CU30" i="1" s="1"/>
  <c r="AB250" i="1"/>
  <c r="AB251" i="1" s="1"/>
  <c r="CW225" i="1"/>
  <c r="DA8" i="1"/>
  <c r="DA253" i="1" s="1"/>
  <c r="AC23" i="1"/>
  <c r="AC26" i="1" s="1"/>
  <c r="AC27" i="1" s="1"/>
  <c r="CV15" i="1"/>
  <c r="CV19" i="1"/>
  <c r="CV28" i="1"/>
  <c r="CZ253" i="1"/>
  <c r="CZ231" i="1"/>
  <c r="CZ10" i="1"/>
  <c r="CX98" i="1"/>
  <c r="CX99" i="1" s="1"/>
  <c r="CX102" i="1" s="1"/>
  <c r="CX253" i="1"/>
  <c r="AC98" i="1"/>
  <c r="AC188" i="1"/>
  <c r="AB30" i="1"/>
  <c r="CY98" i="1"/>
  <c r="CY99" i="1" s="1"/>
  <c r="CY102" i="1" s="1"/>
  <c r="CS31" i="1"/>
  <c r="CS29" i="1"/>
  <c r="CS34" i="1"/>
  <c r="CS232" i="1"/>
  <c r="CS233" i="1" s="1"/>
  <c r="CS30" i="1"/>
  <c r="AB60" i="1"/>
  <c r="AB34" i="1"/>
  <c r="AB112" i="1"/>
  <c r="AB29" i="1"/>
  <c r="CW16" i="1"/>
  <c r="CW15" i="1" s="1"/>
  <c r="CW12" i="1"/>
  <c r="CW26" i="1"/>
  <c r="CW23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6" i="1" l="1"/>
  <c r="CY15" i="1" s="1"/>
  <c r="CU29" i="1"/>
  <c r="CU34" i="1"/>
  <c r="CY26" i="1"/>
  <c r="CY23" i="1" s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2" i="1"/>
  <c r="CZ16" i="1"/>
  <c r="AC18" i="1"/>
  <c r="CU112" i="1"/>
  <c r="CT250" i="1"/>
  <c r="CT251" i="1" s="1"/>
  <c r="CU250" i="1"/>
  <c r="CU251" i="1" s="1"/>
  <c r="CX225" i="1"/>
  <c r="CY225" i="1"/>
  <c r="CY12" i="1"/>
  <c r="CK193" i="1"/>
  <c r="CK195" i="1" s="1"/>
  <c r="CV226" i="1"/>
  <c r="AC28" i="1"/>
  <c r="AC59" i="1"/>
  <c r="AC17" i="1"/>
  <c r="CT226" i="1"/>
  <c r="DA231" i="1"/>
  <c r="DA10" i="1"/>
  <c r="DA225" i="1" s="1"/>
  <c r="CX16" i="1"/>
  <c r="CX12" i="1"/>
  <c r="CX26" i="1"/>
  <c r="CX23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CT112" i="1"/>
  <c r="CV112" i="1"/>
  <c r="CY19" i="1" l="1"/>
  <c r="CY18" i="1"/>
  <c r="CY28" i="1"/>
  <c r="CY34" i="1" s="1"/>
  <c r="AC250" i="1"/>
  <c r="AC251" i="1" s="1"/>
  <c r="AD23" i="1"/>
  <c r="AD26" i="1" s="1"/>
  <c r="AD27" i="1" s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AC30" i="1"/>
  <c r="DA16" i="1"/>
  <c r="DA26" i="1"/>
  <c r="DA23" i="1" s="1"/>
  <c r="DA12" i="1"/>
  <c r="CX19" i="1"/>
  <c r="CX28" i="1"/>
  <c r="CY250" i="1" s="1"/>
  <c r="CY251" i="1" s="1"/>
  <c r="CX18" i="1"/>
  <c r="AC34" i="1"/>
  <c r="AC60" i="1"/>
  <c r="AC29" i="1"/>
  <c r="AC112" i="1"/>
  <c r="DB10" i="1"/>
  <c r="DB225" i="1" s="1"/>
  <c r="DB231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32" i="1" l="1"/>
  <c r="CY233" i="1" s="1"/>
  <c r="CY30" i="1"/>
  <c r="CY29" i="1"/>
  <c r="CK92" i="1"/>
  <c r="CK54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AD17" i="1"/>
  <c r="AD59" i="1"/>
  <c r="AD28" i="1"/>
  <c r="AD250" i="1" s="1"/>
  <c r="AD251" i="1" s="1"/>
  <c r="CG89" i="1"/>
  <c r="DA19" i="1"/>
  <c r="DA18" i="1"/>
  <c r="DA28" i="1"/>
  <c r="DA250" i="1" s="1"/>
  <c r="DA251" i="1" s="1"/>
  <c r="CX34" i="1"/>
  <c r="CX30" i="1"/>
  <c r="CX29" i="1"/>
  <c r="CX232" i="1"/>
  <c r="CX233" i="1" s="1"/>
  <c r="CX31" i="1"/>
  <c r="CK207" i="1"/>
  <c r="CK205" i="1" s="1"/>
  <c r="CK55" i="1"/>
  <c r="DA15" i="1"/>
  <c r="DB16" i="1"/>
  <c r="DB15" i="1" s="1"/>
  <c r="DB26" i="1"/>
  <c r="DB23" i="1" s="1"/>
  <c r="DB12" i="1"/>
  <c r="AE10" i="1"/>
  <c r="CK94" i="1" l="1"/>
  <c r="CK96" i="1"/>
  <c r="CK95" i="1"/>
  <c r="AE23" i="1"/>
  <c r="AE26" i="1" s="1"/>
  <c r="AE27" i="1" s="1"/>
  <c r="AE98" i="1"/>
  <c r="AE188" i="1"/>
  <c r="AD30" i="1"/>
  <c r="DB19" i="1"/>
  <c r="DB28" i="1"/>
  <c r="DB250" i="1" s="1"/>
  <c r="DB251" i="1" s="1"/>
  <c r="DB18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28" i="1" l="1"/>
  <c r="AE17" i="1"/>
  <c r="AE59" i="1"/>
  <c r="DB34" i="1"/>
  <c r="DB31" i="1"/>
  <c r="DB232" i="1"/>
  <c r="DB233" i="1" s="1"/>
  <c r="DB29" i="1"/>
  <c r="DB30" i="1"/>
  <c r="DB112" i="1"/>
  <c r="DB226" i="1"/>
  <c r="AE30" i="1" l="1"/>
  <c r="AE250" i="1"/>
  <c r="AE251" i="1" s="1"/>
  <c r="CL252" i="1"/>
  <c r="AE34" i="1"/>
  <c r="AE29" i="1"/>
  <c r="AE60" i="1"/>
  <c r="AE112" i="1"/>
  <c r="CL245" i="1" l="1"/>
  <c r="CL234" i="1"/>
  <c r="CL227" i="1"/>
  <c r="CL193" i="1" l="1"/>
  <c r="CL195" i="1" s="1"/>
  <c r="CL92" i="1" l="1"/>
  <c r="CL94" i="1" s="1"/>
  <c r="CL54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L85" i="1"/>
  <c r="CL86" i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L207" i="1"/>
  <c r="CL205" i="1" s="1"/>
  <c r="CL55" i="1"/>
  <c r="CH89" i="1"/>
  <c r="CL95" i="1" l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L90" i="1"/>
  <c r="CL246" i="1" l="1"/>
  <c r="CL244" i="1"/>
  <c r="CL248" i="1"/>
  <c r="CM209" i="1"/>
  <c r="CL109" i="1"/>
  <c r="AB209" i="1"/>
  <c r="CL111" i="1" l="1"/>
  <c r="CL114" i="1" s="1"/>
  <c r="CL110" i="1"/>
  <c r="CL113" i="1" s="1"/>
  <c r="CM36" i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54" i="1"/>
  <c r="CM82" i="1" l="1"/>
  <c r="CM108" i="1"/>
  <c r="CM81" i="1"/>
  <c r="CM107" i="1"/>
  <c r="CM184" i="1" l="1"/>
  <c r="CM152" i="1" s="1"/>
  <c r="CM181" i="1"/>
  <c r="CN181" i="1" s="1"/>
  <c r="CK146" i="1"/>
  <c r="CK153" i="1"/>
  <c r="CM183" i="1"/>
  <c r="CK152" i="1"/>
  <c r="CK156" i="1" s="1"/>
  <c r="CK185" i="1" s="1"/>
  <c r="CM146" i="1" l="1"/>
  <c r="CM185" i="1"/>
  <c r="CN183" i="1"/>
  <c r="CM153" i="1"/>
  <c r="CM156" i="1" s="1"/>
  <c r="CO181" i="1"/>
  <c r="CN146" i="1"/>
  <c r="CL197" i="1"/>
  <c r="CK197" i="1"/>
  <c r="CN184" i="1"/>
  <c r="CM197" i="1" l="1"/>
  <c r="CO184" i="1"/>
  <c r="CN152" i="1"/>
  <c r="CP181" i="1"/>
  <c r="CO146" i="1"/>
  <c r="CN153" i="1"/>
  <c r="CO183" i="1"/>
  <c r="CN185" i="1"/>
  <c r="CN156" i="1" l="1"/>
  <c r="CP183" i="1"/>
  <c r="CO153" i="1"/>
  <c r="CO185" i="1"/>
  <c r="CP146" i="1"/>
  <c r="AB146" i="1" s="1"/>
  <c r="CQ181" i="1"/>
  <c r="CP184" i="1"/>
  <c r="CO152" i="1"/>
  <c r="CO156" i="1" s="1"/>
  <c r="CN197" i="1" l="1"/>
  <c r="CQ184" i="1"/>
  <c r="CP152" i="1"/>
  <c r="CR181" i="1"/>
  <c r="CQ146" i="1"/>
  <c r="CP153" i="1"/>
  <c r="AB153" i="1" s="1"/>
  <c r="AB183" i="1" s="1"/>
  <c r="CQ183" i="1"/>
  <c r="CP185" i="1"/>
  <c r="CO197" i="1"/>
  <c r="CS181" i="1" l="1"/>
  <c r="CR146" i="1"/>
  <c r="AB152" i="1"/>
  <c r="AB156" i="1" s="1"/>
  <c r="CP156" i="1"/>
  <c r="CQ152" i="1"/>
  <c r="CR184" i="1"/>
  <c r="CR183" i="1"/>
  <c r="CQ153" i="1"/>
  <c r="CQ185" i="1"/>
  <c r="CR152" i="1" l="1"/>
  <c r="CS184" i="1"/>
  <c r="CT181" i="1"/>
  <c r="CS146" i="1"/>
  <c r="CR153" i="1"/>
  <c r="CR185" i="1"/>
  <c r="CS183" i="1"/>
  <c r="CQ156" i="1"/>
  <c r="CP197" i="1"/>
  <c r="AB185" i="1"/>
  <c r="AB184" i="1" s="1"/>
  <c r="AB197" i="1"/>
  <c r="CT146" i="1" l="1"/>
  <c r="AC146" i="1" s="1"/>
  <c r="CU181" i="1"/>
  <c r="CS185" i="1"/>
  <c r="CT183" i="1"/>
  <c r="CS153" i="1"/>
  <c r="CS152" i="1"/>
  <c r="CS156" i="1" s="1"/>
  <c r="CT184" i="1"/>
  <c r="CR156" i="1"/>
  <c r="CQ197" i="1"/>
  <c r="CS197" i="1" l="1"/>
  <c r="CV181" i="1"/>
  <c r="CU146" i="1"/>
  <c r="CU184" i="1"/>
  <c r="CT152" i="1"/>
  <c r="CR197" i="1"/>
  <c r="CU183" i="1"/>
  <c r="CT153" i="1"/>
  <c r="AC153" i="1" s="1"/>
  <c r="AC183" i="1" s="1"/>
  <c r="CT185" i="1"/>
  <c r="CW181" i="1" l="1"/>
  <c r="CV146" i="1"/>
  <c r="CU185" i="1"/>
  <c r="CV183" i="1"/>
  <c r="CU153" i="1"/>
  <c r="AC152" i="1"/>
  <c r="AC156" i="1" s="1"/>
  <c r="CT156" i="1"/>
  <c r="CV184" i="1"/>
  <c r="CU152" i="1"/>
  <c r="CU156" i="1" l="1"/>
  <c r="CW183" i="1"/>
  <c r="CV153" i="1"/>
  <c r="CV185" i="1"/>
  <c r="CV152" i="1"/>
  <c r="CW184" i="1"/>
  <c r="CW146" i="1"/>
  <c r="CX181" i="1"/>
  <c r="CT197" i="1"/>
  <c r="AC185" i="1"/>
  <c r="AC184" i="1" s="1"/>
  <c r="AC197" i="1"/>
  <c r="CU197" i="1" l="1"/>
  <c r="CY181" i="1"/>
  <c r="CX146" i="1"/>
  <c r="AD146" i="1" s="1"/>
  <c r="CX184" i="1"/>
  <c r="CW152" i="1"/>
  <c r="CX183" i="1"/>
  <c r="CW153" i="1"/>
  <c r="CW185" i="1"/>
  <c r="CV156" i="1"/>
  <c r="CX185" i="1" l="1"/>
  <c r="CX153" i="1"/>
  <c r="AD153" i="1" s="1"/>
  <c r="AD183" i="1" s="1"/>
  <c r="CY183" i="1"/>
  <c r="CY146" i="1"/>
  <c r="CZ181" i="1"/>
  <c r="CW156" i="1"/>
  <c r="CV197" i="1"/>
  <c r="CX152" i="1"/>
  <c r="CY184" i="1"/>
  <c r="AD152" i="1" l="1"/>
  <c r="AD156" i="1" s="1"/>
  <c r="CX156" i="1"/>
  <c r="CX197" i="1" s="1"/>
  <c r="CZ184" i="1"/>
  <c r="CY152" i="1"/>
  <c r="DA181" i="1"/>
  <c r="CZ146" i="1"/>
  <c r="CZ183" i="1"/>
  <c r="CY153" i="1"/>
  <c r="CY185" i="1"/>
  <c r="CW197" i="1"/>
  <c r="DA146" i="1" l="1"/>
  <c r="DB181" i="1"/>
  <c r="DB146" i="1" s="1"/>
  <c r="AE146" i="1" s="1"/>
  <c r="DA183" i="1"/>
  <c r="CZ153" i="1"/>
  <c r="CZ185" i="1"/>
  <c r="AD185" i="1"/>
  <c r="AD184" i="1" s="1"/>
  <c r="AD197" i="1"/>
  <c r="CY156" i="1"/>
  <c r="DA184" i="1"/>
  <c r="CZ152" i="1"/>
  <c r="CZ156" i="1" l="1"/>
  <c r="CZ197" i="1" s="1"/>
  <c r="CY197" i="1"/>
  <c r="DA152" i="1"/>
  <c r="DB184" i="1"/>
  <c r="DB152" i="1" s="1"/>
  <c r="DA185" i="1"/>
  <c r="DB183" i="1"/>
  <c r="DA153" i="1"/>
  <c r="AE152" i="1" l="1"/>
  <c r="DB156" i="1"/>
  <c r="DB185" i="1"/>
  <c r="DB153" i="1"/>
  <c r="AE153" i="1" s="1"/>
  <c r="AE183" i="1" s="1"/>
  <c r="DA156" i="1"/>
  <c r="AE156" i="1" l="1"/>
  <c r="DB197" i="1"/>
  <c r="DA197" i="1"/>
  <c r="CK144" i="1"/>
  <c r="AE185" i="1" l="1"/>
  <c r="AE184" i="1" s="1"/>
  <c r="AE197" i="1"/>
  <c r="CM179" i="1"/>
  <c r="CM144" i="1" l="1"/>
  <c r="CN179" i="1"/>
  <c r="CN144" i="1" l="1"/>
  <c r="CO179" i="1"/>
  <c r="CP179" i="1" l="1"/>
  <c r="CO144" i="1"/>
  <c r="CQ179" i="1" l="1"/>
  <c r="CP144" i="1"/>
  <c r="AB144" i="1" l="1"/>
  <c r="CR179" i="1"/>
  <c r="CQ144" i="1"/>
  <c r="CR144" i="1" l="1"/>
  <c r="CS179" i="1"/>
  <c r="AB179" i="1"/>
  <c r="CT179" i="1" l="1"/>
  <c r="CS144" i="1"/>
  <c r="CT144" i="1" l="1"/>
  <c r="CU179" i="1"/>
  <c r="CU144" i="1" l="1"/>
  <c r="CV179" i="1"/>
  <c r="AC144" i="1"/>
  <c r="AC179" i="1" l="1"/>
  <c r="CW179" i="1"/>
  <c r="CV144" i="1"/>
  <c r="CX179" i="1" l="1"/>
  <c r="CW144" i="1"/>
  <c r="CY179" i="1" l="1"/>
  <c r="CX144" i="1"/>
  <c r="AD144" i="1" l="1"/>
  <c r="CY144" i="1"/>
  <c r="CZ179" i="1"/>
  <c r="CZ144" i="1" l="1"/>
  <c r="DA179" i="1"/>
  <c r="AD179" i="1"/>
  <c r="DB179" i="1" l="1"/>
  <c r="DA144" i="1"/>
  <c r="DB144" i="1" l="1"/>
  <c r="AE144" i="1" l="1"/>
  <c r="AE179" i="1" l="1"/>
  <c r="CK145" i="1"/>
  <c r="CK148" i="1" s="1"/>
  <c r="CK182" i="1" s="1"/>
  <c r="CK186" i="1" s="1"/>
  <c r="CK189" i="1" s="1"/>
  <c r="CM180" i="1"/>
  <c r="CM145" i="1" s="1"/>
  <c r="CM148" i="1" s="1"/>
  <c r="CM157" i="1" s="1"/>
  <c r="CM182" i="1" l="1"/>
  <c r="CN180" i="1"/>
  <c r="CL196" i="1"/>
  <c r="CL198" i="1" s="1"/>
  <c r="CL199" i="1" s="1"/>
  <c r="CL213" i="1" s="1"/>
  <c r="CK196" i="1"/>
  <c r="CK198" i="1" s="1"/>
  <c r="CK199" i="1" s="1"/>
  <c r="CK157" i="1"/>
  <c r="CM196" i="1"/>
  <c r="CM198" i="1" s="1"/>
  <c r="CM199" i="1" s="1"/>
  <c r="CM186" i="1" l="1"/>
  <c r="CN145" i="1"/>
  <c r="CN148" i="1" s="1"/>
  <c r="CN157" i="1" s="1"/>
  <c r="CN182" i="1"/>
  <c r="CN186" i="1" s="1"/>
  <c r="CO180" i="1"/>
  <c r="CK213" i="1"/>
  <c r="CK210" i="1"/>
  <c r="CM213" i="1"/>
  <c r="CM210" i="1"/>
  <c r="CN196" i="1" l="1"/>
  <c r="CN198" i="1" s="1"/>
  <c r="CP180" i="1"/>
  <c r="CO145" i="1"/>
  <c r="CO148" i="1" s="1"/>
  <c r="CO182" i="1"/>
  <c r="CO186" i="1" s="1"/>
  <c r="CK160" i="1"/>
  <c r="CK161" i="1" s="1"/>
  <c r="CP148" i="1"/>
  <c r="CM160" i="1"/>
  <c r="CM161" i="1" s="1"/>
  <c r="CP145" i="1" l="1"/>
  <c r="AB145" i="1" s="1"/>
  <c r="CP182" i="1"/>
  <c r="CP186" i="1" s="1"/>
  <c r="CQ180" i="1"/>
  <c r="CO196" i="1"/>
  <c r="CO198" i="1" s="1"/>
  <c r="CO157" i="1"/>
  <c r="CM211" i="1"/>
  <c r="CM244" i="1"/>
  <c r="CM165" i="1"/>
  <c r="CM166" i="1" s="1"/>
  <c r="CN209" i="1"/>
  <c r="CM168" i="1"/>
  <c r="CM246" i="1"/>
  <c r="CM248" i="1"/>
  <c r="AB148" i="1"/>
  <c r="AB180" i="1"/>
  <c r="CP157" i="1"/>
  <c r="CP196" i="1"/>
  <c r="CP198" i="1" s="1"/>
  <c r="CK168" i="1"/>
  <c r="CK246" i="1"/>
  <c r="CK248" i="1"/>
  <c r="CK165" i="1"/>
  <c r="CK166" i="1" s="1"/>
  <c r="CL209" i="1"/>
  <c r="CL210" i="1" s="1"/>
  <c r="CL211" i="1" s="1"/>
  <c r="CK244" i="1"/>
  <c r="CK211" i="1"/>
  <c r="CR180" i="1" l="1"/>
  <c r="CQ182" i="1"/>
  <c r="CQ186" i="1" s="1"/>
  <c r="CQ145" i="1"/>
  <c r="CQ148" i="1" s="1"/>
  <c r="AB196" i="1"/>
  <c r="AB198" i="1" s="1"/>
  <c r="AB157" i="1"/>
  <c r="AB182" i="1"/>
  <c r="CL37" i="1"/>
  <c r="CK109" i="1"/>
  <c r="CN36" i="1"/>
  <c r="CM109" i="1"/>
  <c r="CS180" i="1" l="1"/>
  <c r="CR182" i="1"/>
  <c r="CR186" i="1" s="1"/>
  <c r="CR145" i="1"/>
  <c r="CR148" i="1" s="1"/>
  <c r="CR157" i="1" s="1"/>
  <c r="CQ196" i="1"/>
  <c r="CQ198" i="1" s="1"/>
  <c r="CQ157" i="1"/>
  <c r="CM111" i="1"/>
  <c r="CM114" i="1" s="1"/>
  <c r="CM110" i="1"/>
  <c r="CM113" i="1" s="1"/>
  <c r="AB186" i="1"/>
  <c r="AB189" i="1" s="1"/>
  <c r="AB190" i="1" s="1"/>
  <c r="AB181" i="1"/>
  <c r="CN38" i="1"/>
  <c r="CN252" i="1"/>
  <c r="CK111" i="1"/>
  <c r="CK114" i="1" s="1"/>
  <c r="CK110" i="1"/>
  <c r="CK113" i="1" s="1"/>
  <c r="CS182" i="1" l="1"/>
  <c r="CS186" i="1" s="1"/>
  <c r="CS145" i="1"/>
  <c r="CS148" i="1" s="1"/>
  <c r="CS157" i="1" s="1"/>
  <c r="CT180" i="1"/>
  <c r="CR196" i="1"/>
  <c r="CR198" i="1" s="1"/>
  <c r="CN39" i="1"/>
  <c r="CN41" i="1"/>
  <c r="CT148" i="1"/>
  <c r="CU180" i="1" l="1"/>
  <c r="CT182" i="1"/>
  <c r="CT186" i="1" s="1"/>
  <c r="CT145" i="1"/>
  <c r="AC145" i="1" s="1"/>
  <c r="CS196" i="1"/>
  <c r="CS198" i="1" s="1"/>
  <c r="AC180" i="1"/>
  <c r="AC148" i="1"/>
  <c r="CT157" i="1"/>
  <c r="CT196" i="1"/>
  <c r="CT198" i="1" s="1"/>
  <c r="CN44" i="1"/>
  <c r="CN48" i="1"/>
  <c r="CN234" i="1"/>
  <c r="CN42" i="1"/>
  <c r="CN245" i="1" s="1"/>
  <c r="CN227" i="1"/>
  <c r="CN43" i="1"/>
  <c r="CU145" i="1" l="1"/>
  <c r="CU148" i="1" s="1"/>
  <c r="CV180" i="1"/>
  <c r="CU182" i="1"/>
  <c r="CU186" i="1" s="1"/>
  <c r="CN66" i="1"/>
  <c r="CN119" i="1"/>
  <c r="CN193" i="1"/>
  <c r="CN195" i="1" s="1"/>
  <c r="CN199" i="1" s="1"/>
  <c r="CN213" i="1" s="1"/>
  <c r="AC157" i="1"/>
  <c r="AC182" i="1"/>
  <c r="AC196" i="1"/>
  <c r="AC198" i="1" s="1"/>
  <c r="CU157" i="1" l="1"/>
  <c r="CU196" i="1"/>
  <c r="CU198" i="1" s="1"/>
  <c r="CV182" i="1"/>
  <c r="CV186" i="1" s="1"/>
  <c r="CV145" i="1"/>
  <c r="CV148" i="1" s="1"/>
  <c r="CW180" i="1"/>
  <c r="AC186" i="1"/>
  <c r="AC189" i="1" s="1"/>
  <c r="AC190" i="1" s="1"/>
  <c r="AC181" i="1"/>
  <c r="CN120" i="1"/>
  <c r="CN69" i="1"/>
  <c r="CV157" i="1" l="1"/>
  <c r="CV196" i="1"/>
  <c r="CV198" i="1" s="1"/>
  <c r="CX180" i="1"/>
  <c r="CW145" i="1"/>
  <c r="CW148" i="1" s="1"/>
  <c r="CW157" i="1" s="1"/>
  <c r="CW182" i="1"/>
  <c r="CW186" i="1" s="1"/>
  <c r="CN92" i="1"/>
  <c r="CN94" i="1" s="1"/>
  <c r="CN207" i="1"/>
  <c r="CN205" i="1" s="1"/>
  <c r="CN210" i="1" s="1"/>
  <c r="CN129" i="1"/>
  <c r="CN55" i="1" s="1"/>
  <c r="CN54" i="1"/>
  <c r="CN79" i="1"/>
  <c r="CN85" i="1"/>
  <c r="CJ89" i="1"/>
  <c r="CN70" i="1"/>
  <c r="CN78" i="1"/>
  <c r="CX148" i="1"/>
  <c r="CX182" i="1" l="1"/>
  <c r="CX186" i="1" s="1"/>
  <c r="CY180" i="1"/>
  <c r="CX145" i="1"/>
  <c r="AD145" i="1" s="1"/>
  <c r="CW196" i="1"/>
  <c r="CW198" i="1" s="1"/>
  <c r="AD148" i="1"/>
  <c r="CX157" i="1"/>
  <c r="CX196" i="1"/>
  <c r="CX198" i="1" s="1"/>
  <c r="CN82" i="1"/>
  <c r="CN108" i="1"/>
  <c r="CN81" i="1"/>
  <c r="CN107" i="1"/>
  <c r="CN160" i="1"/>
  <c r="CN161" i="1" s="1"/>
  <c r="CY145" i="1" l="1"/>
  <c r="CY148" i="1" s="1"/>
  <c r="CY182" i="1"/>
  <c r="CY186" i="1" s="1"/>
  <c r="CZ180" i="1"/>
  <c r="AD180" i="1"/>
  <c r="CO209" i="1"/>
  <c r="CN244" i="1"/>
  <c r="CN168" i="1"/>
  <c r="CN165" i="1"/>
  <c r="CN166" i="1" s="1"/>
  <c r="CN246" i="1"/>
  <c r="CN248" i="1"/>
  <c r="CN211" i="1"/>
  <c r="AD182" i="1"/>
  <c r="AD157" i="1"/>
  <c r="AD196" i="1"/>
  <c r="AD198" i="1" s="1"/>
  <c r="CY157" i="1" l="1"/>
  <c r="CY196" i="1"/>
  <c r="CY198" i="1" s="1"/>
  <c r="DA180" i="1"/>
  <c r="CZ182" i="1"/>
  <c r="CZ186" i="1" s="1"/>
  <c r="CZ145" i="1"/>
  <c r="CZ148" i="1" s="1"/>
  <c r="AD186" i="1"/>
  <c r="AD189" i="1" s="1"/>
  <c r="AD190" i="1" s="1"/>
  <c r="AD181" i="1"/>
  <c r="CO36" i="1"/>
  <c r="CN109" i="1"/>
  <c r="DA182" i="1" l="1"/>
  <c r="DA186" i="1" s="1"/>
  <c r="DB180" i="1"/>
  <c r="DA145" i="1"/>
  <c r="DA148" i="1" s="1"/>
  <c r="DA157" i="1" s="1"/>
  <c r="CZ157" i="1"/>
  <c r="CZ196" i="1"/>
  <c r="CZ198" i="1" s="1"/>
  <c r="CO38" i="1"/>
  <c r="CO252" i="1"/>
  <c r="DB148" i="1"/>
  <c r="CN110" i="1"/>
  <c r="CN113" i="1" s="1"/>
  <c r="CN111" i="1"/>
  <c r="CN114" i="1" s="1"/>
  <c r="DB182" i="1" l="1"/>
  <c r="DB186" i="1" s="1"/>
  <c r="DB145" i="1"/>
  <c r="AE145" i="1" s="1"/>
  <c r="DA196" i="1"/>
  <c r="DA198" i="1" s="1"/>
  <c r="AE148" i="1"/>
  <c r="DB157" i="1"/>
  <c r="DB196" i="1"/>
  <c r="DB198" i="1" s="1"/>
  <c r="CO39" i="1"/>
  <c r="AE180" i="1" l="1"/>
  <c r="CO41" i="1"/>
  <c r="AE182" i="1"/>
  <c r="AE157" i="1"/>
  <c r="AE196" i="1"/>
  <c r="AE198" i="1" s="1"/>
  <c r="AE186" i="1" l="1"/>
  <c r="AE189" i="1" s="1"/>
  <c r="AE190" i="1" s="1"/>
  <c r="AE181" i="1"/>
  <c r="CO43" i="1"/>
  <c r="CO44" i="1"/>
  <c r="CO234" i="1"/>
  <c r="CO42" i="1"/>
  <c r="CO245" i="1" s="1"/>
  <c r="CO48" i="1"/>
  <c r="CO227" i="1"/>
  <c r="CO66" i="1" l="1"/>
  <c r="CO193" i="1"/>
  <c r="CO195" i="1" s="1"/>
  <c r="CO199" i="1" s="1"/>
  <c r="CO213" i="1" s="1"/>
  <c r="CO119" i="1"/>
  <c r="CO120" i="1" l="1"/>
  <c r="CO69" i="1"/>
  <c r="CO85" i="1" l="1"/>
  <c r="CO78" i="1"/>
  <c r="CO79" i="1"/>
  <c r="CK89" i="1"/>
  <c r="CO70" i="1"/>
  <c r="CO92" i="1"/>
  <c r="CO94" i="1" s="1"/>
  <c r="CO129" i="1"/>
  <c r="CO55" i="1" s="1"/>
  <c r="CO207" i="1"/>
  <c r="CO205" i="1" s="1"/>
  <c r="CO210" i="1" s="1"/>
  <c r="CO54" i="1"/>
  <c r="CO108" i="1" l="1"/>
  <c r="CO82" i="1"/>
  <c r="CO81" i="1"/>
  <c r="CO107" i="1"/>
  <c r="CO160" i="1"/>
  <c r="CO161" i="1" s="1"/>
  <c r="CO211" i="1" l="1"/>
  <c r="CP209" i="1"/>
  <c r="CO244" i="1"/>
  <c r="CO168" i="1"/>
  <c r="CO246" i="1"/>
  <c r="CO248" i="1"/>
  <c r="CO165" i="1"/>
  <c r="CO166" i="1" s="1"/>
  <c r="CO109" i="1" l="1"/>
  <c r="CP36" i="1"/>
  <c r="CP252" i="1" l="1"/>
  <c r="CP38" i="1"/>
  <c r="AB36" i="1"/>
  <c r="CO110" i="1"/>
  <c r="CO113" i="1" s="1"/>
  <c r="CO111" i="1"/>
  <c r="CO114" i="1" s="1"/>
  <c r="AB252" i="1" l="1"/>
  <c r="AB38" i="1"/>
  <c r="AB37" i="1"/>
  <c r="CP39" i="1"/>
  <c r="AB39" i="1" s="1"/>
  <c r="CP41" i="1" l="1"/>
  <c r="AB41" i="1"/>
  <c r="AB48" i="1"/>
  <c r="AB43" i="1"/>
  <c r="CP227" i="1"/>
  <c r="AB40" i="1"/>
  <c r="AB61" i="1" l="1"/>
  <c r="AB42" i="1"/>
  <c r="AB245" i="1" s="1"/>
  <c r="CP44" i="1"/>
  <c r="CP48" i="1"/>
  <c r="CP42" i="1"/>
  <c r="CP245" i="1" s="1"/>
  <c r="CP234" i="1"/>
  <c r="CP43" i="1"/>
  <c r="AB193" i="1"/>
  <c r="AB195" i="1" s="1"/>
  <c r="AB199" i="1" s="1"/>
  <c r="AB213" i="1" s="1"/>
  <c r="AB51" i="1"/>
  <c r="AB52" i="1" s="1"/>
  <c r="CP66" i="1" l="1"/>
  <c r="CP193" i="1"/>
  <c r="CP195" i="1" s="1"/>
  <c r="CP199" i="1" s="1"/>
  <c r="CP213" i="1" s="1"/>
  <c r="CP119" i="1"/>
  <c r="CP69" i="1"/>
  <c r="CP120" i="1" l="1"/>
  <c r="AB119" i="1"/>
  <c r="AB120" i="1" s="1"/>
  <c r="CP79" i="1"/>
  <c r="CP72" i="1"/>
  <c r="CP85" i="1"/>
  <c r="CP78" i="1"/>
  <c r="CP70" i="1"/>
  <c r="CL89" i="1"/>
  <c r="CP207" i="1" l="1"/>
  <c r="CP205" i="1" s="1"/>
  <c r="CP210" i="1" s="1"/>
  <c r="AB207" i="1"/>
  <c r="AB205" i="1" s="1"/>
  <c r="AB210" i="1" s="1"/>
  <c r="AB175" i="1"/>
  <c r="AB129" i="1"/>
  <c r="AB55" i="1" s="1"/>
  <c r="AB54" i="1"/>
  <c r="CP129" i="1"/>
  <c r="CP55" i="1" s="1"/>
  <c r="CP54" i="1"/>
  <c r="CP92" i="1"/>
  <c r="CP94" i="1" s="1"/>
  <c r="CP81" i="1"/>
  <c r="CP107" i="1"/>
  <c r="AB78" i="1"/>
  <c r="CP108" i="1"/>
  <c r="CP82" i="1"/>
  <c r="AB79" i="1"/>
  <c r="CP160" i="1" l="1"/>
  <c r="AB81" i="1"/>
  <c r="AB82" i="1"/>
  <c r="CP161" i="1"/>
  <c r="AB160" i="1" l="1"/>
  <c r="AB161" i="1" s="1"/>
  <c r="CP246" i="1"/>
  <c r="CQ209" i="1"/>
  <c r="CP168" i="1"/>
  <c r="CP248" i="1"/>
  <c r="CP165" i="1"/>
  <c r="CP166" i="1" s="1"/>
  <c r="CP244" i="1"/>
  <c r="CP211" i="1"/>
  <c r="AB248" i="1"/>
  <c r="AC209" i="1"/>
  <c r="AB168" i="1"/>
  <c r="AB109" i="1" s="1"/>
  <c r="AB211" i="1"/>
  <c r="AB165" i="1" l="1"/>
  <c r="AB166" i="1" s="1"/>
  <c r="AB246" i="1"/>
  <c r="AB244" i="1"/>
  <c r="CQ36" i="1"/>
  <c r="CP109" i="1"/>
  <c r="CP111" i="1" l="1"/>
  <c r="CP114" i="1" s="1"/>
  <c r="CP110" i="1"/>
  <c r="CP113" i="1" s="1"/>
  <c r="CQ252" i="1"/>
  <c r="CQ38" i="1"/>
  <c r="CQ39" i="1" l="1"/>
  <c r="CQ41" i="1" l="1"/>
  <c r="CQ227" i="1"/>
  <c r="CQ234" i="1" l="1"/>
  <c r="CQ43" i="1"/>
  <c r="CQ42" i="1"/>
  <c r="CQ245" i="1" s="1"/>
  <c r="CQ48" i="1"/>
  <c r="CQ44" i="1"/>
  <c r="CQ193" i="1" l="1"/>
  <c r="CQ195" i="1" s="1"/>
  <c r="CQ199" i="1" s="1"/>
  <c r="CQ213" i="1" s="1"/>
  <c r="CQ66" i="1"/>
  <c r="CQ119" i="1"/>
  <c r="CQ69" i="1"/>
  <c r="CQ120" i="1" l="1"/>
  <c r="CQ79" i="1"/>
  <c r="CQ70" i="1"/>
  <c r="CQ85" i="1"/>
  <c r="CQ78" i="1"/>
  <c r="CQ129" i="1" l="1"/>
  <c r="CQ55" i="1" s="1"/>
  <c r="CQ92" i="1"/>
  <c r="CQ94" i="1" s="1"/>
  <c r="CQ54" i="1"/>
  <c r="CQ207" i="1"/>
  <c r="CQ205" i="1" s="1"/>
  <c r="CQ210" i="1" s="1"/>
  <c r="CQ107" i="1"/>
  <c r="CQ81" i="1"/>
  <c r="CQ108" i="1"/>
  <c r="CQ82" i="1"/>
  <c r="CQ160" i="1" l="1"/>
  <c r="CQ161" i="1" s="1"/>
  <c r="CQ211" i="1" l="1"/>
  <c r="CQ244" i="1"/>
  <c r="CQ168" i="1"/>
  <c r="CQ246" i="1"/>
  <c r="CR209" i="1"/>
  <c r="CQ165" i="1"/>
  <c r="CQ166" i="1" s="1"/>
  <c r="CQ248" i="1"/>
  <c r="CQ109" i="1" l="1"/>
  <c r="CR36" i="1"/>
  <c r="CQ111" i="1"/>
  <c r="CQ114" i="1" s="1"/>
  <c r="CQ110" i="1"/>
  <c r="CQ113" i="1" s="1"/>
  <c r="CR252" i="1" l="1"/>
  <c r="CR38" i="1"/>
  <c r="CR39" i="1"/>
  <c r="CR41" i="1" s="1"/>
  <c r="CR42" i="1" l="1"/>
  <c r="CR245" i="1" s="1"/>
  <c r="CR44" i="1"/>
  <c r="CR43" i="1"/>
  <c r="CR48" i="1"/>
  <c r="CR234" i="1"/>
  <c r="CR227" i="1"/>
  <c r="CR193" i="1" l="1"/>
  <c r="CR195" i="1" s="1"/>
  <c r="CR199" i="1" s="1"/>
  <c r="CR213" i="1" s="1"/>
  <c r="CR66" i="1"/>
  <c r="CR119" i="1"/>
  <c r="CR120" i="1" l="1"/>
  <c r="CR69" i="1"/>
  <c r="CR207" i="1" l="1"/>
  <c r="CR205" i="1" s="1"/>
  <c r="CR210" i="1" s="1"/>
  <c r="CR129" i="1"/>
  <c r="CR55" i="1" s="1"/>
  <c r="CR92" i="1"/>
  <c r="CR94" i="1" s="1"/>
  <c r="CR54" i="1"/>
  <c r="CR85" i="1"/>
  <c r="CR78" i="1"/>
  <c r="CR79" i="1"/>
  <c r="CR70" i="1"/>
  <c r="CR108" i="1" l="1"/>
  <c r="CR82" i="1"/>
  <c r="CR107" i="1"/>
  <c r="CR81" i="1"/>
  <c r="CR160" i="1"/>
  <c r="CR161" i="1" s="1"/>
  <c r="CR165" i="1" l="1"/>
  <c r="CR166" i="1" s="1"/>
  <c r="CS209" i="1"/>
  <c r="CR168" i="1"/>
  <c r="CR244" i="1"/>
  <c r="CR246" i="1"/>
  <c r="CR248" i="1"/>
  <c r="CR211" i="1"/>
  <c r="CS36" i="1" l="1"/>
  <c r="CR109" i="1"/>
  <c r="CR111" i="1" l="1"/>
  <c r="CR114" i="1" s="1"/>
  <c r="CR110" i="1"/>
  <c r="CR113" i="1" s="1"/>
  <c r="CS38" i="1"/>
  <c r="CS252" i="1"/>
  <c r="CS39" i="1" l="1"/>
  <c r="CS41" i="1" s="1"/>
  <c r="CS43" i="1" l="1"/>
  <c r="CS42" i="1"/>
  <c r="CS245" i="1" s="1"/>
  <c r="CS48" i="1"/>
  <c r="CS234" i="1"/>
  <c r="CS44" i="1"/>
  <c r="CS227" i="1"/>
  <c r="CS193" i="1" l="1"/>
  <c r="CS195" i="1" s="1"/>
  <c r="CS199" i="1" s="1"/>
  <c r="CS213" i="1" s="1"/>
  <c r="CS66" i="1"/>
  <c r="CS119" i="1"/>
  <c r="CS69" i="1" l="1"/>
  <c r="CS120" i="1"/>
  <c r="CS129" i="1" l="1"/>
  <c r="CS55" i="1" s="1"/>
  <c r="CS92" i="1"/>
  <c r="CS94" i="1" s="1"/>
  <c r="CS207" i="1"/>
  <c r="CS205" i="1" s="1"/>
  <c r="CS210" i="1" s="1"/>
  <c r="CS54" i="1"/>
  <c r="CS79" i="1"/>
  <c r="CS85" i="1"/>
  <c r="CS78" i="1"/>
  <c r="CS70" i="1"/>
  <c r="CS107" i="1" l="1"/>
  <c r="CS81" i="1"/>
  <c r="CS82" i="1"/>
  <c r="CS108" i="1"/>
  <c r="CS160" i="1"/>
  <c r="CS161" i="1" s="1"/>
  <c r="CS211" i="1" l="1"/>
  <c r="CT209" i="1"/>
  <c r="CS246" i="1"/>
  <c r="CS248" i="1"/>
  <c r="CS165" i="1"/>
  <c r="CS166" i="1" s="1"/>
  <c r="CS244" i="1"/>
  <c r="CS168" i="1"/>
  <c r="CT36" i="1" l="1"/>
  <c r="CS109" i="1"/>
  <c r="CS111" i="1" l="1"/>
  <c r="CS114" i="1" s="1"/>
  <c r="CS110" i="1"/>
  <c r="CS113" i="1" s="1"/>
  <c r="CT38" i="1"/>
  <c r="CT252" i="1"/>
  <c r="AC36" i="1"/>
  <c r="AC38" i="1" l="1"/>
  <c r="AC252" i="1"/>
  <c r="AC37" i="1"/>
  <c r="CT39" i="1"/>
  <c r="AC39" i="1" s="1"/>
  <c r="CT41" i="1" l="1"/>
  <c r="AC41" i="1"/>
  <c r="CT227" i="1"/>
  <c r="AC40" i="1"/>
  <c r="AC61" i="1"/>
  <c r="AC42" i="1"/>
  <c r="AC245" i="1" s="1"/>
  <c r="AC43" i="1"/>
  <c r="CT48" i="1" l="1"/>
  <c r="CT234" i="1"/>
  <c r="CT44" i="1"/>
  <c r="CT42" i="1"/>
  <c r="CT245" i="1" s="1"/>
  <c r="CT43" i="1"/>
  <c r="AC48" i="1"/>
  <c r="AC51" i="1"/>
  <c r="AC52" i="1" s="1"/>
  <c r="CT66" i="1" l="1"/>
  <c r="CT193" i="1"/>
  <c r="CT195" i="1" s="1"/>
  <c r="CT199" i="1" s="1"/>
  <c r="CT213" i="1" s="1"/>
  <c r="CT119" i="1"/>
  <c r="AC193" i="1"/>
  <c r="AC195" i="1" s="1"/>
  <c r="AC199" i="1" s="1"/>
  <c r="AC213" i="1" s="1"/>
  <c r="CT69" i="1"/>
  <c r="CT120" i="1" l="1"/>
  <c r="AC119" i="1"/>
  <c r="AC120" i="1" s="1"/>
  <c r="CT78" i="1"/>
  <c r="CT79" i="1"/>
  <c r="CT85" i="1"/>
  <c r="CT72" i="1"/>
  <c r="CT70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107" i="1"/>
  <c r="CT81" i="1"/>
  <c r="AC78" i="1"/>
  <c r="CT82" i="1"/>
  <c r="CT108" i="1"/>
  <c r="AC79" i="1"/>
  <c r="CT160" i="1" l="1"/>
  <c r="AC160" i="1"/>
  <c r="AC161" i="1" s="1"/>
  <c r="AC81" i="1"/>
  <c r="AC82" i="1"/>
  <c r="CT161" i="1" l="1"/>
  <c r="CT165" i="1"/>
  <c r="CT166" i="1" s="1"/>
  <c r="CT168" i="1"/>
  <c r="CT246" i="1"/>
  <c r="CT248" i="1"/>
  <c r="CT244" i="1"/>
  <c r="CU209" i="1"/>
  <c r="CT211" i="1"/>
  <c r="AC165" i="1"/>
  <c r="AC166" i="1" s="1"/>
  <c r="AD209" i="1"/>
  <c r="AC244" i="1"/>
  <c r="AC246" i="1"/>
  <c r="AC168" i="1"/>
  <c r="AC109" i="1" s="1"/>
  <c r="AC248" i="1"/>
  <c r="AC211" i="1"/>
  <c r="CU36" i="1" l="1"/>
  <c r="CT109" i="1"/>
  <c r="CT111" i="1" l="1"/>
  <c r="CT114" i="1" s="1"/>
  <c r="CT110" i="1"/>
  <c r="CT113" i="1" s="1"/>
  <c r="CU38" i="1"/>
  <c r="CU252" i="1"/>
  <c r="CU39" i="1" l="1"/>
  <c r="CU41" i="1" l="1"/>
  <c r="CU44" i="1" l="1"/>
  <c r="CU48" i="1"/>
  <c r="CU43" i="1"/>
  <c r="CU23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92" i="1"/>
  <c r="CU94" i="1" s="1"/>
  <c r="CU129" i="1"/>
  <c r="CU55" i="1" s="1"/>
  <c r="CU54" i="1"/>
  <c r="CU160" i="1" l="1"/>
  <c r="CU161" i="1" s="1"/>
  <c r="CU107" i="1"/>
  <c r="CU81" i="1"/>
  <c r="CU82" i="1"/>
  <c r="CU108" i="1"/>
  <c r="CU211" i="1" l="1"/>
  <c r="CU168" i="1"/>
  <c r="CU165" i="1"/>
  <c r="CU166" i="1" s="1"/>
  <c r="CV209" i="1"/>
  <c r="CU244" i="1"/>
  <c r="CU246" i="1"/>
  <c r="CU248" i="1"/>
  <c r="CV36" i="1" l="1"/>
  <c r="CU109" i="1"/>
  <c r="CV38" i="1" l="1"/>
  <c r="CV252" i="1"/>
  <c r="CU111" i="1"/>
  <c r="CU114" i="1" s="1"/>
  <c r="CU110" i="1"/>
  <c r="CU113" i="1" s="1"/>
  <c r="CV39" i="1" l="1"/>
  <c r="CV41" i="1" l="1"/>
  <c r="CV44" i="1" l="1"/>
  <c r="CV48" i="1"/>
  <c r="CV42" i="1"/>
  <c r="CV245" i="1" s="1"/>
  <c r="CV234" i="1"/>
  <c r="CV43" i="1"/>
  <c r="CV227" i="1"/>
  <c r="CV193" i="1" l="1"/>
  <c r="CV195" i="1" s="1"/>
  <c r="CV199" i="1" s="1"/>
  <c r="CV213" i="1" s="1"/>
  <c r="CV66" i="1"/>
  <c r="CV119" i="1"/>
  <c r="CV120" i="1" l="1"/>
  <c r="CV69" i="1"/>
  <c r="CV79" i="1" l="1"/>
  <c r="CV85" i="1"/>
  <c r="CV78" i="1"/>
  <c r="CV70" i="1"/>
  <c r="CV129" i="1"/>
  <c r="CV55" i="1" s="1"/>
  <c r="CV92" i="1"/>
  <c r="CV94" i="1" s="1"/>
  <c r="CV207" i="1"/>
  <c r="CV205" i="1" s="1"/>
  <c r="CV210" i="1" s="1"/>
  <c r="CV54" i="1"/>
  <c r="CV160" i="1" l="1"/>
  <c r="CV161" i="1" s="1"/>
  <c r="CV107" i="1"/>
  <c r="CV81" i="1"/>
  <c r="CV108" i="1"/>
  <c r="CV82" i="1"/>
  <c r="CV211" i="1" l="1"/>
  <c r="CV165" i="1"/>
  <c r="CV166" i="1" s="1"/>
  <c r="CV244" i="1"/>
  <c r="CV248" i="1"/>
  <c r="CV246" i="1"/>
  <c r="CW209" i="1"/>
  <c r="CV168" i="1"/>
  <c r="CW36" i="1" l="1"/>
  <c r="CV109" i="1"/>
  <c r="CV111" i="1" l="1"/>
  <c r="CV114" i="1" s="1"/>
  <c r="CV110" i="1"/>
  <c r="CV113" i="1" s="1"/>
  <c r="CW38" i="1"/>
  <c r="CW252" i="1"/>
  <c r="CW39" i="1" l="1"/>
  <c r="CW41" i="1" l="1"/>
  <c r="CW42" i="1" l="1"/>
  <c r="CW245" i="1" s="1"/>
  <c r="CW44" i="1"/>
  <c r="CW43" i="1"/>
  <c r="CW48" i="1"/>
  <c r="CW234" i="1"/>
  <c r="CW227" i="1"/>
  <c r="CW193" i="1" l="1"/>
  <c r="CW195" i="1" s="1"/>
  <c r="CW199" i="1" s="1"/>
  <c r="CW213" i="1" s="1"/>
  <c r="CW66" i="1"/>
  <c r="CW119" i="1"/>
  <c r="CW120" i="1" l="1"/>
  <c r="CW69" i="1"/>
  <c r="CW79" i="1" l="1"/>
  <c r="CW78" i="1"/>
  <c r="CW85" i="1"/>
  <c r="CW70" i="1"/>
  <c r="CW92" i="1"/>
  <c r="CW94" i="1" s="1"/>
  <c r="CW207" i="1"/>
  <c r="CW205" i="1" s="1"/>
  <c r="CW210" i="1" s="1"/>
  <c r="CW129" i="1"/>
  <c r="CW55" i="1" s="1"/>
  <c r="CW54" i="1"/>
  <c r="CW160" i="1" l="1"/>
  <c r="CW161" i="1" s="1"/>
  <c r="CW107" i="1"/>
  <c r="CW81" i="1"/>
  <c r="CW108" i="1"/>
  <c r="CW82" i="1"/>
  <c r="CW211" i="1" l="1"/>
  <c r="CW168" i="1"/>
  <c r="CW165" i="1"/>
  <c r="CW166" i="1" s="1"/>
  <c r="CW246" i="1"/>
  <c r="CX209" i="1"/>
  <c r="CW244" i="1"/>
  <c r="CW248" i="1"/>
  <c r="CX36" i="1" l="1"/>
  <c r="CW109" i="1"/>
  <c r="CW111" i="1" l="1"/>
  <c r="CW114" i="1" s="1"/>
  <c r="CW110" i="1"/>
  <c r="CW113" i="1" s="1"/>
  <c r="CX252" i="1"/>
  <c r="CX38" i="1"/>
  <c r="AD36" i="1"/>
  <c r="AD37" i="1" l="1"/>
  <c r="AD38" i="1"/>
  <c r="AD252" i="1"/>
  <c r="CX39" i="1"/>
  <c r="AD39" i="1" s="1"/>
  <c r="AD40" i="1" s="1"/>
  <c r="CX41" i="1" l="1"/>
  <c r="AD41" i="1"/>
  <c r="AD61" i="1" l="1"/>
  <c r="AD48" i="1"/>
  <c r="AD42" i="1"/>
  <c r="AD245" i="1" s="1"/>
  <c r="AD43" i="1"/>
  <c r="CX44" i="1"/>
  <c r="CX42" i="1"/>
  <c r="CX245" i="1" s="1"/>
  <c r="CX43" i="1"/>
  <c r="CX48" i="1"/>
  <c r="CX234" i="1"/>
  <c r="CX227" i="1"/>
  <c r="CX193" i="1" l="1"/>
  <c r="CX195" i="1" s="1"/>
  <c r="CX199" i="1" s="1"/>
  <c r="CX213" i="1" s="1"/>
  <c r="CX66" i="1"/>
  <c r="CX119" i="1"/>
  <c r="AD193" i="1"/>
  <c r="AD195" i="1" s="1"/>
  <c r="AD199" i="1" s="1"/>
  <c r="AD213" i="1" s="1"/>
  <c r="AD51" i="1"/>
  <c r="AD52" i="1" s="1"/>
  <c r="AD119" i="1" l="1"/>
  <c r="AD120" i="1" s="1"/>
  <c r="CX120" i="1"/>
  <c r="CX69" i="1"/>
  <c r="CX92" i="1" l="1"/>
  <c r="CX94" i="1" s="1"/>
  <c r="CX207" i="1"/>
  <c r="CX205" i="1" s="1"/>
  <c r="CX210" i="1" s="1"/>
  <c r="CX129" i="1"/>
  <c r="CX55" i="1" s="1"/>
  <c r="CX54" i="1"/>
  <c r="CX78" i="1"/>
  <c r="CX85" i="1"/>
  <c r="CX79" i="1"/>
  <c r="CX70" i="1"/>
  <c r="AD129" i="1"/>
  <c r="AD55" i="1" s="1"/>
  <c r="AD207" i="1"/>
  <c r="AD205" i="1" s="1"/>
  <c r="AD210" i="1" s="1"/>
  <c r="AD175" i="1"/>
  <c r="AD54" i="1"/>
  <c r="CX81" i="1" l="1"/>
  <c r="CX107" i="1"/>
  <c r="AD78" i="1"/>
  <c r="CX160" i="1"/>
  <c r="CX108" i="1"/>
  <c r="CX82" i="1"/>
  <c r="AD79" i="1"/>
  <c r="AD160" i="1" l="1"/>
  <c r="AD161" i="1" s="1"/>
  <c r="CX161" i="1"/>
  <c r="AD81" i="1"/>
  <c r="AD82" i="1"/>
  <c r="CX248" i="1" l="1"/>
  <c r="CX168" i="1"/>
  <c r="CX246" i="1"/>
  <c r="CY209" i="1"/>
  <c r="CX244" i="1"/>
  <c r="CX165" i="1"/>
  <c r="CX166" i="1" s="1"/>
  <c r="CX211" i="1"/>
  <c r="AD246" i="1"/>
  <c r="AD165" i="1"/>
  <c r="AD166" i="1" s="1"/>
  <c r="AD244" i="1"/>
  <c r="AD248" i="1"/>
  <c r="AE209" i="1"/>
  <c r="AD168" i="1"/>
  <c r="AD109" i="1" s="1"/>
  <c r="AD211" i="1"/>
  <c r="CY36" i="1" l="1"/>
  <c r="CX109" i="1"/>
  <c r="CX111" i="1" l="1"/>
  <c r="CX114" i="1" s="1"/>
  <c r="CX110" i="1"/>
  <c r="CX113" i="1" s="1"/>
  <c r="CY252" i="1"/>
  <c r="CY38" i="1"/>
  <c r="CY39" i="1" l="1"/>
  <c r="CY41" i="1" l="1"/>
  <c r="CY43" i="1"/>
  <c r="CY48" i="1"/>
  <c r="CY234" i="1"/>
  <c r="CY227" i="1"/>
  <c r="CY44" i="1" l="1"/>
  <c r="CY42" i="1"/>
  <c r="CY245" i="1" s="1"/>
  <c r="CY193" i="1"/>
  <c r="CY195" i="1" s="1"/>
  <c r="CY199" i="1" s="1"/>
  <c r="CY213" i="1" s="1"/>
  <c r="CY66" i="1"/>
  <c r="CY119" i="1"/>
  <c r="CY120" i="1" l="1"/>
  <c r="CY69" i="1"/>
  <c r="CY78" i="1" l="1"/>
  <c r="CY85" i="1"/>
  <c r="CY79" i="1"/>
  <c r="CY70" i="1"/>
  <c r="CY129" i="1"/>
  <c r="CY55" i="1" s="1"/>
  <c r="CY92" i="1"/>
  <c r="CY94" i="1" s="1"/>
  <c r="CY207" i="1"/>
  <c r="CY205" i="1" s="1"/>
  <c r="CY210" i="1" s="1"/>
  <c r="CY54" i="1"/>
  <c r="CY160" i="1" l="1"/>
  <c r="CY161" i="1" s="1"/>
  <c r="CY108" i="1"/>
  <c r="CY82" i="1"/>
  <c r="CY81" i="1"/>
  <c r="CY107" i="1"/>
  <c r="CY244" i="1" l="1"/>
  <c r="CZ209" i="1"/>
  <c r="CY165" i="1"/>
  <c r="CY166" i="1" s="1"/>
  <c r="CY246" i="1"/>
  <c r="CY168" i="1"/>
  <c r="CY248" i="1"/>
  <c r="CY211" i="1"/>
  <c r="CY109" i="1" l="1"/>
  <c r="CZ36" i="1"/>
  <c r="CZ252" i="1" l="1"/>
  <c r="CZ38" i="1"/>
  <c r="CY110" i="1"/>
  <c r="CY113" i="1" s="1"/>
  <c r="CY111" i="1"/>
  <c r="CY114" i="1" s="1"/>
  <c r="CZ39" i="1" l="1"/>
  <c r="CZ41" i="1" l="1"/>
  <c r="CZ42" i="1" l="1"/>
  <c r="CZ245" i="1" s="1"/>
  <c r="CZ234" i="1"/>
  <c r="CZ48" i="1"/>
  <c r="CZ44" i="1"/>
  <c r="CZ43" i="1"/>
  <c r="CZ227" i="1"/>
  <c r="CZ193" i="1" l="1"/>
  <c r="CZ195" i="1" s="1"/>
  <c r="CZ199" i="1" s="1"/>
  <c r="CZ213" i="1" s="1"/>
  <c r="CZ66" i="1"/>
  <c r="CZ119" i="1"/>
  <c r="CZ120" i="1" l="1"/>
  <c r="CZ69" i="1"/>
  <c r="CZ85" i="1" l="1"/>
  <c r="CZ78" i="1"/>
  <c r="CZ79" i="1"/>
  <c r="CZ70" i="1"/>
  <c r="CZ207" i="1"/>
  <c r="CZ205" i="1" s="1"/>
  <c r="CZ210" i="1" s="1"/>
  <c r="CZ92" i="1"/>
  <c r="CZ94" i="1" s="1"/>
  <c r="CZ129" i="1"/>
  <c r="CZ55" i="1" s="1"/>
  <c r="CZ54" i="1"/>
  <c r="CZ160" i="1" l="1"/>
  <c r="CZ161" i="1" s="1"/>
  <c r="CZ82" i="1"/>
  <c r="CZ108" i="1"/>
  <c r="CZ107" i="1"/>
  <c r="CZ81" i="1"/>
  <c r="CZ248" i="1" l="1"/>
  <c r="DA209" i="1"/>
  <c r="CZ165" i="1"/>
  <c r="CZ166" i="1" s="1"/>
  <c r="CZ244" i="1"/>
  <c r="CZ168" i="1"/>
  <c r="CZ246" i="1"/>
  <c r="CZ211" i="1"/>
  <c r="DA36" i="1" l="1"/>
  <c r="CZ109" i="1"/>
  <c r="CZ110" i="1" l="1"/>
  <c r="CZ113" i="1" s="1"/>
  <c r="CZ111" i="1"/>
  <c r="CZ114" i="1" s="1"/>
  <c r="DA252" i="1"/>
  <c r="DA38" i="1"/>
  <c r="DA39" i="1" l="1"/>
  <c r="DA41" i="1" l="1"/>
  <c r="DA44" i="1" l="1"/>
  <c r="DA43" i="1"/>
  <c r="DA234" i="1"/>
  <c r="DA48" i="1"/>
  <c r="DA42" i="1"/>
  <c r="DA245" i="1" s="1"/>
  <c r="DA227" i="1"/>
  <c r="DA193" i="1" l="1"/>
  <c r="DA195" i="1" s="1"/>
  <c r="DA199" i="1" s="1"/>
  <c r="DA213" i="1" s="1"/>
  <c r="DA66" i="1"/>
  <c r="DA119" i="1"/>
  <c r="DA120" i="1" l="1"/>
  <c r="DA69" i="1"/>
  <c r="DA78" i="1" l="1"/>
  <c r="DA85" i="1"/>
  <c r="DA79" i="1"/>
  <c r="DA70" i="1"/>
  <c r="DA207" i="1"/>
  <c r="DA205" i="1" s="1"/>
  <c r="DA210" i="1" s="1"/>
  <c r="DA92" i="1"/>
  <c r="DA94" i="1" s="1"/>
  <c r="DA129" i="1"/>
  <c r="DA55" i="1" s="1"/>
  <c r="DA54" i="1"/>
  <c r="DA160" i="1" l="1"/>
  <c r="DA161" i="1" s="1"/>
  <c r="DA108" i="1"/>
  <c r="DA82" i="1"/>
  <c r="DA81" i="1"/>
  <c r="DA107" i="1"/>
  <c r="DA211" i="1" l="1"/>
  <c r="DA244" i="1"/>
  <c r="DA248" i="1"/>
  <c r="DB209" i="1"/>
  <c r="DA168" i="1"/>
  <c r="DA246" i="1"/>
  <c r="DA165" i="1"/>
  <c r="DA166" i="1" s="1"/>
  <c r="DB36" i="1" l="1"/>
  <c r="DA109" i="1"/>
  <c r="DA110" i="1" l="1"/>
  <c r="DA113" i="1" s="1"/>
  <c r="DA111" i="1"/>
  <c r="DA114" i="1" s="1"/>
  <c r="DB38" i="1"/>
  <c r="DB252" i="1"/>
  <c r="AE36" i="1"/>
  <c r="AE38" i="1" l="1"/>
  <c r="AE37" i="1"/>
  <c r="AE252" i="1"/>
  <c r="DB39" i="1"/>
  <c r="AE39" i="1" s="1"/>
  <c r="AE40" i="1" s="1"/>
  <c r="DB41" i="1" l="1"/>
  <c r="DB227" i="1"/>
  <c r="AE41" i="1"/>
  <c r="DB42" i="1" l="1"/>
  <c r="DB245" i="1" s="1"/>
  <c r="DB43" i="1"/>
  <c r="DB48" i="1"/>
  <c r="DB44" i="1"/>
  <c r="DB234" i="1"/>
  <c r="AE42" i="1"/>
  <c r="AE245" i="1" s="1"/>
  <c r="AE48" i="1"/>
  <c r="AE61" i="1"/>
  <c r="AE43" i="1"/>
  <c r="DB66" i="1"/>
  <c r="DB69" i="1" s="1"/>
  <c r="DB193" i="1"/>
  <c r="DB195" i="1" s="1"/>
  <c r="DB199" i="1" s="1"/>
  <c r="DB213" i="1" s="1"/>
  <c r="DB119" i="1" l="1"/>
  <c r="AE119" i="1"/>
  <c r="AE120" i="1" s="1"/>
  <c r="DB120" i="1"/>
  <c r="DB85" i="1"/>
  <c r="DB79" i="1"/>
  <c r="DB78" i="1"/>
  <c r="DB70" i="1"/>
  <c r="AE51" i="1"/>
  <c r="AE52" i="1" s="1"/>
  <c r="AE193" i="1"/>
  <c r="AE195" i="1" s="1"/>
  <c r="AE199" i="1" s="1"/>
  <c r="AE213" i="1" s="1"/>
  <c r="AE54" i="1" l="1"/>
  <c r="DB107" i="1"/>
  <c r="DB81" i="1"/>
  <c r="AE78" i="1"/>
  <c r="DB108" i="1"/>
  <c r="DB82" i="1"/>
  <c r="AE79" i="1"/>
  <c r="DB129" i="1"/>
  <c r="DB55" i="1" s="1"/>
  <c r="DB207" i="1"/>
  <c r="DB205" i="1" s="1"/>
  <c r="DB210" i="1" s="1"/>
  <c r="DB92" i="1"/>
  <c r="DB94" i="1" s="1"/>
  <c r="DB54" i="1"/>
  <c r="AE175" i="1"/>
  <c r="AE207" i="1"/>
  <c r="AE205" i="1" s="1"/>
  <c r="AE210" i="1" s="1"/>
  <c r="AE129" i="1"/>
  <c r="AE55" i="1" s="1"/>
  <c r="AE82" i="1" l="1"/>
  <c r="AE81" i="1"/>
  <c r="DB160" i="1"/>
  <c r="DB161" i="1" l="1"/>
  <c r="AE160" i="1"/>
  <c r="AE161" i="1" s="1"/>
  <c r="AE248" i="1" l="1"/>
  <c r="AE168" i="1"/>
  <c r="AE109" i="1" s="1"/>
  <c r="AE244" i="1"/>
  <c r="AE246" i="1"/>
  <c r="AE165" i="1"/>
  <c r="AE166" i="1" s="1"/>
  <c r="AE211" i="1"/>
  <c r="DB246" i="1"/>
  <c r="DB165" i="1"/>
  <c r="DB166" i="1" s="1"/>
  <c r="DB168" i="1"/>
  <c r="DB109" i="1" s="1"/>
  <c r="DB244" i="1"/>
  <c r="DB248" i="1"/>
  <c r="DB211" i="1"/>
  <c r="DB110" i="1" l="1"/>
  <c r="DB113" i="1" s="1"/>
  <c r="DB111" i="1"/>
  <c r="DB114" i="1" s="1"/>
  <c r="IT15" i="4" l="1"/>
  <c r="HT9" i="4"/>
  <c r="IL7" i="4"/>
  <c r="IB8" i="4"/>
  <c r="IA16" i="4"/>
  <c r="IA21" i="4"/>
  <c r="AU77" i="1"/>
  <c r="II16" i="4"/>
  <c r="II21" i="4"/>
  <c r="BC77" i="1"/>
  <c r="JF9" i="4"/>
  <c r="II8" i="4"/>
  <c r="JE14" i="4"/>
  <c r="IF9" i="4"/>
  <c r="ID8" i="4"/>
  <c r="JA7" i="4"/>
  <c r="IJ15" i="4"/>
  <c r="IV9" i="4"/>
  <c r="IE16" i="4"/>
  <c r="IZ9" i="4"/>
  <c r="IZ16" i="4"/>
  <c r="IZ21" i="4"/>
  <c r="BT77" i="1"/>
  <c r="HR16" i="4"/>
  <c r="HW16" i="4"/>
  <c r="HW21" i="4"/>
  <c r="AQ77" i="1"/>
  <c r="JH15" i="4"/>
  <c r="IX16" i="4"/>
  <c r="IR15" i="4"/>
  <c r="IW15" i="4"/>
  <c r="IG8" i="4"/>
  <c r="JE9" i="4"/>
  <c r="JE21" i="4"/>
  <c r="BY77" i="1"/>
  <c r="IR7" i="4"/>
  <c r="IP14" i="4"/>
  <c r="IC8" i="4"/>
  <c r="IN16" i="4"/>
  <c r="IC7" i="4"/>
  <c r="IY9" i="4"/>
  <c r="IM16" i="4"/>
  <c r="JB9" i="4"/>
  <c r="IO9" i="4"/>
  <c r="IG16" i="4"/>
  <c r="IG21" i="4"/>
  <c r="BA77" i="1"/>
  <c r="JA9" i="4"/>
  <c r="JI9" i="4"/>
  <c r="JF8" i="4"/>
  <c r="JH9" i="4"/>
  <c r="IR9" i="4"/>
  <c r="HY9" i="4"/>
  <c r="IF15" i="4"/>
  <c r="HU8" i="4"/>
  <c r="IW14" i="4"/>
  <c r="IM9" i="4"/>
  <c r="IM21" i="4"/>
  <c r="BG77" i="1"/>
  <c r="JD9" i="4"/>
  <c r="HV16" i="4"/>
  <c r="IL14" i="4"/>
  <c r="II9" i="4"/>
  <c r="IT16" i="4"/>
  <c r="HT7" i="4"/>
  <c r="JG7" i="4"/>
  <c r="HQ7" i="4"/>
  <c r="IK16" i="4"/>
  <c r="JI16" i="4"/>
  <c r="IG14" i="4"/>
  <c r="IN21" i="4"/>
  <c r="BH77" i="1"/>
  <c r="IS9" i="4"/>
  <c r="JB16" i="4"/>
  <c r="HR21" i="4"/>
  <c r="IE21" i="4"/>
  <c r="AY77" i="1"/>
  <c r="HX7" i="4"/>
  <c r="HT14" i="4"/>
  <c r="IJ16" i="4"/>
  <c r="IJ21" i="4"/>
  <c r="BD77" i="1"/>
  <c r="HV15" i="4"/>
  <c r="IK21" i="4"/>
  <c r="BE77" i="1"/>
  <c r="IW19" i="4"/>
  <c r="IX21" i="4"/>
  <c r="BR77" i="1"/>
  <c r="HP14" i="4"/>
  <c r="IL19" i="4"/>
  <c r="BF78" i="1"/>
  <c r="BF107" i="1"/>
  <c r="IW20" i="4"/>
  <c r="BQ79" i="1"/>
  <c r="HV20" i="4"/>
  <c r="HT19" i="4"/>
  <c r="IJ20" i="4"/>
  <c r="JH20" i="4"/>
  <c r="IG19" i="4"/>
  <c r="BA78" i="1"/>
  <c r="BA107" i="1"/>
  <c r="IP19" i="4"/>
  <c r="BJ78" i="1"/>
  <c r="BJ107" i="1"/>
  <c r="IT20" i="4"/>
  <c r="BN79" i="1"/>
  <c r="BN108" i="1"/>
  <c r="IF20" i="4"/>
  <c r="JE19" i="4"/>
  <c r="IR20" i="4"/>
  <c r="BL79" i="1"/>
  <c r="BL96" i="1"/>
  <c r="BL108" i="1"/>
  <c r="BL111" i="1"/>
  <c r="BY94" i="1"/>
  <c r="BJ95" i="1"/>
  <c r="BJ110" i="1"/>
  <c r="HV21" i="4"/>
  <c r="BC102" i="1"/>
  <c r="BF103" i="1"/>
  <c r="BH94" i="1"/>
  <c r="AU102" i="1"/>
  <c r="BJ103" i="1"/>
  <c r="BN104" i="1"/>
  <c r="BR102" i="1"/>
  <c r="BG102" i="1"/>
  <c r="BT102" i="1"/>
  <c r="BY102" i="1"/>
  <c r="BD102" i="1"/>
  <c r="BQ104" i="1"/>
  <c r="BE102" i="1"/>
  <c r="BL104" i="1"/>
  <c r="AQ102" i="1"/>
  <c r="AY102" i="1"/>
  <c r="BH102" i="1"/>
  <c r="BA102" i="1"/>
  <c r="BA103" i="1"/>
  <c r="BR94" i="1"/>
  <c r="BN96" i="1"/>
  <c r="BD94" i="1"/>
  <c r="BT94" i="1"/>
  <c r="BF95" i="1"/>
  <c r="BN111" i="1"/>
  <c r="BF110" i="1"/>
  <c r="BL114" i="1"/>
  <c r="BJ113" i="1"/>
  <c r="BQ96" i="1"/>
  <c r="BA95" i="1"/>
  <c r="BA94" i="1"/>
  <c r="AU85" i="1"/>
  <c r="AY94" i="1"/>
  <c r="AU94" i="1"/>
  <c r="BF89" i="1"/>
  <c r="BE94" i="1"/>
  <c r="BF86" i="1"/>
  <c r="BR85" i="1"/>
  <c r="BT85" i="1"/>
  <c r="BL87" i="1"/>
  <c r="AQ94" i="1"/>
  <c r="BC94" i="1"/>
  <c r="AQ85" i="1"/>
  <c r="BH85" i="1"/>
  <c r="BE85" i="1"/>
  <c r="BJ86" i="1"/>
  <c r="BQ87" i="1"/>
  <c r="BD85" i="1"/>
  <c r="BC85" i="1"/>
  <c r="BA85" i="1"/>
  <c r="BA86" i="1"/>
  <c r="BG85" i="1"/>
  <c r="BA89" i="1"/>
  <c r="AY85" i="1"/>
  <c r="BY85" i="1"/>
  <c r="BJ89" i="1"/>
  <c r="BN87" i="1"/>
  <c r="BG94" i="1"/>
  <c r="BM90" i="1"/>
  <c r="BI90" i="1"/>
  <c r="BD90" i="1"/>
  <c r="BA110" i="1"/>
  <c r="BA113" i="1"/>
  <c r="IT21" i="4" l="1"/>
  <c r="BN77" i="1" s="1"/>
  <c r="BN85" i="1" s="1"/>
  <c r="JI21" i="4"/>
  <c r="CC77" i="1" s="1"/>
  <c r="JB21" i="4"/>
  <c r="BV77" i="1" s="1"/>
  <c r="AL77" i="1"/>
  <c r="BQ108" i="1"/>
  <c r="BQ111" i="1" s="1"/>
  <c r="BQ114" i="1" s="1"/>
  <c r="AN78" i="1"/>
  <c r="AZ79" i="1"/>
  <c r="BY78" i="1"/>
  <c r="BN102" i="1"/>
  <c r="BN94" i="1"/>
  <c r="BN114" i="1"/>
  <c r="BQ78" i="1"/>
  <c r="HP19" i="4"/>
  <c r="AJ78" i="1" s="1"/>
  <c r="AP79" i="1"/>
  <c r="BD79" i="1"/>
  <c r="CB79" i="1"/>
  <c r="AP77" i="1"/>
  <c r="BF113" i="1"/>
  <c r="CC94" i="1" l="1"/>
  <c r="CC102" i="1"/>
  <c r="CC85" i="1"/>
  <c r="BV85" i="1"/>
  <c r="BV94" i="1"/>
  <c r="BV102" i="1"/>
  <c r="AL85" i="1"/>
  <c r="AL102" i="1"/>
  <c r="AL94" i="1"/>
  <c r="AN86" i="1"/>
  <c r="AQ90" i="1" s="1"/>
  <c r="AN103" i="1"/>
  <c r="AN107" i="1"/>
  <c r="AN110" i="1" s="1"/>
  <c r="AN113" i="1" s="1"/>
  <c r="AN89" i="1"/>
  <c r="AN95" i="1"/>
  <c r="AZ87" i="1"/>
  <c r="AZ104" i="1"/>
  <c r="AZ96" i="1"/>
  <c r="AZ108" i="1"/>
  <c r="AZ111" i="1" s="1"/>
  <c r="AZ114" i="1" s="1"/>
  <c r="BY103" i="1"/>
  <c r="BY95" i="1"/>
  <c r="BY86" i="1"/>
  <c r="CB90" i="1" s="1"/>
  <c r="BY89" i="1"/>
  <c r="BY107" i="1"/>
  <c r="BY110" i="1" s="1"/>
  <c r="BY113" i="1" s="1"/>
  <c r="BQ89" i="1"/>
  <c r="BQ103" i="1"/>
  <c r="BQ86" i="1"/>
  <c r="BT90" i="1" s="1"/>
  <c r="BQ95" i="1"/>
  <c r="BQ107" i="1"/>
  <c r="BQ110" i="1" s="1"/>
  <c r="BQ113" i="1" s="1"/>
  <c r="AP87" i="1"/>
  <c r="AP96" i="1"/>
  <c r="AP104" i="1"/>
  <c r="AP108" i="1"/>
  <c r="AP111" i="1" s="1"/>
  <c r="AP114" i="1" s="1"/>
  <c r="BD87" i="1"/>
  <c r="BD96" i="1"/>
  <c r="BD104" i="1"/>
  <c r="BD108" i="1"/>
  <c r="BD111" i="1" s="1"/>
  <c r="BD114" i="1" s="1"/>
  <c r="CB87" i="1"/>
  <c r="CB108" i="1"/>
  <c r="CB111" i="1" s="1"/>
  <c r="CB114" i="1" s="1"/>
  <c r="CB104" i="1"/>
  <c r="CB96" i="1"/>
  <c r="AP94" i="1"/>
  <c r="AP85" i="1"/>
  <c r="AP102" i="1"/>
  <c r="AA63" i="1"/>
  <c r="AB63" i="1"/>
  <c r="AA65" i="1"/>
  <c r="AA66" i="1"/>
  <c r="AA69" i="1"/>
  <c r="AA86" i="1"/>
  <c r="AA85" i="1"/>
  <c r="AA87" i="1"/>
  <c r="AA99" i="1"/>
  <c r="AA104" i="1"/>
  <c r="AB64" i="1"/>
  <c r="AA64" i="1"/>
  <c r="AC64" i="1"/>
  <c r="AD64" i="1"/>
  <c r="AE64" i="1"/>
  <c r="Z63" i="1"/>
  <c r="Y63" i="1"/>
  <c r="Z65" i="1"/>
  <c r="AC63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Y95" i="1"/>
  <c r="Y94" i="1"/>
  <c r="Y96" i="1"/>
  <c r="Y68" i="1"/>
  <c r="Y103" i="1"/>
  <c r="Y104" i="1"/>
  <c r="X65" i="1"/>
  <c r="X107" i="1"/>
  <c r="X110" i="1"/>
  <c r="X113" i="1"/>
  <c r="X108" i="1"/>
  <c r="X111" i="1"/>
  <c r="X114" i="1"/>
  <c r="Y69" i="1"/>
  <c r="Y102" i="1"/>
  <c r="Y85" i="1"/>
  <c r="Y86" i="1"/>
  <c r="Y87" i="1"/>
  <c r="X66" i="1"/>
  <c r="X69" i="1"/>
  <c r="Y70" i="1"/>
  <c r="X68" i="1"/>
  <c r="X92" i="1"/>
  <c r="X95" i="1"/>
  <c r="X94" i="1"/>
  <c r="X96" i="1"/>
  <c r="X99" i="1"/>
  <c r="X104" i="1"/>
  <c r="X103" i="1"/>
  <c r="X102" i="1"/>
  <c r="X87" i="1"/>
  <c r="X85" i="1"/>
  <c r="X86" i="1"/>
  <c r="O63" i="1"/>
  <c r="N63" i="1"/>
  <c r="N65" i="1"/>
  <c r="N66" i="1"/>
  <c r="N69" i="1"/>
  <c r="P65" i="1"/>
  <c r="M63" i="1"/>
  <c r="L63" i="1"/>
  <c r="K63" i="1"/>
  <c r="J63" i="1"/>
  <c r="I63" i="1"/>
  <c r="I65" i="1"/>
  <c r="I99" i="1"/>
  <c r="Q65" i="1"/>
  <c r="Q99" i="1"/>
  <c r="U65" i="1"/>
  <c r="U99" i="1"/>
  <c r="H63" i="1"/>
  <c r="G63" i="1"/>
  <c r="F63" i="1"/>
  <c r="F65" i="1"/>
  <c r="F99" i="1"/>
  <c r="R65" i="1"/>
  <c r="R99" i="1"/>
  <c r="T65" i="1"/>
  <c r="E63" i="1"/>
  <c r="E65" i="1"/>
  <c r="E99" i="1"/>
  <c r="H65" i="1"/>
  <c r="H99" i="1"/>
  <c r="S65" i="1"/>
  <c r="V65" i="1"/>
  <c r="V99" i="1"/>
  <c r="G65" i="1"/>
  <c r="G66" i="1"/>
  <c r="G69" i="1"/>
  <c r="L65" i="1"/>
  <c r="L99" i="1"/>
  <c r="U66" i="1"/>
  <c r="U69" i="1"/>
  <c r="T66" i="1"/>
  <c r="T69" i="1"/>
  <c r="O65" i="1"/>
  <c r="O99" i="1"/>
  <c r="K65" i="1"/>
  <c r="K66" i="1"/>
  <c r="F66" i="1"/>
  <c r="F69" i="1"/>
  <c r="S66" i="1"/>
  <c r="R66" i="1"/>
  <c r="R69" i="1"/>
  <c r="K99" i="1"/>
  <c r="T99" i="1"/>
  <c r="P99" i="1"/>
  <c r="G99" i="1"/>
  <c r="S99" i="1"/>
  <c r="J65" i="1"/>
  <c r="J99" i="1"/>
  <c r="N99" i="1"/>
  <c r="H66" i="1"/>
  <c r="V66" i="1"/>
  <c r="O107" i="1"/>
  <c r="M89" i="1"/>
  <c r="F85" i="1"/>
  <c r="K103" i="1"/>
  <c r="V108" i="1"/>
  <c r="R85" i="1"/>
  <c r="J103" i="1"/>
  <c r="G107" i="1"/>
  <c r="H68" i="1"/>
  <c r="U87" i="1"/>
  <c r="V68" i="1"/>
  <c r="N68" i="1"/>
  <c r="V102" i="1"/>
  <c r="I102" i="1"/>
  <c r="E102" i="1"/>
  <c r="O103" i="1"/>
  <c r="H102" i="1"/>
  <c r="N108" i="1"/>
  <c r="K69" i="1"/>
  <c r="O66" i="1"/>
  <c r="S69" i="1"/>
  <c r="K102" i="1"/>
  <c r="R68" i="1"/>
  <c r="S103" i="1"/>
  <c r="U68" i="1"/>
  <c r="J104" i="1"/>
  <c r="N104" i="1"/>
  <c r="T87" i="1"/>
  <c r="Q89" i="1"/>
  <c r="S102" i="1"/>
  <c r="O102" i="1"/>
  <c r="F107" i="1"/>
  <c r="U86" i="1"/>
  <c r="K107" i="1"/>
  <c r="H104" i="1"/>
  <c r="T86" i="1"/>
  <c r="U102" i="1"/>
  <c r="T108" i="1"/>
  <c r="E103" i="1"/>
  <c r="E107" i="1"/>
  <c r="O108" i="1"/>
  <c r="R107" i="1"/>
  <c r="R86" i="1"/>
  <c r="N92" i="1"/>
  <c r="N95" i="1"/>
  <c r="K86" i="1"/>
  <c r="R70" i="1"/>
  <c r="K70" i="1"/>
  <c r="K87" i="1"/>
  <c r="F70" i="1"/>
  <c r="O68" i="1"/>
  <c r="O69" i="1"/>
  <c r="S86" i="1"/>
  <c r="S70" i="1"/>
  <c r="T70" i="1"/>
  <c r="S85" i="1"/>
  <c r="R89" i="1"/>
  <c r="S87" i="1"/>
  <c r="L66" i="1"/>
  <c r="L69" i="1"/>
  <c r="L85" i="1"/>
  <c r="L86" i="1"/>
  <c r="L87" i="1"/>
  <c r="K89" i="1"/>
  <c r="N87" i="1"/>
  <c r="T103" i="1"/>
  <c r="G85" i="1"/>
  <c r="G102" i="1"/>
  <c r="G108" i="1"/>
  <c r="N85" i="1"/>
  <c r="J102" i="1"/>
  <c r="S107" i="1"/>
  <c r="P102" i="1"/>
  <c r="L108" i="1"/>
  <c r="L104" i="1"/>
  <c r="Q107" i="1"/>
  <c r="I108" i="1"/>
  <c r="Q104" i="1"/>
  <c r="R108" i="1"/>
  <c r="R87" i="1"/>
  <c r="U85" i="1"/>
  <c r="U108" i="1"/>
  <c r="T85" i="1"/>
  <c r="P107" i="1"/>
  <c r="P103" i="1"/>
  <c r="L107" i="1"/>
  <c r="E89" i="1"/>
  <c r="O104" i="1"/>
  <c r="K108" i="1"/>
  <c r="K104" i="1"/>
  <c r="R103" i="1"/>
  <c r="V103" i="1"/>
  <c r="V107" i="1"/>
  <c r="V92" i="1"/>
  <c r="N96" i="1"/>
  <c r="N94" i="1"/>
  <c r="N89" i="1"/>
  <c r="O86" i="1"/>
  <c r="O87" i="1"/>
  <c r="O70" i="1"/>
  <c r="O85" i="1"/>
  <c r="I107" i="1"/>
  <c r="I110" i="1"/>
  <c r="I113" i="1"/>
  <c r="R110" i="1"/>
  <c r="R113" i="1"/>
  <c r="O92" i="1"/>
  <c r="E92" i="1"/>
  <c r="H92" i="1"/>
  <c r="T92" i="1"/>
  <c r="I92" i="1"/>
  <c r="F92" i="1"/>
  <c r="U92" i="1"/>
  <c r="R92" i="1"/>
  <c r="G92" i="1"/>
  <c r="J92" i="1"/>
  <c r="K92" i="1"/>
  <c r="S92" i="1"/>
  <c r="U70" i="1"/>
  <c r="V69" i="1"/>
  <c r="T68" i="1"/>
  <c r="K68" i="1"/>
  <c r="G68" i="1"/>
  <c r="N107" i="1"/>
  <c r="N103" i="1"/>
  <c r="F103" i="1"/>
  <c r="E108" i="1"/>
  <c r="U107" i="1"/>
  <c r="R102" i="1"/>
  <c r="F87" i="1"/>
  <c r="S108" i="1"/>
  <c r="L92" i="1"/>
  <c r="G104" i="1"/>
  <c r="H107" i="1"/>
  <c r="N102" i="1"/>
  <c r="I104" i="1"/>
  <c r="T107" i="1"/>
  <c r="U104" i="1"/>
  <c r="Q92" i="1"/>
  <c r="P92" i="1"/>
  <c r="G96" i="1"/>
  <c r="J108" i="1"/>
  <c r="J111" i="1"/>
  <c r="J114" i="1"/>
  <c r="G111" i="1"/>
  <c r="G114" i="1"/>
  <c r="Q110" i="1"/>
  <c r="Q113" i="1"/>
  <c r="O110" i="1"/>
  <c r="O113" i="1"/>
  <c r="J95" i="1"/>
  <c r="K111" i="1"/>
  <c r="K114" i="1"/>
  <c r="K96" i="1"/>
  <c r="S95" i="1"/>
  <c r="Q95" i="1"/>
  <c r="Q96" i="1"/>
  <c r="Q94" i="1"/>
  <c r="P94" i="1"/>
  <c r="P95" i="1"/>
  <c r="P96" i="1"/>
  <c r="U110" i="1"/>
  <c r="U113" i="1"/>
  <c r="U111" i="1"/>
  <c r="U114" i="1"/>
  <c r="P108" i="1"/>
  <c r="P111" i="1"/>
  <c r="P114" i="1"/>
  <c r="P110" i="1"/>
  <c r="P113" i="1"/>
  <c r="L111" i="1"/>
  <c r="L114" i="1"/>
  <c r="L110" i="1"/>
  <c r="L113" i="1"/>
  <c r="M65" i="1"/>
  <c r="M108" i="1"/>
  <c r="M111" i="1"/>
  <c r="M114" i="1"/>
  <c r="M107" i="1"/>
  <c r="M110" i="1"/>
  <c r="M113" i="1"/>
  <c r="E110" i="1"/>
  <c r="E113" i="1"/>
  <c r="E111" i="1"/>
  <c r="E114" i="1"/>
  <c r="N111" i="1"/>
  <c r="N114" i="1"/>
  <c r="N110" i="1"/>
  <c r="N113" i="1"/>
  <c r="V95" i="1"/>
  <c r="V94" i="1"/>
  <c r="V96" i="1"/>
  <c r="R111" i="1"/>
  <c r="R114" i="1"/>
  <c r="I111" i="1"/>
  <c r="I114" i="1"/>
  <c r="M92" i="1"/>
  <c r="M95" i="1"/>
  <c r="M96" i="1"/>
  <c r="M94" i="1"/>
  <c r="H94" i="1"/>
  <c r="H95" i="1"/>
  <c r="H96" i="1"/>
  <c r="E94" i="1"/>
  <c r="E95" i="1"/>
  <c r="E96" i="1"/>
  <c r="O94" i="1"/>
  <c r="O96" i="1"/>
  <c r="O95" i="1"/>
  <c r="V111" i="1"/>
  <c r="V114" i="1"/>
  <c r="V110" i="1"/>
  <c r="V113" i="1"/>
  <c r="T110" i="1"/>
  <c r="T113" i="1"/>
  <c r="T111" i="1"/>
  <c r="T114" i="1"/>
  <c r="I96" i="1"/>
  <c r="I94" i="1"/>
  <c r="I95" i="1"/>
  <c r="U95" i="1"/>
  <c r="U96" i="1"/>
  <c r="U94" i="1"/>
  <c r="R95" i="1"/>
  <c r="R96" i="1"/>
  <c r="R94" i="1"/>
  <c r="T94" i="1"/>
  <c r="T95" i="1"/>
  <c r="T96" i="1"/>
  <c r="S110" i="1"/>
  <c r="S113" i="1"/>
  <c r="S111" i="1"/>
  <c r="S114" i="1"/>
  <c r="F110" i="1"/>
  <c r="F113" i="1"/>
  <c r="F108" i="1"/>
  <c r="F111" i="1"/>
  <c r="F114" i="1"/>
  <c r="F94" i="1"/>
  <c r="F95" i="1"/>
  <c r="F96" i="1"/>
  <c r="G95" i="1"/>
  <c r="G94" i="1"/>
  <c r="J107" i="1"/>
  <c r="J110" i="1"/>
  <c r="J113" i="1"/>
  <c r="H108" i="1"/>
  <c r="H111" i="1"/>
  <c r="H114" i="1"/>
  <c r="H110" i="1"/>
  <c r="H113" i="1"/>
  <c r="G110" i="1"/>
  <c r="G113" i="1"/>
  <c r="Q108" i="1"/>
  <c r="Q111" i="1"/>
  <c r="Q114" i="1"/>
  <c r="O111" i="1"/>
  <c r="O114" i="1"/>
  <c r="J94" i="1"/>
  <c r="J96" i="1"/>
  <c r="K110" i="1"/>
  <c r="Z68" i="1"/>
  <c r="Z96" i="1"/>
  <c r="Z95" i="1"/>
  <c r="Z103" i="1"/>
  <c r="AD65" i="1"/>
  <c r="AE63" i="1"/>
  <c r="E66" i="1"/>
  <c r="W65" i="1"/>
  <c r="P66" i="1"/>
  <c r="I66" i="1"/>
  <c r="H69" i="1"/>
  <c r="W66" i="1"/>
  <c r="G70" i="1"/>
  <c r="I69" i="1"/>
  <c r="L70" i="1"/>
  <c r="L102" i="1"/>
  <c r="S68" i="1"/>
  <c r="F89" i="1"/>
  <c r="F102" i="1"/>
  <c r="U103" i="1"/>
  <c r="G103" i="1"/>
  <c r="H103" i="1"/>
  <c r="J89" i="1"/>
  <c r="L103" i="1"/>
  <c r="K113" i="1"/>
  <c r="K95" i="1"/>
  <c r="K94" i="1"/>
  <c r="S94" i="1"/>
  <c r="S96" i="1"/>
  <c r="W89" i="1"/>
  <c r="W68" i="1"/>
  <c r="W69" i="1"/>
  <c r="W70" i="1"/>
  <c r="X89" i="1"/>
  <c r="V89" i="1"/>
  <c r="X70" i="1"/>
  <c r="W87" i="1"/>
  <c r="W85" i="1"/>
  <c r="W86" i="1"/>
  <c r="W92" i="1"/>
  <c r="W95" i="1"/>
  <c r="W96" i="1"/>
  <c r="W94" i="1"/>
  <c r="W108" i="1"/>
  <c r="W111" i="1"/>
  <c r="W114" i="1"/>
  <c r="W107" i="1"/>
  <c r="W110" i="1"/>
  <c r="W113" i="1"/>
  <c r="AB65" i="1"/>
  <c r="AB99" i="1"/>
  <c r="AB102" i="1"/>
  <c r="AC99" i="1"/>
  <c r="AC102" i="1"/>
  <c r="AD99" i="1"/>
  <c r="AD102" i="1"/>
  <c r="AE65" i="1"/>
  <c r="AE99" i="1"/>
  <c r="AE102" i="1"/>
  <c r="Z89" i="1"/>
  <c r="AB66" i="1"/>
  <c r="AB68" i="1"/>
  <c r="AB69" i="1"/>
  <c r="AA89" i="1"/>
  <c r="AB70" i="1"/>
  <c r="AB85" i="1"/>
  <c r="AB92" i="1"/>
  <c r="AB94" i="1"/>
  <c r="AB104" i="1"/>
  <c r="AB87" i="1"/>
  <c r="AB96" i="1"/>
  <c r="AB86" i="1"/>
  <c r="AB103" i="1"/>
  <c r="AB107" i="1"/>
  <c r="AB95" i="1"/>
  <c r="AB108" i="1"/>
  <c r="AB110" i="1"/>
  <c r="AB113" i="1"/>
  <c r="AA102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AB111" i="1"/>
  <c r="AB114" i="1"/>
  <c r="AC66" i="1"/>
  <c r="AC68" i="1"/>
  <c r="AC69" i="1"/>
  <c r="AC70" i="1"/>
  <c r="AB89" i="1"/>
  <c r="AC85" i="1"/>
  <c r="AC92" i="1"/>
  <c r="AC94" i="1"/>
  <c r="AC95" i="1"/>
  <c r="AC86" i="1"/>
  <c r="AC103" i="1"/>
  <c r="AC107" i="1"/>
  <c r="AC108" i="1"/>
  <c r="AC96" i="1"/>
  <c r="AC87" i="1"/>
  <c r="AC104" i="1"/>
  <c r="AC111" i="1"/>
  <c r="AC114" i="1"/>
  <c r="AC110" i="1"/>
  <c r="AC113" i="1"/>
  <c r="AD66" i="1"/>
  <c r="AD69" i="1"/>
  <c r="AD68" i="1"/>
  <c r="AD70" i="1"/>
  <c r="AD85" i="1"/>
  <c r="AC89" i="1"/>
  <c r="AD92" i="1"/>
  <c r="AD94" i="1"/>
  <c r="AD86" i="1"/>
  <c r="AD107" i="1"/>
  <c r="AD103" i="1"/>
  <c r="AD87" i="1"/>
  <c r="AD96" i="1"/>
  <c r="AD95" i="1"/>
  <c r="AD104" i="1"/>
  <c r="AD108" i="1"/>
  <c r="AD111" i="1"/>
  <c r="AD114" i="1"/>
  <c r="AD110" i="1"/>
  <c r="AD113" i="1"/>
  <c r="AE66" i="1"/>
  <c r="AE68" i="1"/>
  <c r="AE69" i="1"/>
  <c r="AE92" i="1"/>
  <c r="AE94" i="1"/>
  <c r="AE87" i="1"/>
  <c r="AE104" i="1"/>
  <c r="AE96" i="1"/>
  <c r="AE86" i="1"/>
  <c r="AE103" i="1"/>
  <c r="AE95" i="1"/>
  <c r="AE70" i="1"/>
  <c r="AE85" i="1"/>
  <c r="AD89" i="1"/>
  <c r="AE108" i="1"/>
  <c r="AE111" i="1"/>
  <c r="AE114" i="1"/>
  <c r="AE107" i="1"/>
  <c r="AE110" i="1"/>
  <c r="AE113" i="1"/>
  <c r="Z69" i="1"/>
  <c r="Z94" i="1"/>
  <c r="Z104" i="1"/>
  <c r="Z102" i="1"/>
  <c r="Q66" i="1"/>
  <c r="M66" i="1"/>
  <c r="M69" i="1"/>
  <c r="W99" i="1"/>
  <c r="P69" i="1"/>
  <c r="J66" i="1"/>
  <c r="M99" i="1"/>
  <c r="E69" i="1"/>
  <c r="N70" i="1"/>
  <c r="J69" i="1"/>
  <c r="J70" i="1"/>
  <c r="F68" i="1"/>
  <c r="Q102" i="1"/>
  <c r="J87" i="1"/>
  <c r="P104" i="1"/>
  <c r="I103" i="1"/>
  <c r="F104" i="1"/>
  <c r="J86" i="1"/>
  <c r="S104" i="1"/>
  <c r="G86" i="1"/>
  <c r="L96" i="1"/>
  <c r="S89" i="1"/>
  <c r="Q103" i="1"/>
  <c r="T104" i="1"/>
  <c r="T102" i="1"/>
  <c r="W103" i="1"/>
  <c r="E68" i="1"/>
  <c r="N86" i="1"/>
  <c r="F86" i="1"/>
  <c r="E104" i="1"/>
  <c r="V104" i="1"/>
  <c r="I89" i="1"/>
  <c r="G87" i="1"/>
  <c r="K85" i="1"/>
  <c r="R104" i="1"/>
  <c r="G89" i="1"/>
  <c r="T89" i="1"/>
  <c r="Z86" i="1"/>
  <c r="Z85" i="1"/>
  <c r="Z87" i="1"/>
  <c r="Z70" i="1"/>
  <c r="P87" i="1"/>
  <c r="P85" i="1"/>
  <c r="I68" i="1"/>
  <c r="L68" i="1"/>
  <c r="P68" i="1"/>
  <c r="M85" i="1"/>
  <c r="J68" i="1"/>
  <c r="Q68" i="1"/>
  <c r="M68" i="1"/>
  <c r="M86" i="1"/>
  <c r="J85" i="1"/>
  <c r="M87" i="1"/>
  <c r="E85" i="1"/>
  <c r="Q69" i="1"/>
  <c r="P89" i="1"/>
  <c r="Q87" i="1"/>
  <c r="Q85" i="1"/>
  <c r="Q70" i="1"/>
  <c r="H70" i="1"/>
  <c r="H87" i="1"/>
  <c r="H85" i="1"/>
  <c r="H86" i="1"/>
  <c r="D89" i="1"/>
  <c r="M104" i="1"/>
  <c r="M103" i="1"/>
  <c r="M102" i="1"/>
  <c r="E86" i="1"/>
  <c r="U89" i="1"/>
  <c r="V86" i="1"/>
  <c r="V85" i="1"/>
  <c r="V87" i="1"/>
  <c r="V70" i="1"/>
  <c r="M70" i="1"/>
  <c r="I86" i="1"/>
  <c r="I70" i="1"/>
  <c r="I87" i="1"/>
  <c r="I85" i="1"/>
  <c r="H89" i="1"/>
  <c r="Q86" i="1"/>
  <c r="E87" i="1"/>
  <c r="L89" i="1"/>
  <c r="P70" i="1"/>
  <c r="L94" i="1"/>
  <c r="L95" i="1"/>
  <c r="W102" i="1"/>
  <c r="O89" i="1"/>
  <c r="P86" i="1"/>
  <c r="W104" i="1"/>
  <c r="E70" i="1"/>
  <c r="Y89" i="1"/>
  <c r="AA107" i="1"/>
  <c r="AA110" i="1"/>
  <c r="AA113" i="1"/>
  <c r="AA70" i="1"/>
  <c r="AA108" i="1"/>
  <c r="AA111" i="1"/>
  <c r="AA114" i="1"/>
  <c r="AA92" i="1"/>
  <c r="AA96" i="1"/>
  <c r="AA95" i="1"/>
  <c r="AA103" i="1"/>
  <c r="G64" i="1"/>
  <c r="AA94" i="1"/>
  <c r="AA68" i="1"/>
  <c r="F64" i="1"/>
  <c r="E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<sst xmlns="http://schemas.openxmlformats.org/spreadsheetml/2006/main" count="662" uniqueCount="523">
  <si>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</si>
  <si>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</si>
  <si>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</si>
  <si>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</si>
  <si>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</si>
  <si>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</si>
  <si>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</si>
  <si>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</si>
  <si>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</si>
  <si>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</si>
  <si>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</si>
  <si>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</si>
  <si>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</si>
  <si>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</si>
  <si>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</si>
  <si>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</si>
  <si>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</si>
  <si>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</si>
  <si>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</si>
  <si>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</si>
  <si>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</si>
  <si>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</si>
  <si>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</si>
  <si>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</si>
  <si>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</si>
  <si>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</si>
  <si>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</si>
  <si>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</si>
  <si>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</si>
  <si>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</si>
  <si>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</si>
  <si>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</si>
  <si>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</si>
  <si>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</si>
  <si>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</si>
  <si>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</si>
  <si>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</si>
  <si>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</si>
  <si>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</si>
  <si>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</si>
  <si>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</si>
  <si>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</si>
  <si>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</si>
  <si>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</si>
  <si>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</si>
  <si>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</si>
  <si>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</si>
  <si>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</si>
  <si>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</si>
  <si>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</si>
  <si>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</si>
  <si>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</si>
  <si>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</si>
  <si>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</si>
  <si>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</si>
  <si>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</si>
  <si>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</si>
  <si>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</si>
  <si>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</si>
  <si>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</si>
  <si>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</si>
  <si>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</si>
  <si>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</si>
  <si>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</si>
  <si>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</si>
  <si>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</si>
  <si>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</si>
  <si>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</si>
  <si>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</si>
  <si>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</si>
  <si>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</si>
  <si>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</si>
  <si>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</si>
  <si>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</si>
  <si>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</si>
  <si>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</si>
  <si>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</si>
  <si>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</si>
  <si>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</si>
  <si>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</si>
  <si>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</si>
  <si>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</si>
  <si>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</si>
  <si>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</si>
  <si>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</si>
  <si>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</si>
  <si>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</si>
  <si>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</si>
  <si>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</si>
  <si>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</si>
  <si>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</si>
  <si>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</si>
  <si>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</si>
  <si>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</si>
  <si>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</si>
  <si>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</si>
  <si>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</si>
  <si>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</si>
  <si>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</si>
  <si>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</si>
  <si>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</si>
  <si>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</si>
  <si>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</si>
  <si>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</si>
  <si>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</si>
  <si>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</si>
  <si>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</si>
  <si>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</si>
  <si>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</si>
  <si>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</si>
  <si>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</si>
  <si>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</si>
  <si>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</si>
  <si>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</si>
  <si>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</si>
  <si>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</si>
  <si>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</si>
  <si>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</si>
  <si>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</si>
  <si>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</si>
  <si>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</si>
  <si>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</si>
  <si>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</si>
  <si>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</si>
  <si>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</si>
  <si>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</si>
  <si>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</si>
  <si>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</si>
  <si>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</si>
  <si>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</si>
  <si>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</si>
  <si>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</si>
  <si>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</si>
  <si>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</si>
  <si>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</si>
  <si>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</si>
  <si>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</si>
  <si>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</si>
  <si>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</si>
  <si>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</si>
  <si>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</si>
  <si>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</si>
  <si>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</si>
  <si>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</si>
  <si>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</si>
  <si>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</si>
  <si>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</si>
  <si>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</si>
  <si>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</si>
  <si>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</si>
  <si>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</si>
  <si>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</si>
  <si>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</si>
  <si>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</si>
  <si>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</si>
  <si>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</si>
  <si>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</si>
  <si>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</si>
  <si>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</si>
  <si>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</si>
  <si>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</si>
  <si>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</si>
  <si>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</si>
  <si>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</si>
  <si>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</si>
  <si>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</si>
  <si>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</si>
  <si>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</si>
  <si>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</si>
  <si>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</si>
  <si>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</si>
  <si>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</si>
  <si>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</si>
  <si>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</si>
  <si>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</si>
  <si>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</si>
  <si>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</si>
  <si>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</si>
  <si>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</si>
  <si>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</si>
  <si>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</si>
  <si>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</si>
  <si>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</si>
  <si>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</si>
  <si>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</si>
  <si>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</si>
  <si>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</si>
  <si>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</si>
  <si>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</si>
  <si>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</si>
  <si>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</si>
  <si>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</si>
  <si>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</si>
  <si>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</si>
  <si>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</si>
  <si>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</si>
  <si>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</si>
  <si>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</si>
  <si>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</si>
  <si>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</si>
  <si>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</si>
  <si>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</si>
  <si>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</si>
  <si>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</si>
  <si>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</si>
  <si>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</si>
  <si>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</si>
  <si>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</si>
  <si>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</si>
  <si>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</si>
  <si>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</si>
  <si>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</si>
  <si>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</si>
  <si>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</si>
  <si>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</si>
  <si>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</si>
  <si>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</si>
  <si>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</si>
  <si>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</si>
  <si>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</si>
  <si>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</si>
  <si>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</si>
  <si>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</si>
  <si>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</si>
  <si>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</si>
  <si>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</si>
  <si>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</si>
  <si>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</si>
  <si>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</si>
  <si>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</si>
  <si>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</si>
  <si>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</si>
  <si>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</si>
  <si>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</si>
  <si>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</si>
  <si>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</si>
  <si>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</si>
  <si>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</si>
  <si>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</si>
  <si>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</si>
  <si>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</si>
  <si>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</si>
  <si>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</si>
  <si>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</si>
  <si>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</si>
  <si>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</si>
  <si>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</si>
  <si>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</si>
  <si>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</si>
  <si>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</si>
  <si>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</si>
  <si>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</si>
  <si>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</si>
  <si>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</si>
  <si>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</si>
  <si>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</si>
  <si>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</si>
  <si>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</si>
  <si>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</si>
  <si>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</si>
  <si>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</si>
  <si>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</si>
  <si>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</si>
  <si>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</si>
  <si>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</si>
  <si>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</si>
  <si>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</si>
  <si>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</si>
  <si>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</si>
  <si>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</si>
  <si>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</si>
  <si>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</si>
  <si>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</si>
  <si>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</si>
  <si>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</si>
  <si>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</si>
  <si>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</si>
  <si>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</si>
  <si>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</si>
  <si>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</si>
  <si>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</si>
  <si>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</si>
  <si>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</si>
  <si>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</si>
  <si>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</si>
  <si>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</si>
  <si>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</si>
  <si>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</si>
  <si>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</si>
  <si>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</si>
  <si>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</si>
  <si>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</si>
  <si>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</si>
  <si>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</si>
  <si>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</si>
  <si>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</si>
  <si>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</si>
  <si>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</si>
  <si>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</si>
  <si>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</si>
  <si>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</si>
  <si>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</si>
  <si>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</si>
  <si>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</si>
  <si>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</si>
  <si>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</si>
  <si>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</si>
  <si>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</si>
  <si>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</si>
  <si>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</si>
  <si>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</si>
  <si>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</si>
  <si>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</si>
  <si>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</si>
  <si>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</si>
  <si>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</si>
  <si>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</si>
  <si>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</si>
  <si>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</si>
  <si>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</si>
  <si>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</si>
  <si>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</si>
  <si>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</si>
  <si>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</si>
  <si>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</si>
  <si>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</si>
  <si>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</si>
  <si>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</si>
  <si>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</si>
  <si>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</si>
  <si>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</si>
  <si>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</si>
  <si>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</si>
  <si>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</si>
  <si>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</si>
  <si>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</si>
  <si>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</si>
  <si>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</si>
  <si>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</si>
  <si>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</si>
  <si>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</si>
  <si>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</si>
  <si>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</si>
  <si>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</si>
  <si>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</si>
  <si>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</si>
  <si>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</si>
  <si>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</si>
  <si>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</si>
  <si>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</si>
  <si>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</si>
  <si>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</si>
  <si>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</si>
  <si>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</si>
  <si>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</si>
  <si>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</si>
  <si>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</si>
  <si>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</si>
  <si>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</si>
  <si>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</si>
  <si>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</si>
  <si>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</si>
  <si>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</si>
  <si>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</si>
  <si>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</si>
  <si>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</si>
  <si>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</si>
  <si>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</si>
  <si>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</si>
  <si>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</si>
  <si>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</si>
  <si>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</si>
  <si>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</si>
  <si>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</si>
  <si>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</si>
  <si>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</si>
  <si>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</si>
  <si>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</si>
  <si>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</si>
  <si>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</si>
  <si>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</si>
  <si>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</si>
  <si>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</si>
  <si>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</si>
  <si>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</si>
  <si>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</si>
  <si>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</si>
  <si>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</si>
  <si>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</si>
  <si>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</si>
  <si>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</si>
  <si>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</si>
  <si>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</si>
  <si>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</si>
  <si>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</si>
  <si>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</si>
  <si>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</si>
  <si>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</si>
  <si>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</si>
  <si>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</si>
  <si>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</si>
  <si>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</si>
  <si>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</si>
  <si>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</si>
  <si>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</si>
  <si>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</si>
  <si>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</si>
  <si>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</si>
  <si>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</si>
  <si>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</si>
  <si>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</si>
  <si>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</si>
  <si>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</si>
  <si>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</si>
  <si>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</si>
  <si>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</si>
  <si>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</si>
  <si>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</si>
  <si>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</si>
  <si>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</si>
  <si>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</si>
  <si>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</si>
  <si>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</si>
  <si>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</si>
  <si>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</si>
  <si>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</si>
  <si>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</si>
  <si>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</si>
  <si>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</si>
  <si>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</si>
  <si>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</si>
  <si>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</si>
  <si>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</si>
  <si>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</si>
  <si>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</si>
  <si>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</si>
  <si>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</si>
  <si>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</si>
  <si>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</si>
  <si>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</si>
  <si>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</si>
  <si>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</si>
  <si>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</si>
  <si>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</si>
  <si>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</si>
  <si>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</si>
  <si>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</si>
  <si>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</si>
  <si>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</si>
  <si>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</si>
  <si>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</si>
  <si>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</si>
  <si>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</si>
  <si>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</si>
  <si>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</si>
  <si>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</si>
  <si>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</si>
  <si>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</si>
  <si>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</si>
  <si>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</si>
  <si>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</si>
  <si>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</si>
  <si>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</si>
  <si>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</si>
  <si>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</si>
  <si>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</si>
  <si>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</si>
  <si>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</si>
  <si>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</si>
  <si>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</si>
  <si>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</si>
  <si>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</si>
  <si>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</si>
  <si>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</si>
  <si>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</si>
  <si>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</si>
  <si>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</si>
  <si>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</si>
  <si>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</si>
  <si>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</si>
  <si>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</si>
  <si>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</si>
  <si>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</si>
  <si>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</si>
  <si>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</si>
  <si>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</si>
  <si>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</si>
  <si>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</si>
  <si>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</si>
  <si>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</si>
  <si>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</si>
  <si>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</si>
  <si>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</si>
  <si>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</si>
  <si>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</si>
  <si>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</si>
  <si>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</si>
  <si>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</si>
  <si>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</si>
  <si>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</si>
  <si>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</si>
  <si>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</si>
  <si>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</si>
  <si>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</si>
  <si>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</si>
  <si>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</si>
  <si>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</si>
  <si>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</si>
  <si>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</si>
  <si>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</si>
  <si>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</si>
  <si>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</si>
  <si>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</si>
  <si>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</si>
  <si>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</si>
  <si>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Nestle India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</si>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</sst>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57"/>
      <c r="AB6" s="157"/>
      <c r="AC6" s="157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57"/>
      <c r="AC7" s="157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23154.600000000002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23154.600000000002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ca="1">+AVERAGE(CI11:CL11)</f>
        <v>#NAME?</v>
      </c>
      <c r="CN11" s="40" t="e">
        <f t="shared" ref="CN11:CP11" ca="1" si="57">+AVERAGE(CJ11:CM11)</f>
        <v>#NAME?</v>
      </c>
      <c r="CO11" s="40" t="e">
        <f t="shared" ca="1" si="57"/>
        <v>#NAME?</v>
      </c>
      <c r="CP11" s="40" t="e">
        <f t="shared" ca="1" si="57"/>
        <v>#NAME?</v>
      </c>
      <c r="CQ11" s="40" t="e">
        <f ca="1">+AVERAGE(CM11:CP11)*0.7</f>
        <v>#NAME?</v>
      </c>
      <c r="CR11" s="40" t="e">
        <f t="shared" ref="CR11:CT11" ca="1" si="58">+AVERAGE(CN11:CQ11)*0.7</f>
        <v>#NAME?</v>
      </c>
      <c r="CS11" s="40" t="e">
        <f t="shared" ca="1" si="58"/>
        <v>#NAME?</v>
      </c>
      <c r="CT11" s="40" t="e">
        <f t="shared" ca="1" si="58"/>
        <v>#NAME?</v>
      </c>
      <c r="CU11" s="40" t="e">
        <f t="shared" ref="CU11" ca="1" si="59">+AVERAGE(CQ11:CT11)</f>
        <v>#NAME?</v>
      </c>
      <c r="CV11" s="40" t="e">
        <f t="shared" ref="CV11" ca="1" si="60">+AVERAGE(CR11:CU11)</f>
        <v>#NAME?</v>
      </c>
      <c r="CW11" s="40" t="e">
        <f t="shared" ref="CW11" ca="1" si="61">+AVERAGE(CS11:CV11)</f>
        <v>#NAME?</v>
      </c>
      <c r="CX11" s="40" t="e">
        <f t="shared" ref="CX11" ca="1" si="62">+AVERAGE(CT11:CW11)</f>
        <v>#NAME?</v>
      </c>
      <c r="CY11" s="40" t="e">
        <f t="shared" ref="CY11" ca="1" si="63">+AVERAGE(CU11:CX11)</f>
        <v>#NAME?</v>
      </c>
      <c r="CZ11" s="40" t="e">
        <f t="shared" ref="CZ11" ca="1" si="64">+AVERAGE(CV11:CY11)</f>
        <v>#NAME?</v>
      </c>
      <c r="DA11" s="40" t="e">
        <f t="shared" ref="DA11" ca="1" si="65">+AVERAGE(CW11:CZ11)</f>
        <v>#NAME?</v>
      </c>
      <c r="DB11" s="40" t="e">
        <f t="shared" ref="DB11" ca="1" si="66">+AVERAGE(CX11:DA11)</f>
        <v>#NAME?</v>
      </c>
      <c r="DE11" s="122"/>
      <c r="DF11" s="39">
        <v>0.1461788099532908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67">+IF(AI10&lt;0,1-AJ10/AI10,AJ10/AI10-1)</f>
        <v>#NAME?</v>
      </c>
      <c r="AK12" s="39" t="e">
        <f t="shared" ca="1" si="67"/>
        <v>#NAME?</v>
      </c>
      <c r="AL12" s="39" t="e">
        <f t="shared" ca="1" si="67"/>
        <v>#NAME?</v>
      </c>
      <c r="AM12" s="39" t="e">
        <f t="shared" ref="AM12:CI12" ca="1" si="68">+IF(AL10&lt;0,1-AM10/AL10,AM10/AL10-1)</f>
        <v>#NAME?</v>
      </c>
      <c r="AN12" s="39" t="e">
        <f t="shared" ca="1" si="68"/>
        <v>#NAME?</v>
      </c>
      <c r="AO12" s="39" t="e">
        <f t="shared" ca="1" si="68"/>
        <v>#NAME?</v>
      </c>
      <c r="AP12" s="39" t="e">
        <f t="shared" ca="1" si="68"/>
        <v>#NAME?</v>
      </c>
      <c r="AQ12" s="39" t="e">
        <f t="shared" ca="1" si="68"/>
        <v>#NAME?</v>
      </c>
      <c r="AR12" s="39" t="e">
        <f t="shared" ca="1" si="68"/>
        <v>#NAME?</v>
      </c>
      <c r="AS12" s="39" t="e">
        <f t="shared" ca="1" si="68"/>
        <v>#NAME?</v>
      </c>
      <c r="AT12" s="39" t="e">
        <f t="shared" ca="1" si="68"/>
        <v>#NAME?</v>
      </c>
      <c r="AU12" s="39" t="e">
        <f t="shared" ca="1" si="68"/>
        <v>#NAME?</v>
      </c>
      <c r="AV12" s="39" t="e">
        <f t="shared" ca="1" si="68"/>
        <v>#NAME?</v>
      </c>
      <c r="AW12" s="39" t="e">
        <f t="shared" ca="1" si="68"/>
        <v>#NAME?</v>
      </c>
      <c r="AX12" s="39" t="e">
        <f t="shared" ca="1" si="68"/>
        <v>#NAME?</v>
      </c>
      <c r="AY12" s="39" t="e">
        <f t="shared" ca="1" si="68"/>
        <v>#NAME?</v>
      </c>
      <c r="AZ12" s="39" t="e">
        <f t="shared" ca="1" si="68"/>
        <v>#NAME?</v>
      </c>
      <c r="BA12" s="39" t="e">
        <f t="shared" ca="1" si="68"/>
        <v>#NAME?</v>
      </c>
      <c r="BB12" s="39" t="e">
        <f t="shared" ca="1" si="68"/>
        <v>#NAME?</v>
      </c>
      <c r="BC12" s="39" t="e">
        <f t="shared" ca="1" si="68"/>
        <v>#NAME?</v>
      </c>
      <c r="BD12" s="39" t="e">
        <f t="shared" ca="1" si="68"/>
        <v>#NAME?</v>
      </c>
      <c r="BE12" s="39" t="e">
        <f t="shared" ca="1" si="68"/>
        <v>#NAME?</v>
      </c>
      <c r="BF12" s="39" t="e">
        <f t="shared" ca="1" si="68"/>
        <v>#NAME?</v>
      </c>
      <c r="BG12" s="39" t="e">
        <f t="shared" ca="1" si="68"/>
        <v>#NAME?</v>
      </c>
      <c r="BH12" s="39" t="e">
        <f t="shared" ca="1" si="68"/>
        <v>#NAME?</v>
      </c>
      <c r="BI12" s="39" t="e">
        <f t="shared" ca="1" si="68"/>
        <v>#NAME?</v>
      </c>
      <c r="BJ12" s="39" t="e">
        <f t="shared" ca="1" si="68"/>
        <v>#NAME?</v>
      </c>
      <c r="BK12" s="39" t="e">
        <f t="shared" ca="1" si="68"/>
        <v>#NAME?</v>
      </c>
      <c r="BL12" s="39" t="e">
        <f t="shared" ca="1" si="68"/>
        <v>#NAME?</v>
      </c>
      <c r="BM12" s="39" t="e">
        <f t="shared" ca="1" si="68"/>
        <v>#NAME?</v>
      </c>
      <c r="BN12" s="39" t="e">
        <f t="shared" ca="1" si="68"/>
        <v>#NAME?</v>
      </c>
      <c r="BO12" s="39" t="e">
        <f t="shared" ca="1" si="68"/>
        <v>#NAME?</v>
      </c>
      <c r="BP12" s="39" t="e">
        <f t="shared" ca="1" si="68"/>
        <v>#NAME?</v>
      </c>
      <c r="BQ12" s="39" t="e">
        <f t="shared" ca="1" si="68"/>
        <v>#NAME?</v>
      </c>
      <c r="BR12" s="39" t="e">
        <f t="shared" ca="1" si="68"/>
        <v>#NAME?</v>
      </c>
      <c r="BS12" s="39" t="e">
        <f t="shared" ca="1" si="68"/>
        <v>#NAME?</v>
      </c>
      <c r="BT12" s="39" t="e">
        <f t="shared" ca="1" si="68"/>
        <v>#NAME?</v>
      </c>
      <c r="BU12" s="39" t="e">
        <f t="shared" ca="1" si="68"/>
        <v>#NAME?</v>
      </c>
      <c r="BV12" s="39" t="e">
        <f t="shared" ca="1" si="68"/>
        <v>#NAME?</v>
      </c>
      <c r="BW12" s="39" t="e">
        <f t="shared" ca="1" si="68"/>
        <v>#NAME?</v>
      </c>
      <c r="BX12" s="39" t="e">
        <f t="shared" ca="1" si="68"/>
        <v>#NAME?</v>
      </c>
      <c r="BY12" s="39" t="e">
        <f t="shared" ca="1" si="68"/>
        <v>#NAME?</v>
      </c>
      <c r="BZ12" s="39" t="e">
        <f t="shared" ca="1" si="68"/>
        <v>#NAME?</v>
      </c>
      <c r="CA12" s="39" t="e">
        <f t="shared" ca="1" si="68"/>
        <v>#NAME?</v>
      </c>
      <c r="CB12" s="39" t="e">
        <f t="shared" ca="1" si="68"/>
        <v>#NAME?</v>
      </c>
      <c r="CC12" s="39" t="e">
        <f t="shared" ca="1" si="68"/>
        <v>#NAME?</v>
      </c>
      <c r="CD12" s="39" t="e">
        <f t="shared" ca="1" si="68"/>
        <v>#NAME?</v>
      </c>
      <c r="CE12" s="39" t="e">
        <f t="shared" ca="1" si="68"/>
        <v>#NAME?</v>
      </c>
      <c r="CF12" s="39" t="e">
        <f t="shared" ca="1" si="68"/>
        <v>#NAME?</v>
      </c>
      <c r="CG12" s="39" t="e">
        <f t="shared" ca="1" si="68"/>
        <v>#NAME?</v>
      </c>
      <c r="CH12" s="39" t="e">
        <f t="shared" ca="1" si="68"/>
        <v>#NAME?</v>
      </c>
      <c r="CI12" s="39" t="e">
        <f t="shared" ca="1" si="68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69">+CM10/CL10-1</f>
        <v>#NAME?</v>
      </c>
      <c r="CN12" s="40" t="e">
        <f t="shared" ref="CN12" ca="1" si="70">+CN10/CM10-1</f>
        <v>#NAME?</v>
      </c>
      <c r="CO12" s="40" t="e">
        <f t="shared" ref="CO12" ca="1" si="71">+CO10/CN10-1</f>
        <v>#NAME?</v>
      </c>
      <c r="CP12" s="40" t="e">
        <f t="shared" ref="CP12" ca="1" si="72">+CP10/CO10-1</f>
        <v>#NAME?</v>
      </c>
      <c r="CQ12" s="40" t="e">
        <f t="shared" ref="CQ12" ca="1" si="73">+CQ10/CP10-1</f>
        <v>#NAME?</v>
      </c>
      <c r="CR12" s="40" t="e">
        <f t="shared" ref="CR12" ca="1" si="74">+CR10/CQ10-1</f>
        <v>#NAME?</v>
      </c>
      <c r="CS12" s="40" t="e">
        <f t="shared" ref="CS12" ca="1" si="75">+CS10/CR10-1</f>
        <v>#NAME?</v>
      </c>
      <c r="CT12" s="40" t="e">
        <f t="shared" ref="CT12" ca="1" si="76">+CT10/CS10-1</f>
        <v>#NAME?</v>
      </c>
      <c r="CU12" s="40" t="e">
        <f t="shared" ref="CU12" ca="1" si="77">+CU10/CT10-1</f>
        <v>#NAME?</v>
      </c>
      <c r="CV12" s="40" t="e">
        <f t="shared" ref="CV12" ca="1" si="78">+CV10/CU10-1</f>
        <v>#NAME?</v>
      </c>
      <c r="CW12" s="40" t="e">
        <f t="shared" ref="CW12" ca="1" si="79">+CW10/CV10-1</f>
        <v>#NAME?</v>
      </c>
      <c r="CX12" s="40" t="e">
        <f t="shared" ref="CX12" ca="1" si="80">+CX10/CW10-1</f>
        <v>#NAME?</v>
      </c>
      <c r="CY12" s="40" t="e">
        <f t="shared" ref="CY12" ca="1" si="81">+CY10/CX10-1</f>
        <v>#NAME?</v>
      </c>
      <c r="CZ12" s="40" t="e">
        <f t="shared" ref="CZ12" ca="1" si="82">+CZ10/CY10-1</f>
        <v>#NAME?</v>
      </c>
      <c r="DA12" s="40" t="e">
        <f t="shared" ref="DA12" ca="1" si="83">+DA10/CZ10-1</f>
        <v>#NAME?</v>
      </c>
      <c r="DB12" s="40" t="e">
        <f t="shared" ref="DB12" ca="1" si="84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-168.23000000000002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698.2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85">+CM10-CM16</f>
        <v>#NAME?</v>
      </c>
      <c r="CN15" s="24" t="e">
        <f t="shared" ca="1" si="85"/>
        <v>#NAME?</v>
      </c>
      <c r="CO15" s="24" t="e">
        <f t="shared" ca="1" si="85"/>
        <v>#NAME?</v>
      </c>
      <c r="CP15" s="24" t="e">
        <f t="shared" ca="1" si="85"/>
        <v>#NAME?</v>
      </c>
      <c r="CQ15" s="24" t="e">
        <f t="shared" ca="1" si="85"/>
        <v>#NAME?</v>
      </c>
      <c r="CR15" s="24" t="e">
        <f t="shared" ca="1" si="85"/>
        <v>#NAME?</v>
      </c>
      <c r="CS15" s="24" t="e">
        <f t="shared" ca="1" si="85"/>
        <v>#NAME?</v>
      </c>
      <c r="CT15" s="24" t="e">
        <f t="shared" ca="1" si="85"/>
        <v>#NAME?</v>
      </c>
      <c r="CU15" s="24" t="e">
        <f t="shared" ca="1" si="85"/>
        <v>#NAME?</v>
      </c>
      <c r="CV15" s="24" t="e">
        <f t="shared" ca="1" si="85"/>
        <v>#NAME?</v>
      </c>
      <c r="CW15" s="24" t="e">
        <f t="shared" ca="1" si="85"/>
        <v>#NAME?</v>
      </c>
      <c r="CX15" s="24" t="e">
        <f t="shared" ca="1" si="85"/>
        <v>#NAME?</v>
      </c>
      <c r="CY15" s="24" t="e">
        <f t="shared" ca="1" si="85"/>
        <v>#NAME?</v>
      </c>
      <c r="CZ15" s="24" t="e">
        <f t="shared" ca="1" si="85"/>
        <v>#NAME?</v>
      </c>
      <c r="DA15" s="24" t="e">
        <f t="shared" ca="1" si="85"/>
        <v>#NAME?</v>
      </c>
      <c r="DB15" s="24" t="e">
        <f t="shared" ca="1" si="85"/>
        <v>#NAME?</v>
      </c>
      <c r="DE15" s="123"/>
      <c r="DF15" s="23">
        <v>9832.2400000000016</v>
      </c>
    </row>
    <row r="16" spans="1:110" s="31" customFormat="1" x14ac:dyDescent="0.2">
      <c r="A16" s="31" t="s">
        <v>5</v>
      </c>
      <c r="B16" s="31" t="e">
        <f t="shared" ref="B16:T16" ca="1" si="86">B10-B13-B15-B14</f>
        <v>#NAME?</v>
      </c>
      <c r="C16" s="31" t="e">
        <f t="shared" ca="1" si="86"/>
        <v>#NAME?</v>
      </c>
      <c r="D16" s="31" t="e">
        <f t="shared" ca="1" si="86"/>
        <v>#NAME?</v>
      </c>
      <c r="E16" s="31" t="e">
        <f t="shared" ca="1" si="86"/>
        <v>#NAME?</v>
      </c>
      <c r="F16" s="31" t="e">
        <f t="shared" ca="1" si="86"/>
        <v>#NAME?</v>
      </c>
      <c r="G16" s="31" t="e">
        <f t="shared" ca="1" si="86"/>
        <v>#NAME?</v>
      </c>
      <c r="H16" s="31" t="e">
        <f t="shared" ca="1" si="86"/>
        <v>#NAME?</v>
      </c>
      <c r="I16" s="31" t="e">
        <f t="shared" ca="1" si="86"/>
        <v>#NAME?</v>
      </c>
      <c r="J16" s="31" t="e">
        <f t="shared" ca="1" si="86"/>
        <v>#NAME?</v>
      </c>
      <c r="K16" s="31" t="e">
        <f t="shared" ca="1" si="86"/>
        <v>#NAME?</v>
      </c>
      <c r="L16" s="31" t="e">
        <f t="shared" ca="1" si="86"/>
        <v>#NAME?</v>
      </c>
      <c r="M16" s="31" t="e">
        <f t="shared" ca="1" si="86"/>
        <v>#NAME?</v>
      </c>
      <c r="N16" s="31" t="e">
        <f t="shared" ca="1" si="86"/>
        <v>#NAME?</v>
      </c>
      <c r="O16" s="31" t="e">
        <f t="shared" ca="1" si="86"/>
        <v>#NAME?</v>
      </c>
      <c r="P16" s="31" t="e">
        <f t="shared" ca="1" si="86"/>
        <v>#NAME?</v>
      </c>
      <c r="Q16" s="31" t="e">
        <f t="shared" ca="1" si="86"/>
        <v>#NAME?</v>
      </c>
      <c r="R16" s="31" t="e">
        <f t="shared" ca="1" si="86"/>
        <v>#NAME?</v>
      </c>
      <c r="S16" s="31" t="e">
        <f t="shared" ca="1" si="86"/>
        <v>#NAME?</v>
      </c>
      <c r="T16" s="31" t="e">
        <f t="shared" ca="1" si="86"/>
        <v>#NAME?</v>
      </c>
      <c r="U16" s="31" t="e">
        <f t="shared" ref="U16:Z16" ca="1" si="87">U10-U13-U15-U14</f>
        <v>#NAME?</v>
      </c>
      <c r="V16" s="31" t="e">
        <f t="shared" ca="1" si="87"/>
        <v>#NAME?</v>
      </c>
      <c r="W16" s="31" t="e">
        <f t="shared" ca="1" si="87"/>
        <v>#NAME?</v>
      </c>
      <c r="X16" s="31" t="e">
        <f t="shared" ca="1" si="87"/>
        <v>#NAME?</v>
      </c>
      <c r="Y16" s="31" t="e">
        <f t="shared" ca="1" si="87"/>
        <v>#NAME?</v>
      </c>
      <c r="Z16" s="31" t="e">
        <f t="shared" ca="1" si="87"/>
        <v>#NAME?</v>
      </c>
      <c r="AA16" s="31" t="e">
        <f t="shared" ref="AA16" ca="1" si="88">AA10-AA13-AA15-AA14</f>
        <v>#NAME?</v>
      </c>
      <c r="AB16" s="32" t="e">
        <f t="shared" ref="AA16:AD16" ca="1" si="89">AB10-AB13-AB15-AB14</f>
        <v>#NAME?</v>
      </c>
      <c r="AC16" s="32" t="e">
        <f t="shared" ca="1" si="89"/>
        <v>#NAME?</v>
      </c>
      <c r="AD16" s="32" t="e">
        <f t="shared" ca="1" si="89"/>
        <v>#NAME?</v>
      </c>
      <c r="AE16" s="32" t="e">
        <f t="shared" ref="AE16" ca="1" si="90">AE10-AE13-AE15-AE14</f>
        <v>#NAME?</v>
      </c>
      <c r="AI16" s="31" t="e">
        <f t="shared" ref="AI16" ca="1" si="91">AI10-AI13-AI15-AI14</f>
        <v>#NAME?</v>
      </c>
      <c r="AJ16" s="31" t="e">
        <f t="shared" ref="AJ16" ca="1" si="92">AJ10-AJ13-AJ15-AJ14</f>
        <v>#NAME?</v>
      </c>
      <c r="AK16" s="31" t="e">
        <f t="shared" ref="AK16:AM16" ca="1" si="93">AK10-AK13-AK15-AK14</f>
        <v>#NAME?</v>
      </c>
      <c r="AL16" s="31" t="e">
        <f t="shared" ca="1" si="93"/>
        <v>#NAME?</v>
      </c>
      <c r="AM16" s="31" t="e">
        <f t="shared" ca="1" si="93"/>
        <v>#NAME?</v>
      </c>
      <c r="AN16" s="31" t="e">
        <f t="shared" ref="AN16:AO16" ca="1" si="94">AN10-AN13-AN15-AN14</f>
        <v>#NAME?</v>
      </c>
      <c r="AO16" s="31" t="e">
        <f t="shared" ca="1" si="94"/>
        <v>#NAME?</v>
      </c>
      <c r="AP16" s="31" t="e">
        <f t="shared" ref="AP16:CD16" ca="1" si="95">AP10-AP13-AP15-AP14</f>
        <v>#NAME?</v>
      </c>
      <c r="AQ16" s="31" t="e">
        <f t="shared" ca="1" si="95"/>
        <v>#NAME?</v>
      </c>
      <c r="AR16" s="31" t="e">
        <f t="shared" ca="1" si="95"/>
        <v>#NAME?</v>
      </c>
      <c r="AS16" s="31" t="e">
        <f t="shared" ca="1" si="95"/>
        <v>#NAME?</v>
      </c>
      <c r="AT16" s="31" t="e">
        <f t="shared" ca="1" si="95"/>
        <v>#NAME?</v>
      </c>
      <c r="AU16" s="31" t="e">
        <f t="shared" ca="1" si="95"/>
        <v>#NAME?</v>
      </c>
      <c r="AV16" s="31" t="e">
        <f t="shared" ca="1" si="95"/>
        <v>#NAME?</v>
      </c>
      <c r="AW16" s="31" t="e">
        <f t="shared" ca="1" si="95"/>
        <v>#NAME?</v>
      </c>
      <c r="AX16" s="31" t="e">
        <f t="shared" ca="1" si="95"/>
        <v>#NAME?</v>
      </c>
      <c r="AY16" s="31" t="e">
        <f t="shared" ca="1" si="95"/>
        <v>#NAME?</v>
      </c>
      <c r="AZ16" s="31" t="e">
        <f t="shared" ca="1" si="95"/>
        <v>#NAME?</v>
      </c>
      <c r="BA16" s="31" t="e">
        <f t="shared" ca="1" si="95"/>
        <v>#NAME?</v>
      </c>
      <c r="BB16" s="31" t="e">
        <f t="shared" ca="1" si="95"/>
        <v>#NAME?</v>
      </c>
      <c r="BC16" s="31" t="e">
        <f t="shared" ca="1" si="95"/>
        <v>#NAME?</v>
      </c>
      <c r="BD16" s="31" t="e">
        <f t="shared" ca="1" si="95"/>
        <v>#NAME?</v>
      </c>
      <c r="BE16" s="31" t="e">
        <f t="shared" ca="1" si="95"/>
        <v>#NAME?</v>
      </c>
      <c r="BF16" s="31" t="e">
        <f t="shared" ca="1" si="95"/>
        <v>#NAME?</v>
      </c>
      <c r="BG16" s="31" t="e">
        <f t="shared" ca="1" si="95"/>
        <v>#NAME?</v>
      </c>
      <c r="BH16" s="31" t="e">
        <f t="shared" ca="1" si="95"/>
        <v>#NAME?</v>
      </c>
      <c r="BI16" s="31" t="e">
        <f t="shared" ca="1" si="95"/>
        <v>#NAME?</v>
      </c>
      <c r="BJ16" s="31" t="e">
        <f t="shared" ca="1" si="95"/>
        <v>#NAME?</v>
      </c>
      <c r="BK16" s="31" t="e">
        <f t="shared" ca="1" si="95"/>
        <v>#NAME?</v>
      </c>
      <c r="BL16" s="31" t="e">
        <f t="shared" ca="1" si="95"/>
        <v>#NAME?</v>
      </c>
      <c r="BM16" s="31" t="e">
        <f t="shared" ca="1" si="95"/>
        <v>#NAME?</v>
      </c>
      <c r="BN16" s="31" t="e">
        <f t="shared" ca="1" si="95"/>
        <v>#NAME?</v>
      </c>
      <c r="BO16" s="31" t="e">
        <f t="shared" ca="1" si="95"/>
        <v>#NAME?</v>
      </c>
      <c r="BP16" s="31" t="e">
        <f t="shared" ca="1" si="95"/>
        <v>#NAME?</v>
      </c>
      <c r="BQ16" s="31" t="e">
        <f t="shared" ca="1" si="95"/>
        <v>#NAME?</v>
      </c>
      <c r="BR16" s="31" t="e">
        <f t="shared" ca="1" si="95"/>
        <v>#NAME?</v>
      </c>
      <c r="BS16" s="31" t="e">
        <f t="shared" ca="1" si="95"/>
        <v>#NAME?</v>
      </c>
      <c r="BT16" s="31" t="e">
        <f t="shared" ca="1" si="95"/>
        <v>#NAME?</v>
      </c>
      <c r="BU16" s="31" t="e">
        <f t="shared" ca="1" si="95"/>
        <v>#NAME?</v>
      </c>
      <c r="BV16" s="31" t="e">
        <f t="shared" ca="1" si="95"/>
        <v>#NAME?</v>
      </c>
      <c r="BW16" s="31" t="e">
        <f t="shared" ca="1" si="95"/>
        <v>#NAME?</v>
      </c>
      <c r="BX16" s="31" t="e">
        <f t="shared" ca="1" si="95"/>
        <v>#NAME?</v>
      </c>
      <c r="BY16" s="31" t="e">
        <f t="shared" ca="1" si="95"/>
        <v>#NAME?</v>
      </c>
      <c r="BZ16" s="31" t="e">
        <f t="shared" ca="1" si="95"/>
        <v>#NAME?</v>
      </c>
      <c r="CA16" s="31" t="e">
        <f t="shared" ca="1" si="95"/>
        <v>#NAME?</v>
      </c>
      <c r="CB16" s="31" t="e">
        <f t="shared" ca="1" si="95"/>
        <v>#NAME?</v>
      </c>
      <c r="CC16" s="31" t="e">
        <f t="shared" ca="1" si="95"/>
        <v>#NAME?</v>
      </c>
      <c r="CD16" s="31" t="e">
        <f t="shared" ca="1" si="95"/>
        <v>#NAME?</v>
      </c>
      <c r="CE16" s="31" t="e">
        <f t="shared" ref="CE16:CF16" ca="1" si="96">CE10-CE13-CE15-CE14</f>
        <v>#NAME?</v>
      </c>
      <c r="CF16" s="31" t="e">
        <f t="shared" ca="1" si="96"/>
        <v>#NAME?</v>
      </c>
      <c r="CG16" s="31" t="e">
        <f t="shared" ref="CG16:CH16" ca="1" si="97">CG10-CG13-CG15-CG14</f>
        <v>#NAME?</v>
      </c>
      <c r="CH16" s="31" t="e">
        <f t="shared" ca="1" si="97"/>
        <v>#NAME?</v>
      </c>
      <c r="CI16" s="31" t="e">
        <f t="shared" ref="CI16:CJ16" ca="1" si="98">CI10-CI13-CI15-CI14</f>
        <v>#NAME?</v>
      </c>
      <c r="CJ16" s="31" t="e">
        <f t="shared" ca="1" si="98"/>
        <v>#NAME?</v>
      </c>
      <c r="CK16" s="31" t="e">
        <f t="shared" ref="CK16:CL16" ca="1" si="99">CK10-CK13-CK15-CK14</f>
        <v>#NAME?</v>
      </c>
      <c r="CL16" s="31" t="e">
        <f t="shared" ca="1" si="99"/>
        <v>#NAME?</v>
      </c>
      <c r="CM16" s="32" t="e">
        <f t="shared" ref="CM16:DB16" ca="1" si="100">+CM17*CM10</f>
        <v>#NAME?</v>
      </c>
      <c r="CN16" s="32" t="e">
        <f t="shared" ca="1" si="100"/>
        <v>#NAME?</v>
      </c>
      <c r="CO16" s="32" t="e">
        <f t="shared" ca="1" si="100"/>
        <v>#NAME?</v>
      </c>
      <c r="CP16" s="32" t="e">
        <f t="shared" ca="1" si="100"/>
        <v>#NAME?</v>
      </c>
      <c r="CQ16" s="32" t="e">
        <f t="shared" ca="1" si="100"/>
        <v>#NAME?</v>
      </c>
      <c r="CR16" s="32" t="e">
        <f t="shared" ca="1" si="100"/>
        <v>#NAME?</v>
      </c>
      <c r="CS16" s="32" t="e">
        <f t="shared" ca="1" si="100"/>
        <v>#NAME?</v>
      </c>
      <c r="CT16" s="32" t="e">
        <f t="shared" ca="1" si="100"/>
        <v>#NAME?</v>
      </c>
      <c r="CU16" s="32" t="e">
        <f t="shared" ca="1" si="100"/>
        <v>#NAME?</v>
      </c>
      <c r="CV16" s="32" t="e">
        <f t="shared" ca="1" si="100"/>
        <v>#NAME?</v>
      </c>
      <c r="CW16" s="32" t="e">
        <f t="shared" ca="1" si="100"/>
        <v>#NAME?</v>
      </c>
      <c r="CX16" s="32" t="e">
        <f t="shared" ca="1" si="100"/>
        <v>#NAME?</v>
      </c>
      <c r="CY16" s="32" t="e">
        <f t="shared" ca="1" si="100"/>
        <v>#NAME?</v>
      </c>
      <c r="CZ16" s="32" t="e">
        <f t="shared" ca="1" si="100"/>
        <v>#NAME?</v>
      </c>
      <c r="DA16" s="32" t="e">
        <f t="shared" ca="1" si="100"/>
        <v>#NAME?</v>
      </c>
      <c r="DB16" s="32" t="e">
        <f t="shared" ca="1" si="100"/>
        <v>#NAME?</v>
      </c>
      <c r="DE16" s="124"/>
      <c r="DF16" s="31">
        <v>12792.39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1">C16/C10</f>
        <v>#NAME?</v>
      </c>
      <c r="D17" s="41" t="e">
        <f t="shared" ca="1" si="101"/>
        <v>#NAME?</v>
      </c>
      <c r="E17" s="41" t="e">
        <f t="shared" ca="1" si="101"/>
        <v>#NAME?</v>
      </c>
      <c r="F17" s="41" t="e">
        <f t="shared" ca="1" si="101"/>
        <v>#NAME?</v>
      </c>
      <c r="G17" s="41" t="e">
        <f t="shared" ca="1" si="101"/>
        <v>#NAME?</v>
      </c>
      <c r="H17" s="41" t="e">
        <f t="shared" ca="1" si="101"/>
        <v>#NAME?</v>
      </c>
      <c r="I17" s="41" t="e">
        <f t="shared" ca="1" si="101"/>
        <v>#NAME?</v>
      </c>
      <c r="J17" s="41" t="e">
        <f t="shared" ca="1" si="101"/>
        <v>#NAME?</v>
      </c>
      <c r="K17" s="41" t="e">
        <f t="shared" ca="1" si="101"/>
        <v>#NAME?</v>
      </c>
      <c r="L17" s="41" t="e">
        <f t="shared" ca="1" si="101"/>
        <v>#NAME?</v>
      </c>
      <c r="M17" s="41" t="e">
        <f t="shared" ca="1" si="101"/>
        <v>#NAME?</v>
      </c>
      <c r="N17" s="41" t="e">
        <f t="shared" ca="1" si="101"/>
        <v>#NAME?</v>
      </c>
      <c r="O17" s="41" t="e">
        <f t="shared" ca="1" si="101"/>
        <v>#NAME?</v>
      </c>
      <c r="P17" s="41" t="e">
        <f t="shared" ca="1" si="101"/>
        <v>#NAME?</v>
      </c>
      <c r="Q17" s="41" t="e">
        <f t="shared" ca="1" si="101"/>
        <v>#NAME?</v>
      </c>
      <c r="R17" s="41" t="e">
        <f t="shared" ca="1" si="101"/>
        <v>#NAME?</v>
      </c>
      <c r="S17" s="41" t="e">
        <f t="shared" ca="1" si="101"/>
        <v>#NAME?</v>
      </c>
      <c r="T17" s="41" t="e">
        <f t="shared" ca="1" si="101"/>
        <v>#NAME?</v>
      </c>
      <c r="U17" s="41" t="e">
        <f t="shared" ca="1" si="101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2">AB16/AB10</f>
        <v>#NAME?</v>
      </c>
      <c r="AC17" s="42" t="e">
        <f t="shared" ca="1" si="102"/>
        <v>#NAME?</v>
      </c>
      <c r="AD17" s="42" t="e">
        <f t="shared" ca="1" si="102"/>
        <v>#NAME?</v>
      </c>
      <c r="AE17" s="42" t="e">
        <f t="shared" ref="AE17" ca="1" si="103">AE16/AE10</f>
        <v>#NAME?</v>
      </c>
      <c r="AI17" s="41" t="e">
        <f t="shared" ref="AI17" ca="1" si="104">AI16/AI10</f>
        <v>#NAME?</v>
      </c>
      <c r="AJ17" s="41" t="e">
        <f t="shared" ref="AJ17" ca="1" si="105">AJ16/AJ10</f>
        <v>#NAME?</v>
      </c>
      <c r="AK17" s="41" t="e">
        <f t="shared" ref="AK17:AM17" ca="1" si="106">AK16/AK10</f>
        <v>#NAME?</v>
      </c>
      <c r="AL17" s="41" t="e">
        <f t="shared" ca="1" si="106"/>
        <v>#NAME?</v>
      </c>
      <c r="AM17" s="41" t="e">
        <f t="shared" ca="1" si="106"/>
        <v>#NAME?</v>
      </c>
      <c r="AN17" s="41" t="e">
        <f t="shared" ref="AN17:AO17" ca="1" si="107">AN16/AN10</f>
        <v>#NAME?</v>
      </c>
      <c r="AO17" s="41" t="e">
        <f t="shared" ca="1" si="107"/>
        <v>#NAME?</v>
      </c>
      <c r="AP17" s="41" t="e">
        <f t="shared" ref="AP17:CD17" ca="1" si="108">AP16/AP10</f>
        <v>#NAME?</v>
      </c>
      <c r="AQ17" s="41" t="e">
        <f t="shared" ca="1" si="108"/>
        <v>#NAME?</v>
      </c>
      <c r="AR17" s="41" t="e">
        <f t="shared" ca="1" si="108"/>
        <v>#NAME?</v>
      </c>
      <c r="AS17" s="41" t="e">
        <f t="shared" ca="1" si="108"/>
        <v>#NAME?</v>
      </c>
      <c r="AT17" s="41" t="e">
        <f t="shared" ca="1" si="108"/>
        <v>#NAME?</v>
      </c>
      <c r="AU17" s="41" t="e">
        <f t="shared" ca="1" si="108"/>
        <v>#NAME?</v>
      </c>
      <c r="AV17" s="41" t="e">
        <f t="shared" ca="1" si="108"/>
        <v>#NAME?</v>
      </c>
      <c r="AW17" s="41" t="e">
        <f t="shared" ca="1" si="108"/>
        <v>#NAME?</v>
      </c>
      <c r="AX17" s="41" t="e">
        <f t="shared" ca="1" si="108"/>
        <v>#NAME?</v>
      </c>
      <c r="AY17" s="41" t="e">
        <f t="shared" ca="1" si="108"/>
        <v>#NAME?</v>
      </c>
      <c r="AZ17" s="41" t="e">
        <f t="shared" ca="1" si="108"/>
        <v>#NAME?</v>
      </c>
      <c r="BA17" s="41" t="e">
        <f t="shared" ca="1" si="108"/>
        <v>#NAME?</v>
      </c>
      <c r="BB17" s="41" t="e">
        <f t="shared" ca="1" si="108"/>
        <v>#NAME?</v>
      </c>
      <c r="BC17" s="41" t="e">
        <f t="shared" ca="1" si="108"/>
        <v>#NAME?</v>
      </c>
      <c r="BD17" s="41" t="e">
        <f t="shared" ca="1" si="108"/>
        <v>#NAME?</v>
      </c>
      <c r="BE17" s="41" t="e">
        <f t="shared" ca="1" si="108"/>
        <v>#NAME?</v>
      </c>
      <c r="BF17" s="41" t="e">
        <f t="shared" ca="1" si="108"/>
        <v>#NAME?</v>
      </c>
      <c r="BG17" s="41" t="e">
        <f t="shared" ca="1" si="108"/>
        <v>#NAME?</v>
      </c>
      <c r="BH17" s="41" t="e">
        <f t="shared" ca="1" si="108"/>
        <v>#NAME?</v>
      </c>
      <c r="BI17" s="41" t="e">
        <f t="shared" ca="1" si="108"/>
        <v>#NAME?</v>
      </c>
      <c r="BJ17" s="41" t="e">
        <f t="shared" ca="1" si="108"/>
        <v>#NAME?</v>
      </c>
      <c r="BK17" s="41" t="e">
        <f t="shared" ca="1" si="108"/>
        <v>#NAME?</v>
      </c>
      <c r="BL17" s="41" t="e">
        <f t="shared" ca="1" si="108"/>
        <v>#NAME?</v>
      </c>
      <c r="BM17" s="41" t="e">
        <f t="shared" ca="1" si="108"/>
        <v>#NAME?</v>
      </c>
      <c r="BN17" s="41" t="e">
        <f t="shared" ca="1" si="108"/>
        <v>#NAME?</v>
      </c>
      <c r="BO17" s="41" t="e">
        <f t="shared" ca="1" si="108"/>
        <v>#NAME?</v>
      </c>
      <c r="BP17" s="41" t="e">
        <f t="shared" ca="1" si="108"/>
        <v>#NAME?</v>
      </c>
      <c r="BQ17" s="41" t="e">
        <f t="shared" ca="1" si="108"/>
        <v>#NAME?</v>
      </c>
      <c r="BR17" s="41" t="e">
        <f t="shared" ca="1" si="108"/>
        <v>#NAME?</v>
      </c>
      <c r="BS17" s="41" t="e">
        <f t="shared" ca="1" si="108"/>
        <v>#NAME?</v>
      </c>
      <c r="BT17" s="41" t="e">
        <f t="shared" ca="1" si="108"/>
        <v>#NAME?</v>
      </c>
      <c r="BU17" s="41" t="e">
        <f t="shared" ca="1" si="108"/>
        <v>#NAME?</v>
      </c>
      <c r="BV17" s="41" t="e">
        <f t="shared" ca="1" si="108"/>
        <v>#NAME?</v>
      </c>
      <c r="BW17" s="41" t="e">
        <f t="shared" ca="1" si="108"/>
        <v>#NAME?</v>
      </c>
      <c r="BX17" s="41" t="e">
        <f t="shared" ca="1" si="108"/>
        <v>#NAME?</v>
      </c>
      <c r="BY17" s="41" t="e">
        <f t="shared" ca="1" si="108"/>
        <v>#NAME?</v>
      </c>
      <c r="BZ17" s="41" t="e">
        <f t="shared" ca="1" si="108"/>
        <v>#NAME?</v>
      </c>
      <c r="CA17" s="41" t="e">
        <f t="shared" ca="1" si="108"/>
        <v>#NAME?</v>
      </c>
      <c r="CB17" s="41" t="e">
        <f t="shared" ca="1" si="108"/>
        <v>#NAME?</v>
      </c>
      <c r="CC17" s="41" t="e">
        <f t="shared" ca="1" si="108"/>
        <v>#NAME?</v>
      </c>
      <c r="CD17" s="41" t="e">
        <f t="shared" ca="1" si="108"/>
        <v>#NAME?</v>
      </c>
      <c r="CE17" s="41" t="e">
        <f t="shared" ref="CE17:CF17" ca="1" si="109">CE16/CE10</f>
        <v>#NAME?</v>
      </c>
      <c r="CF17" s="41" t="e">
        <f t="shared" ca="1" si="109"/>
        <v>#NAME?</v>
      </c>
      <c r="CG17" s="41" t="e">
        <f t="shared" ref="CG17:CH17" ca="1" si="110">CG16/CG10</f>
        <v>#NAME?</v>
      </c>
      <c r="CH17" s="41" t="e">
        <f t="shared" ca="1" si="110"/>
        <v>#NAME?</v>
      </c>
      <c r="CI17" s="41" t="e">
        <f t="shared" ref="CI17:CJ17" ca="1" si="111">CI16/CI10</f>
        <v>#NAME?</v>
      </c>
      <c r="CJ17" s="41" t="e">
        <f t="shared" ca="1" si="111"/>
        <v>#NAME?</v>
      </c>
      <c r="CK17" s="41" t="e">
        <f t="shared" ref="CK17:CL17" ca="1" si="112">CK16/CK10</f>
        <v>#NAME?</v>
      </c>
      <c r="CL17" s="41" t="e">
        <f t="shared" ca="1" si="112"/>
        <v>#NAME?</v>
      </c>
      <c r="CM17" s="42" t="e">
        <f t="shared" ref="CM17:DB17" ca="1" si="113">AVERAGE(CI17:CL17)</f>
        <v>#NAME?</v>
      </c>
      <c r="CN17" s="42" t="e">
        <f t="shared" ca="1" si="113"/>
        <v>#NAME?</v>
      </c>
      <c r="CO17" s="42" t="e">
        <f t="shared" ca="1" si="113"/>
        <v>#NAME?</v>
      </c>
      <c r="CP17" s="42" t="e">
        <f t="shared" ca="1" si="113"/>
        <v>#NAME?</v>
      </c>
      <c r="CQ17" s="42" t="e">
        <f t="shared" ca="1" si="113"/>
        <v>#NAME?</v>
      </c>
      <c r="CR17" s="42" t="e">
        <f t="shared" ca="1" si="113"/>
        <v>#NAME?</v>
      </c>
      <c r="CS17" s="42" t="e">
        <f t="shared" ca="1" si="113"/>
        <v>#NAME?</v>
      </c>
      <c r="CT17" s="42" t="e">
        <f t="shared" ca="1" si="113"/>
        <v>#NAME?</v>
      </c>
      <c r="CU17" s="42" t="e">
        <f t="shared" ca="1" si="113"/>
        <v>#NAME?</v>
      </c>
      <c r="CV17" s="42" t="e">
        <f t="shared" ca="1" si="113"/>
        <v>#NAME?</v>
      </c>
      <c r="CW17" s="42" t="e">
        <f t="shared" ca="1" si="113"/>
        <v>#NAME?</v>
      </c>
      <c r="CX17" s="42" t="e">
        <f t="shared" ca="1" si="113"/>
        <v>#NAME?</v>
      </c>
      <c r="CY17" s="42" t="e">
        <f t="shared" ca="1" si="113"/>
        <v>#NAME?</v>
      </c>
      <c r="CZ17" s="42" t="e">
        <f t="shared" ca="1" si="113"/>
        <v>#NAME?</v>
      </c>
      <c r="DA17" s="42" t="e">
        <f t="shared" ca="1" si="113"/>
        <v>#NAME?</v>
      </c>
      <c r="DB17" s="42" t="e">
        <f t="shared" ca="1" si="113"/>
        <v>#NAME?</v>
      </c>
      <c r="DE17" s="125"/>
      <c r="DF17" s="41">
        <v>0.55247726153766419</v>
      </c>
    </row>
    <row r="18" spans="1:110" s="39" customFormat="1" x14ac:dyDescent="0.2">
      <c r="A18" s="39" t="s">
        <v>447</v>
      </c>
      <c r="C18" s="39" t="e">
        <f t="shared" ref="C18:AE18" ca="1" si="114">+IF(B16&lt;0,1-C16/B16,C16/B16-1)</f>
        <v>#NAME?</v>
      </c>
      <c r="D18" s="39" t="e">
        <f t="shared" ca="1" si="114"/>
        <v>#NAME?</v>
      </c>
      <c r="E18" s="39" t="e">
        <f t="shared" ca="1" si="114"/>
        <v>#NAME?</v>
      </c>
      <c r="F18" s="39" t="e">
        <f t="shared" ca="1" si="114"/>
        <v>#NAME?</v>
      </c>
      <c r="G18" s="39" t="e">
        <f t="shared" ca="1" si="114"/>
        <v>#NAME?</v>
      </c>
      <c r="H18" s="39" t="e">
        <f t="shared" ca="1" si="114"/>
        <v>#NAME?</v>
      </c>
      <c r="I18" s="39" t="e">
        <f t="shared" ca="1" si="114"/>
        <v>#NAME?</v>
      </c>
      <c r="J18" s="39" t="e">
        <f t="shared" ca="1" si="114"/>
        <v>#NAME?</v>
      </c>
      <c r="K18" s="39" t="e">
        <f t="shared" ca="1" si="114"/>
        <v>#NAME?</v>
      </c>
      <c r="L18" s="39" t="e">
        <f t="shared" ca="1" si="114"/>
        <v>#NAME?</v>
      </c>
      <c r="M18" s="39" t="e">
        <f t="shared" ca="1" si="114"/>
        <v>#NAME?</v>
      </c>
      <c r="N18" s="39" t="e">
        <f t="shared" ca="1" si="114"/>
        <v>#NAME?</v>
      </c>
      <c r="O18" s="39" t="e">
        <f t="shared" ca="1" si="114"/>
        <v>#NAME?</v>
      </c>
      <c r="P18" s="39" t="e">
        <f t="shared" ca="1" si="114"/>
        <v>#NAME?</v>
      </c>
      <c r="Q18" s="39" t="e">
        <f t="shared" ca="1" si="114"/>
        <v>#NAME?</v>
      </c>
      <c r="R18" s="39" t="e">
        <f t="shared" ca="1" si="114"/>
        <v>#NAME?</v>
      </c>
      <c r="S18" s="39" t="e">
        <f t="shared" ca="1" si="114"/>
        <v>#NAME?</v>
      </c>
      <c r="T18" s="39" t="e">
        <f t="shared" ca="1" si="114"/>
        <v>#NAME?</v>
      </c>
      <c r="U18" s="39" t="e">
        <f t="shared" ca="1" si="114"/>
        <v>#NAME?</v>
      </c>
      <c r="V18" s="39" t="e">
        <f t="shared" ca="1" si="114"/>
        <v>#NAME?</v>
      </c>
      <c r="W18" s="39" t="e">
        <f t="shared" ca="1" si="114"/>
        <v>#NAME?</v>
      </c>
      <c r="X18" s="39" t="e">
        <f t="shared" ca="1" si="114"/>
        <v>#NAME?</v>
      </c>
      <c r="Y18" s="39" t="e">
        <f t="shared" ca="1" si="114"/>
        <v>#NAME?</v>
      </c>
      <c r="Z18" s="39" t="e">
        <f t="shared" ca="1" si="114"/>
        <v>#NAME?</v>
      </c>
      <c r="AA18" s="39" t="e">
        <f t="shared" ca="1" si="114"/>
        <v>#NAME?</v>
      </c>
      <c r="AB18" s="40" t="e">
        <f t="shared" ca="1" si="114"/>
        <v>#NAME?</v>
      </c>
      <c r="AC18" s="40" t="e">
        <f t="shared" ca="1" si="114"/>
        <v>#NAME?</v>
      </c>
      <c r="AD18" s="40" t="e">
        <f t="shared" ca="1" si="114"/>
        <v>#NAME?</v>
      </c>
      <c r="AE18" s="40" t="e">
        <f t="shared" ca="1" si="114"/>
        <v>#NAME?</v>
      </c>
      <c r="AM18" s="39" t="e">
        <f ca="1">+IF(AI16&lt;0,1-AM16/AI16,AM16/AI16-1)</f>
        <v>#NAME?</v>
      </c>
      <c r="AN18" s="39" t="e">
        <f t="shared" ref="AN18" ca="1" si="115">+IF(AJ16&lt;0,1-AN16/AJ16,AN16/AJ16-1)</f>
        <v>#NAME?</v>
      </c>
      <c r="AO18" s="39" t="e">
        <f t="shared" ref="AO18" ca="1" si="116">+IF(AK16&lt;0,1-AO16/AK16,AO16/AK16-1)</f>
        <v>#NAME?</v>
      </c>
      <c r="AP18" s="39" t="e">
        <f t="shared" ref="AP18" ca="1" si="117">+IF(AL16&lt;0,1-AP16/AL16,AP16/AL16-1)</f>
        <v>#NAME?</v>
      </c>
      <c r="AQ18" s="39" t="e">
        <f t="shared" ref="AQ18" ca="1" si="118">+IF(AM16&lt;0,1-AQ16/AM16,AQ16/AM16-1)</f>
        <v>#NAME?</v>
      </c>
      <c r="AR18" s="39" t="e">
        <f t="shared" ref="AR18" ca="1" si="119">+IF(AN16&lt;0,1-AR16/AN16,AR16/AN16-1)</f>
        <v>#NAME?</v>
      </c>
      <c r="AS18" s="39" t="e">
        <f t="shared" ref="AS18" ca="1" si="120">+IF(AO16&lt;0,1-AS16/AO16,AS16/AO16-1)</f>
        <v>#NAME?</v>
      </c>
      <c r="AT18" s="39" t="e">
        <f t="shared" ref="AT18" ca="1" si="121">+IF(AP16&lt;0,1-AT16/AP16,AT16/AP16-1)</f>
        <v>#NAME?</v>
      </c>
      <c r="AU18" s="39" t="e">
        <f t="shared" ref="AU18" ca="1" si="122">+IF(AQ16&lt;0,1-AU16/AQ16,AU16/AQ16-1)</f>
        <v>#NAME?</v>
      </c>
      <c r="AV18" s="39" t="e">
        <f t="shared" ref="AV18" ca="1" si="123">+IF(AR16&lt;0,1-AV16/AR16,AV16/AR16-1)</f>
        <v>#NAME?</v>
      </c>
      <c r="AW18" s="39" t="e">
        <f t="shared" ref="AW18" ca="1" si="124">+IF(AS16&lt;0,1-AW16/AS16,AW16/AS16-1)</f>
        <v>#NAME?</v>
      </c>
      <c r="AX18" s="39" t="e">
        <f t="shared" ref="AX18" ca="1" si="125">+IF(AT16&lt;0,1-AX16/AT16,AX16/AT16-1)</f>
        <v>#NAME?</v>
      </c>
      <c r="AY18" s="39" t="e">
        <f t="shared" ref="AY18" ca="1" si="126">+IF(AU16&lt;0,1-AY16/AU16,AY16/AU16-1)</f>
        <v>#NAME?</v>
      </c>
      <c r="AZ18" s="39" t="e">
        <f t="shared" ref="AZ18" ca="1" si="127">+IF(AV16&lt;0,1-AZ16/AV16,AZ16/AV16-1)</f>
        <v>#NAME?</v>
      </c>
      <c r="BA18" s="39" t="e">
        <f t="shared" ref="BA18" ca="1" si="128">+IF(AW16&lt;0,1-BA16/AW16,BA16/AW16-1)</f>
        <v>#NAME?</v>
      </c>
      <c r="BB18" s="39" t="e">
        <f t="shared" ref="BB18" ca="1" si="129">+IF(AX16&lt;0,1-BB16/AX16,BB16/AX16-1)</f>
        <v>#NAME?</v>
      </c>
      <c r="BC18" s="39" t="e">
        <f t="shared" ref="BC18" ca="1" si="130">+IF(AY16&lt;0,1-BC16/AY16,BC16/AY16-1)</f>
        <v>#NAME?</v>
      </c>
      <c r="BD18" s="39" t="e">
        <f t="shared" ref="BD18" ca="1" si="131">+IF(AZ16&lt;0,1-BD16/AZ16,BD16/AZ16-1)</f>
        <v>#NAME?</v>
      </c>
      <c r="BE18" s="39" t="e">
        <f t="shared" ref="BE18" ca="1" si="132">+IF(BA16&lt;0,1-BE16/BA16,BE16/BA16-1)</f>
        <v>#NAME?</v>
      </c>
      <c r="BF18" s="39" t="e">
        <f t="shared" ref="BF18" ca="1" si="133">+IF(BB16&lt;0,1-BF16/BB16,BF16/BB16-1)</f>
        <v>#NAME?</v>
      </c>
      <c r="BG18" s="39" t="e">
        <f t="shared" ref="BG18" ca="1" si="134">+IF(BC16&lt;0,1-BG16/BC16,BG16/BC16-1)</f>
        <v>#NAME?</v>
      </c>
      <c r="BH18" s="39" t="e">
        <f t="shared" ref="BH18" ca="1" si="135">+IF(BD16&lt;0,1-BH16/BD16,BH16/BD16-1)</f>
        <v>#NAME?</v>
      </c>
      <c r="BI18" s="39" t="e">
        <f t="shared" ref="BI18" ca="1" si="136">+IF(BE16&lt;0,1-BI16/BE16,BI16/BE16-1)</f>
        <v>#NAME?</v>
      </c>
      <c r="BJ18" s="39" t="e">
        <f t="shared" ref="BJ18" ca="1" si="137">+IF(BF16&lt;0,1-BJ16/BF16,BJ16/BF16-1)</f>
        <v>#NAME?</v>
      </c>
      <c r="BK18" s="39" t="e">
        <f t="shared" ref="BK18" ca="1" si="138">+IF(BG16&lt;0,1-BK16/BG16,BK16/BG16-1)</f>
        <v>#NAME?</v>
      </c>
      <c r="BL18" s="39" t="e">
        <f t="shared" ref="BL18" ca="1" si="139">+IF(BH16&lt;0,1-BL16/BH16,BL16/BH16-1)</f>
        <v>#NAME?</v>
      </c>
      <c r="BM18" s="39" t="e">
        <f t="shared" ref="BM18" ca="1" si="140">+IF(BI16&lt;0,1-BM16/BI16,BM16/BI16-1)</f>
        <v>#NAME?</v>
      </c>
      <c r="BN18" s="39" t="e">
        <f t="shared" ref="BN18" ca="1" si="141">+IF(BJ16&lt;0,1-BN16/BJ16,BN16/BJ16-1)</f>
        <v>#NAME?</v>
      </c>
      <c r="BO18" s="39" t="e">
        <f t="shared" ref="BO18" ca="1" si="142">+IF(BK16&lt;0,1-BO16/BK16,BO16/BK16-1)</f>
        <v>#NAME?</v>
      </c>
      <c r="BP18" s="39" t="e">
        <f t="shared" ref="BP18" ca="1" si="143">+IF(BL16&lt;0,1-BP16/BL16,BP16/BL16-1)</f>
        <v>#NAME?</v>
      </c>
      <c r="BQ18" s="39" t="e">
        <f t="shared" ref="BQ18" ca="1" si="144">+IF(BM16&lt;0,1-BQ16/BM16,BQ16/BM16-1)</f>
        <v>#NAME?</v>
      </c>
      <c r="BR18" s="39" t="e">
        <f t="shared" ref="BR18" ca="1" si="145">+IF(BN16&lt;0,1-BR16/BN16,BR16/BN16-1)</f>
        <v>#NAME?</v>
      </c>
      <c r="BS18" s="39" t="e">
        <f t="shared" ref="BS18" ca="1" si="146">+IF(BO16&lt;0,1-BS16/BO16,BS16/BO16-1)</f>
        <v>#NAME?</v>
      </c>
      <c r="BT18" s="39" t="e">
        <f t="shared" ref="BT18" ca="1" si="147">+IF(BP16&lt;0,1-BT16/BP16,BT16/BP16-1)</f>
        <v>#NAME?</v>
      </c>
      <c r="BU18" s="39" t="e">
        <f t="shared" ref="BU18" ca="1" si="148">+IF(BQ16&lt;0,1-BU16/BQ16,BU16/BQ16-1)</f>
        <v>#NAME?</v>
      </c>
      <c r="BV18" s="39" t="e">
        <f t="shared" ref="BV18" ca="1" si="149">+IF(BR16&lt;0,1-BV16/BR16,BV16/BR16-1)</f>
        <v>#NAME?</v>
      </c>
      <c r="BW18" s="39" t="e">
        <f t="shared" ref="BW18" ca="1" si="150">+IF(BS16&lt;0,1-BW16/BS16,BW16/BS16-1)</f>
        <v>#NAME?</v>
      </c>
      <c r="BX18" s="39" t="e">
        <f t="shared" ref="BX18" ca="1" si="151">+IF(BT16&lt;0,1-BX16/BT16,BX16/BT16-1)</f>
        <v>#NAME?</v>
      </c>
      <c r="BY18" s="39" t="e">
        <f t="shared" ref="BY18" ca="1" si="152">+IF(BU16&lt;0,1-BY16/BU16,BY16/BU16-1)</f>
        <v>#NAME?</v>
      </c>
      <c r="BZ18" s="39" t="e">
        <f t="shared" ref="BZ18" ca="1" si="153">+IF(BV16&lt;0,1-BZ16/BV16,BZ16/BV16-1)</f>
        <v>#NAME?</v>
      </c>
      <c r="CA18" s="39" t="e">
        <f t="shared" ref="CA18" ca="1" si="154">+IF(BW16&lt;0,1-CA16/BW16,CA16/BW16-1)</f>
        <v>#NAME?</v>
      </c>
      <c r="CB18" s="39" t="e">
        <f t="shared" ref="CB18" ca="1" si="155">+IF(BX16&lt;0,1-CB16/BX16,CB16/BX16-1)</f>
        <v>#NAME?</v>
      </c>
      <c r="CC18" s="39" t="e">
        <f t="shared" ref="CC18" ca="1" si="156">+IF(BY16&lt;0,1-CC16/BY16,CC16/BY16-1)</f>
        <v>#NAME?</v>
      </c>
      <c r="CD18" s="39" t="e">
        <f t="shared" ref="CD18" ca="1" si="157">+IF(BZ16&lt;0,1-CD16/BZ16,CD16/BZ16-1)</f>
        <v>#NAME?</v>
      </c>
      <c r="CE18" s="39" t="e">
        <f t="shared" ref="CE18" ca="1" si="158">+IF(CA16&lt;0,1-CE16/CA16,CE16/CA16-1)</f>
        <v>#NAME?</v>
      </c>
      <c r="CF18" s="39" t="e">
        <f t="shared" ref="CF18" ca="1" si="159">+IF(CB16&lt;0,1-CF16/CB16,CF16/CB16-1)</f>
        <v>#NAME?</v>
      </c>
      <c r="CG18" s="39" t="e">
        <f t="shared" ref="CG18" ca="1" si="160">+IF(CC16&lt;0,1-CG16/CC16,CG16/CC16-1)</f>
        <v>#NAME?</v>
      </c>
      <c r="CH18" s="39" t="e">
        <f t="shared" ref="CH18:CL18" ca="1" si="161">+IF(CD16&lt;0,1-CH16/CD16,CH16/CD16-1)</f>
        <v>#NAME?</v>
      </c>
      <c r="CI18" s="39" t="e">
        <f t="shared" ca="1" si="161"/>
        <v>#NAME?</v>
      </c>
      <c r="CJ18" s="39" t="e">
        <f t="shared" ca="1" si="161"/>
        <v>#NAME?</v>
      </c>
      <c r="CK18" s="39" t="e">
        <f t="shared" ca="1" si="161"/>
        <v>#NAME?</v>
      </c>
      <c r="CL18" s="39" t="e">
        <f t="shared" ca="1" si="161"/>
        <v>#NAME?</v>
      </c>
      <c r="CM18" s="40" t="e">
        <f t="shared" ref="CM18" ca="1" si="162">+CM16/CI16-1</f>
        <v>#NAME?</v>
      </c>
      <c r="CN18" s="40" t="e">
        <f t="shared" ref="CN18" ca="1" si="163">+CN16/CJ16-1</f>
        <v>#NAME?</v>
      </c>
      <c r="CO18" s="40" t="e">
        <f t="shared" ref="CO18" ca="1" si="164">+CO16/CK16-1</f>
        <v>#NAME?</v>
      </c>
      <c r="CP18" s="40" t="e">
        <f t="shared" ref="CP18" ca="1" si="165">+CP16/CL16-1</f>
        <v>#NAME?</v>
      </c>
      <c r="CQ18" s="40" t="e">
        <f t="shared" ref="CQ18" ca="1" si="166">+CQ16/CM16-1</f>
        <v>#NAME?</v>
      </c>
      <c r="CR18" s="40" t="e">
        <f t="shared" ref="CR18" ca="1" si="167">+CR16/CN16-1</f>
        <v>#NAME?</v>
      </c>
      <c r="CS18" s="40" t="e">
        <f t="shared" ref="CS18" ca="1" si="168">+CS16/CO16-1</f>
        <v>#NAME?</v>
      </c>
      <c r="CT18" s="40" t="e">
        <f t="shared" ref="CT18" ca="1" si="169">+CT16/CP16-1</f>
        <v>#NAME?</v>
      </c>
      <c r="CU18" s="40" t="e">
        <f t="shared" ref="CU18" ca="1" si="170">+CU16/CQ16-1</f>
        <v>#NAME?</v>
      </c>
      <c r="CV18" s="40" t="e">
        <f t="shared" ref="CV18" ca="1" si="171">+CV16/CR16-1</f>
        <v>#NAME?</v>
      </c>
      <c r="CW18" s="40" t="e">
        <f t="shared" ref="CW18" ca="1" si="172">+CW16/CS16-1</f>
        <v>#NAME?</v>
      </c>
      <c r="CX18" s="40" t="e">
        <f t="shared" ref="CX18" ca="1" si="173">+CX16/CT16-1</f>
        <v>#NAME?</v>
      </c>
      <c r="CY18" s="40" t="e">
        <f t="shared" ref="CY18" ca="1" si="174">+CY16/CU16-1</f>
        <v>#NAME?</v>
      </c>
      <c r="CZ18" s="40" t="e">
        <f t="shared" ref="CZ18" ca="1" si="175">+CZ16/CV16-1</f>
        <v>#NAME?</v>
      </c>
      <c r="DA18" s="40" t="e">
        <f t="shared" ref="DA18" ca="1" si="176">+DA16/CW16-1</f>
        <v>#NAME?</v>
      </c>
      <c r="DB18" s="40" t="e">
        <f t="shared" ref="DB18" ca="1" si="177">+DB16/CX16-1</f>
        <v>#NAME?</v>
      </c>
      <c r="DE18" s="122"/>
      <c r="DF18" s="39">
        <v>7.7040692137357869E-3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78">+IF(AJ16&lt;0,1-AK16/AJ16,AK16/AJ16-1)</f>
        <v>#NAME?</v>
      </c>
      <c r="AL19" s="39" t="e">
        <f t="shared" ref="AL19" ca="1" si="179">+IF(AK16&lt;0,1-AL16/AK16,AL16/AK16-1)</f>
        <v>#NAME?</v>
      </c>
      <c r="AM19" s="39" t="e">
        <f t="shared" ref="AM19" ca="1" si="180">+IF(AL16&lt;0,1-AM16/AL16,AM16/AL16-1)</f>
        <v>#NAME?</v>
      </c>
      <c r="AN19" s="39" t="e">
        <f t="shared" ref="AN19" ca="1" si="181">+IF(AM16&lt;0,1-AN16/AM16,AN16/AM16-1)</f>
        <v>#NAME?</v>
      </c>
      <c r="AO19" s="39" t="e">
        <f t="shared" ref="AO19" ca="1" si="182">+IF(AN16&lt;0,1-AO16/AN16,AO16/AN16-1)</f>
        <v>#NAME?</v>
      </c>
      <c r="AP19" s="39" t="e">
        <f t="shared" ref="AP19" ca="1" si="183">+IF(AO16&lt;0,1-AP16/AO16,AP16/AO16-1)</f>
        <v>#NAME?</v>
      </c>
      <c r="AQ19" s="39" t="e">
        <f t="shared" ref="AQ19" ca="1" si="184">+IF(AP16&lt;0,1-AQ16/AP16,AQ16/AP16-1)</f>
        <v>#NAME?</v>
      </c>
      <c r="AR19" s="39" t="e">
        <f t="shared" ref="AR19" ca="1" si="185">+IF(AQ16&lt;0,1-AR16/AQ16,AR16/AQ16-1)</f>
        <v>#NAME?</v>
      </c>
      <c r="AS19" s="39" t="e">
        <f t="shared" ref="AS19" ca="1" si="186">+IF(AR16&lt;0,1-AS16/AR16,AS16/AR16-1)</f>
        <v>#NAME?</v>
      </c>
      <c r="AT19" s="39" t="e">
        <f t="shared" ref="AT19" ca="1" si="187">+IF(AS16&lt;0,1-AT16/AS16,AT16/AS16-1)</f>
        <v>#NAME?</v>
      </c>
      <c r="AU19" s="39" t="e">
        <f t="shared" ref="AU19" ca="1" si="188">+IF(AT16&lt;0,1-AU16/AT16,AU16/AT16-1)</f>
        <v>#NAME?</v>
      </c>
      <c r="AV19" s="39" t="e">
        <f t="shared" ref="AV19" ca="1" si="189">+IF(AU16&lt;0,1-AV16/AU16,AV16/AU16-1)</f>
        <v>#NAME?</v>
      </c>
      <c r="AW19" s="39" t="e">
        <f t="shared" ref="AW19" ca="1" si="190">+IF(AV16&lt;0,1-AW16/AV16,AW16/AV16-1)</f>
        <v>#NAME?</v>
      </c>
      <c r="AX19" s="39" t="e">
        <f t="shared" ref="AX19" ca="1" si="191">+IF(AW16&lt;0,1-AX16/AW16,AX16/AW16-1)</f>
        <v>#NAME?</v>
      </c>
      <c r="AY19" s="39" t="e">
        <f t="shared" ref="AY19" ca="1" si="192">+IF(AX16&lt;0,1-AY16/AX16,AY16/AX16-1)</f>
        <v>#NAME?</v>
      </c>
      <c r="AZ19" s="39" t="e">
        <f t="shared" ref="AZ19" ca="1" si="193">+IF(AY16&lt;0,1-AZ16/AY16,AZ16/AY16-1)</f>
        <v>#NAME?</v>
      </c>
      <c r="BA19" s="39" t="e">
        <f t="shared" ref="BA19" ca="1" si="194">+IF(AZ16&lt;0,1-BA16/AZ16,BA16/AZ16-1)</f>
        <v>#NAME?</v>
      </c>
      <c r="BB19" s="39" t="e">
        <f t="shared" ref="BB19" ca="1" si="195">+IF(BA16&lt;0,1-BB16/BA16,BB16/BA16-1)</f>
        <v>#NAME?</v>
      </c>
      <c r="BC19" s="39" t="e">
        <f t="shared" ref="BC19" ca="1" si="196">+IF(BB16&lt;0,1-BC16/BB16,BC16/BB16-1)</f>
        <v>#NAME?</v>
      </c>
      <c r="BD19" s="39" t="e">
        <f t="shared" ref="BD19" ca="1" si="197">+IF(BC16&lt;0,1-BD16/BC16,BD16/BC16-1)</f>
        <v>#NAME?</v>
      </c>
      <c r="BE19" s="39" t="e">
        <f t="shared" ref="BE19" ca="1" si="198">+IF(BD16&lt;0,1-BE16/BD16,BE16/BD16-1)</f>
        <v>#NAME?</v>
      </c>
      <c r="BF19" s="39" t="e">
        <f t="shared" ref="BF19" ca="1" si="199">+IF(BE16&lt;0,1-BF16/BE16,BF16/BE16-1)</f>
        <v>#NAME?</v>
      </c>
      <c r="BG19" s="39" t="e">
        <f t="shared" ref="BG19" ca="1" si="200">+IF(BF16&lt;0,1-BG16/BF16,BG16/BF16-1)</f>
        <v>#NAME?</v>
      </c>
      <c r="BH19" s="39" t="e">
        <f t="shared" ref="BH19" ca="1" si="201">+IF(BG16&lt;0,1-BH16/BG16,BH16/BG16-1)</f>
        <v>#NAME?</v>
      </c>
      <c r="BI19" s="39" t="e">
        <f t="shared" ref="BI19" ca="1" si="202">+IF(BH16&lt;0,1-BI16/BH16,BI16/BH16-1)</f>
        <v>#NAME?</v>
      </c>
      <c r="BJ19" s="39" t="e">
        <f t="shared" ref="BJ19" ca="1" si="203">+IF(BI16&lt;0,1-BJ16/BI16,BJ16/BI16-1)</f>
        <v>#NAME?</v>
      </c>
      <c r="BK19" s="39" t="e">
        <f t="shared" ref="BK19" ca="1" si="204">+IF(BJ16&lt;0,1-BK16/BJ16,BK16/BJ16-1)</f>
        <v>#NAME?</v>
      </c>
      <c r="BL19" s="39" t="e">
        <f t="shared" ref="BL19" ca="1" si="205">+IF(BK16&lt;0,1-BL16/BK16,BL16/BK16-1)</f>
        <v>#NAME?</v>
      </c>
      <c r="BM19" s="39" t="e">
        <f t="shared" ref="BM19" ca="1" si="206">+IF(BL16&lt;0,1-BM16/BL16,BM16/BL16-1)</f>
        <v>#NAME?</v>
      </c>
      <c r="BN19" s="39" t="e">
        <f t="shared" ref="BN19" ca="1" si="207">+IF(BM16&lt;0,1-BN16/BM16,BN16/BM16-1)</f>
        <v>#NAME?</v>
      </c>
      <c r="BO19" s="39" t="e">
        <f t="shared" ref="BO19" ca="1" si="208">+IF(BN16&lt;0,1-BO16/BN16,BO16/BN16-1)</f>
        <v>#NAME?</v>
      </c>
      <c r="BP19" s="39" t="e">
        <f t="shared" ref="BP19" ca="1" si="209">+IF(BO16&lt;0,1-BP16/BO16,BP16/BO16-1)</f>
        <v>#NAME?</v>
      </c>
      <c r="BQ19" s="39" t="e">
        <f t="shared" ref="BQ19" ca="1" si="210">+IF(BP16&lt;0,1-BQ16/BP16,BQ16/BP16-1)</f>
        <v>#NAME?</v>
      </c>
      <c r="BR19" s="39" t="e">
        <f t="shared" ref="BR19" ca="1" si="211">+IF(BQ16&lt;0,1-BR16/BQ16,BR16/BQ16-1)</f>
        <v>#NAME?</v>
      </c>
      <c r="BS19" s="39" t="e">
        <f t="shared" ref="BS19" ca="1" si="212">+IF(BR16&lt;0,1-BS16/BR16,BS16/BR16-1)</f>
        <v>#NAME?</v>
      </c>
      <c r="BT19" s="39" t="e">
        <f t="shared" ref="BT19" ca="1" si="213">+IF(BS16&lt;0,1-BT16/BS16,BT16/BS16-1)</f>
        <v>#NAME?</v>
      </c>
      <c r="BU19" s="39" t="e">
        <f t="shared" ref="BU19" ca="1" si="214">+IF(BT16&lt;0,1-BU16/BT16,BU16/BT16-1)</f>
        <v>#NAME?</v>
      </c>
      <c r="BV19" s="39" t="e">
        <f t="shared" ref="BV19" ca="1" si="215">+IF(BU16&lt;0,1-BV16/BU16,BV16/BU16-1)</f>
        <v>#NAME?</v>
      </c>
      <c r="BW19" s="39" t="e">
        <f t="shared" ref="BW19" ca="1" si="216">+IF(BV16&lt;0,1-BW16/BV16,BW16/BV16-1)</f>
        <v>#NAME?</v>
      </c>
      <c r="BX19" s="39" t="e">
        <f t="shared" ref="BX19" ca="1" si="217">+IF(BW16&lt;0,1-BX16/BW16,BX16/BW16-1)</f>
        <v>#NAME?</v>
      </c>
      <c r="BY19" s="39" t="e">
        <f t="shared" ref="BY19" ca="1" si="218">+IF(BX16&lt;0,1-BY16/BX16,BY16/BX16-1)</f>
        <v>#NAME?</v>
      </c>
      <c r="BZ19" s="39" t="e">
        <f t="shared" ref="BZ19" ca="1" si="219">+IF(BY16&lt;0,1-BZ16/BY16,BZ16/BY16-1)</f>
        <v>#NAME?</v>
      </c>
      <c r="CA19" s="39" t="e">
        <f t="shared" ref="CA19" ca="1" si="220">+IF(BZ16&lt;0,1-CA16/BZ16,CA16/BZ16-1)</f>
        <v>#NAME?</v>
      </c>
      <c r="CB19" s="39" t="e">
        <f t="shared" ref="CB19" ca="1" si="221">+IF(CA16&lt;0,1-CB16/CA16,CB16/CA16-1)</f>
        <v>#NAME?</v>
      </c>
      <c r="CC19" s="39" t="e">
        <f t="shared" ref="CC19" ca="1" si="222">+IF(CB16&lt;0,1-CC16/CB16,CC16/CB16-1)</f>
        <v>#NAME?</v>
      </c>
      <c r="CD19" s="39" t="e">
        <f t="shared" ref="CD19" ca="1" si="223">+IF(CC16&lt;0,1-CD16/CC16,CD16/CC16-1)</f>
        <v>#NAME?</v>
      </c>
      <c r="CE19" s="39" t="e">
        <f t="shared" ref="CE19" ca="1" si="224">+IF(CD16&lt;0,1-CE16/CD16,CE16/CD16-1)</f>
        <v>#NAME?</v>
      </c>
      <c r="CF19" s="39" t="e">
        <f t="shared" ref="CF19" ca="1" si="225">+IF(CE16&lt;0,1-CF16/CE16,CF16/CE16-1)</f>
        <v>#NAME?</v>
      </c>
      <c r="CG19" s="39" t="e">
        <f t="shared" ref="CG19" ca="1" si="226">+IF(CF16&lt;0,1-CG16/CF16,CG16/CF16-1)</f>
        <v>#NAME?</v>
      </c>
      <c r="CH19" s="39" t="e">
        <f t="shared" ref="CH19:CL19" ca="1" si="227">+IF(CG16&lt;0,1-CH16/CG16,CH16/CG16-1)</f>
        <v>#NAME?</v>
      </c>
      <c r="CI19" s="39" t="e">
        <f t="shared" ca="1" si="227"/>
        <v>#NAME?</v>
      </c>
      <c r="CJ19" s="39" t="e">
        <f t="shared" ca="1" si="227"/>
        <v>#NAME?</v>
      </c>
      <c r="CK19" s="39" t="e">
        <f t="shared" ca="1" si="227"/>
        <v>#NAME?</v>
      </c>
      <c r="CL19" s="39" t="e">
        <f t="shared" ca="1" si="227"/>
        <v>#NAME?</v>
      </c>
      <c r="CM19" s="40" t="e">
        <f t="shared" ref="CM19" ca="1" si="228">+CM16/CL16-1</f>
        <v>#NAME?</v>
      </c>
      <c r="CN19" s="40" t="e">
        <f t="shared" ref="CN19" ca="1" si="229">+CN16/CM16-1</f>
        <v>#NAME?</v>
      </c>
      <c r="CO19" s="40" t="e">
        <f t="shared" ref="CO19" ca="1" si="230">+CO16/CN16-1</f>
        <v>#NAME?</v>
      </c>
      <c r="CP19" s="40" t="e">
        <f t="shared" ref="CP19" ca="1" si="231">+CP16/CO16-1</f>
        <v>#NAME?</v>
      </c>
      <c r="CQ19" s="40" t="e">
        <f t="shared" ref="CQ19" ca="1" si="232">+CQ16/CP16-1</f>
        <v>#NAME?</v>
      </c>
      <c r="CR19" s="40" t="e">
        <f t="shared" ref="CR19" ca="1" si="233">+CR16/CQ16-1</f>
        <v>#NAME?</v>
      </c>
      <c r="CS19" s="40" t="e">
        <f t="shared" ref="CS19" ca="1" si="234">+CS16/CR16-1</f>
        <v>#NAME?</v>
      </c>
      <c r="CT19" s="40" t="e">
        <f t="shared" ref="CT19" ca="1" si="235">+CT16/CS16-1</f>
        <v>#NAME?</v>
      </c>
      <c r="CU19" s="40" t="e">
        <f t="shared" ref="CU19" ca="1" si="236">+CU16/CT16-1</f>
        <v>#NAME?</v>
      </c>
      <c r="CV19" s="40" t="e">
        <f t="shared" ref="CV19" ca="1" si="237">+CV16/CU16-1</f>
        <v>#NAME?</v>
      </c>
      <c r="CW19" s="40" t="e">
        <f t="shared" ref="CW19" ca="1" si="238">+CW16/CV16-1</f>
        <v>#NAME?</v>
      </c>
      <c r="CX19" s="40" t="e">
        <f t="shared" ref="CX19" ca="1" si="239">+CX16/CW16-1</f>
        <v>#NAME?</v>
      </c>
      <c r="CY19" s="40" t="e">
        <f t="shared" ref="CY19" ca="1" si="240">+CY16/CX16-1</f>
        <v>#NAME?</v>
      </c>
      <c r="CZ19" s="40" t="e">
        <f t="shared" ref="CZ19" ca="1" si="241">+CZ16/CY16-1</f>
        <v>#NAME?</v>
      </c>
      <c r="DA19" s="40" t="e">
        <f t="shared" ref="DA19" ca="1" si="242">+DA16/CZ16-1</f>
        <v>#NAME?</v>
      </c>
      <c r="DB19" s="40" t="e">
        <f t="shared" ref="DB19" ca="1" si="243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44">+SUM(CM20:CP20)</f>
        <v>#NAME?</v>
      </c>
      <c r="AC20" s="76" t="e">
        <f t="shared" ref="AC20:AC25" ca="1" si="245">+SUM(CQ20:CT20)</f>
        <v>#NAME?</v>
      </c>
      <c r="AD20" s="76" t="e">
        <f t="shared" ref="AD20:AD25" ca="1" si="246">+SUM(CU20:CX20)</f>
        <v>#NAME?</v>
      </c>
      <c r="AE20" s="76" t="e">
        <f t="shared" ref="AE20:AE25" ca="1" si="247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48">CI20*107%</f>
        <v>#NAME?</v>
      </c>
      <c r="CN20" s="24" t="e">
        <f t="shared" ca="1" si="248"/>
        <v>#NAME?</v>
      </c>
      <c r="CO20" s="24" t="e">
        <f t="shared" ca="1" si="248"/>
        <v>#NAME?</v>
      </c>
      <c r="CP20" s="24" t="e">
        <f t="shared" ca="1" si="248"/>
        <v>#NAME?</v>
      </c>
      <c r="CQ20" s="24" t="e">
        <f t="shared" ca="1" si="248"/>
        <v>#NAME?</v>
      </c>
      <c r="CR20" s="24" t="e">
        <f t="shared" ca="1" si="248"/>
        <v>#NAME?</v>
      </c>
      <c r="CS20" s="24" t="e">
        <f t="shared" ca="1" si="248"/>
        <v>#NAME?</v>
      </c>
      <c r="CT20" s="24" t="e">
        <f t="shared" ca="1" si="248"/>
        <v>#NAME?</v>
      </c>
      <c r="CU20" s="24" t="e">
        <f t="shared" ca="1" si="248"/>
        <v>#NAME?</v>
      </c>
      <c r="CV20" s="24" t="e">
        <f t="shared" ca="1" si="248"/>
        <v>#NAME?</v>
      </c>
      <c r="CW20" s="24" t="e">
        <f t="shared" ca="1" si="248"/>
        <v>#NAME?</v>
      </c>
      <c r="CX20" s="24" t="e">
        <f t="shared" ca="1" si="248"/>
        <v>#NAME?</v>
      </c>
      <c r="CY20" s="24" t="e">
        <f t="shared" ca="1" si="248"/>
        <v>#NAME?</v>
      </c>
      <c r="CZ20" s="24" t="e">
        <f t="shared" ca="1" si="248"/>
        <v>#NAME?</v>
      </c>
      <c r="DA20" s="24" t="e">
        <f t="shared" ca="1" si="248"/>
        <v>#NAME?</v>
      </c>
      <c r="DB20" s="24" t="e">
        <f t="shared" ca="1" si="248"/>
        <v>#NAME?</v>
      </c>
      <c r="DE20" s="123"/>
      <c r="DF20" s="23">
        <v>2237.44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44"/>
        <v>0</v>
      </c>
      <c r="AC21" s="76">
        <f t="shared" si="245"/>
        <v>0</v>
      </c>
      <c r="AD21" s="76">
        <f t="shared" si="246"/>
        <v>0</v>
      </c>
      <c r="AE21" s="76">
        <f t="shared" si="247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44"/>
        <v>0</v>
      </c>
      <c r="AC22" s="76">
        <f t="shared" si="245"/>
        <v>0</v>
      </c>
      <c r="AD22" s="76">
        <f t="shared" si="246"/>
        <v>0</v>
      </c>
      <c r="AE22" s="76">
        <f t="shared" si="247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46.29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44"/>
        <v>#NAME?</v>
      </c>
      <c r="AC23" s="76" t="e">
        <f t="shared" ca="1" si="245"/>
        <v>#NAME?</v>
      </c>
      <c r="AD23" s="76" t="e">
        <f t="shared" ca="1" si="246"/>
        <v>#NAME?</v>
      </c>
      <c r="AE23" s="76" t="e">
        <f t="shared" ca="1" si="247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49">CM26-CM20-CM21-CM22-CM24-CM25</f>
        <v>#NAME?</v>
      </c>
      <c r="CN23" s="24" t="e">
        <f t="shared" ca="1" si="249"/>
        <v>#NAME?</v>
      </c>
      <c r="CO23" s="24" t="e">
        <f t="shared" ca="1" si="249"/>
        <v>#NAME?</v>
      </c>
      <c r="CP23" s="24" t="e">
        <f t="shared" ca="1" si="249"/>
        <v>#NAME?</v>
      </c>
      <c r="CQ23" s="24" t="e">
        <f t="shared" ca="1" si="249"/>
        <v>#NAME?</v>
      </c>
      <c r="CR23" s="24" t="e">
        <f t="shared" ca="1" si="249"/>
        <v>#NAME?</v>
      </c>
      <c r="CS23" s="24" t="e">
        <f t="shared" ca="1" si="249"/>
        <v>#NAME?</v>
      </c>
      <c r="CT23" s="24" t="e">
        <f t="shared" ca="1" si="249"/>
        <v>#NAME?</v>
      </c>
      <c r="CU23" s="24" t="e">
        <f t="shared" ca="1" si="249"/>
        <v>#NAME?</v>
      </c>
      <c r="CV23" s="24" t="e">
        <f t="shared" ca="1" si="249"/>
        <v>#NAME?</v>
      </c>
      <c r="CW23" s="24" t="e">
        <f t="shared" ca="1" si="249"/>
        <v>#NAME?</v>
      </c>
      <c r="CX23" s="24" t="e">
        <f t="shared" ca="1" si="249"/>
        <v>#NAME?</v>
      </c>
      <c r="CY23" s="24" t="e">
        <f t="shared" ca="1" si="249"/>
        <v>#NAME?</v>
      </c>
      <c r="CZ23" s="24" t="e">
        <f t="shared" ca="1" si="249"/>
        <v>#NAME?</v>
      </c>
      <c r="DA23" s="24" t="e">
        <f t="shared" ca="1" si="249"/>
        <v>#NAME?</v>
      </c>
      <c r="DB23" s="24" t="e">
        <f t="shared" ca="1" si="249"/>
        <v>#NAME?</v>
      </c>
      <c r="DE23" s="123"/>
      <c r="DF23" s="23">
        <v>5272.75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44"/>
        <v>0</v>
      </c>
      <c r="AC24" s="76">
        <f t="shared" si="245"/>
        <v>0</v>
      </c>
      <c r="AD24" s="76">
        <f t="shared" si="246"/>
        <v>0</v>
      </c>
      <c r="AE24" s="76">
        <f t="shared" si="247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44"/>
        <v>0</v>
      </c>
      <c r="AC25" s="76">
        <f t="shared" si="245"/>
        <v>0</v>
      </c>
      <c r="AD25" s="76">
        <f t="shared" si="246"/>
        <v>0</v>
      </c>
      <c r="AE25" s="76">
        <f t="shared" si="247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0">+SUM(B20:B25)</f>
        <v>#NAME?</v>
      </c>
      <c r="C26" s="22" t="e">
        <f t="shared" ca="1" si="250"/>
        <v>#NAME?</v>
      </c>
      <c r="D26" s="22" t="e">
        <f t="shared" ca="1" si="250"/>
        <v>#NAME?</v>
      </c>
      <c r="E26" s="22" t="e">
        <f t="shared" ca="1" si="250"/>
        <v>#NAME?</v>
      </c>
      <c r="F26" s="22" t="e">
        <f t="shared" ref="F26:AE26" ca="1" si="251">+SUM(F20:F25)</f>
        <v>#NAME?</v>
      </c>
      <c r="G26" s="22" t="e">
        <f t="shared" ca="1" si="251"/>
        <v>#NAME?</v>
      </c>
      <c r="H26" s="22" t="e">
        <f t="shared" ca="1" si="251"/>
        <v>#NAME?</v>
      </c>
      <c r="I26" s="22" t="e">
        <f t="shared" ca="1" si="251"/>
        <v>#NAME?</v>
      </c>
      <c r="J26" s="22" t="e">
        <f t="shared" ca="1" si="251"/>
        <v>#NAME?</v>
      </c>
      <c r="K26" s="22" t="e">
        <f t="shared" ca="1" si="251"/>
        <v>#NAME?</v>
      </c>
      <c r="L26" s="22" t="e">
        <f t="shared" ca="1" si="251"/>
        <v>#NAME?</v>
      </c>
      <c r="M26" s="22" t="e">
        <f t="shared" ca="1" si="251"/>
        <v>#NAME?</v>
      </c>
      <c r="N26" s="22" t="e">
        <f t="shared" ca="1" si="251"/>
        <v>#NAME?</v>
      </c>
      <c r="O26" s="22" t="e">
        <f t="shared" ca="1" si="251"/>
        <v>#NAME?</v>
      </c>
      <c r="P26" s="22" t="e">
        <f t="shared" ca="1" si="251"/>
        <v>#NAME?</v>
      </c>
      <c r="Q26" s="22" t="e">
        <f t="shared" ca="1" si="251"/>
        <v>#NAME?</v>
      </c>
      <c r="R26" s="22" t="e">
        <f t="shared" ca="1" si="251"/>
        <v>#NAME?</v>
      </c>
      <c r="S26" s="22" t="e">
        <f t="shared" ca="1" si="251"/>
        <v>#NAME?</v>
      </c>
      <c r="T26" s="22" t="e">
        <f t="shared" ca="1" si="251"/>
        <v>#NAME?</v>
      </c>
      <c r="U26" s="22" t="e">
        <f t="shared" ca="1" si="251"/>
        <v>#NAME?</v>
      </c>
      <c r="V26" s="22" t="e">
        <f t="shared" ca="1" si="251"/>
        <v>#NAME?</v>
      </c>
      <c r="W26" s="22" t="e">
        <f t="shared" ca="1" si="251"/>
        <v>#NAME?</v>
      </c>
      <c r="X26" s="22" t="e">
        <f t="shared" ca="1" si="251"/>
        <v>#NAME?</v>
      </c>
      <c r="Y26" s="22" t="e">
        <f t="shared" ca="1" si="251"/>
        <v>#NAME?</v>
      </c>
      <c r="Z26" s="22" t="e">
        <f t="shared" ref="Z26:AA26" ca="1" si="252">+SUM(Z20:Z25)</f>
        <v>#NAME?</v>
      </c>
      <c r="AA26" s="22" t="e">
        <f t="shared" ca="1" si="252"/>
        <v>#NAME?</v>
      </c>
      <c r="AB26" s="21" t="e">
        <f t="shared" ca="1" si="251"/>
        <v>#NAME?</v>
      </c>
      <c r="AC26" s="21" t="e">
        <f t="shared" ca="1" si="251"/>
        <v>#NAME?</v>
      </c>
      <c r="AD26" s="21" t="e">
        <f t="shared" ca="1" si="251"/>
        <v>#NAME?</v>
      </c>
      <c r="AE26" s="21" t="e">
        <f t="shared" ca="1" si="251"/>
        <v>#NAME?</v>
      </c>
      <c r="AI26" s="22" t="e">
        <f t="shared" ref="AI26:BN26" ca="1" si="253">+SUM(AI20:AI25)</f>
        <v>#NAME?</v>
      </c>
      <c r="AJ26" s="22" t="e">
        <f t="shared" ca="1" si="253"/>
        <v>#NAME?</v>
      </c>
      <c r="AK26" s="22" t="e">
        <f t="shared" ca="1" si="253"/>
        <v>#NAME?</v>
      </c>
      <c r="AL26" s="22" t="e">
        <f t="shared" ca="1" si="253"/>
        <v>#NAME?</v>
      </c>
      <c r="AM26" s="22" t="e">
        <f t="shared" ca="1" si="253"/>
        <v>#NAME?</v>
      </c>
      <c r="AN26" s="22" t="e">
        <f t="shared" ca="1" si="253"/>
        <v>#NAME?</v>
      </c>
      <c r="AO26" s="22" t="e">
        <f t="shared" ca="1" si="253"/>
        <v>#NAME?</v>
      </c>
      <c r="AP26" s="22" t="e">
        <f t="shared" ca="1" si="253"/>
        <v>#NAME?</v>
      </c>
      <c r="AQ26" s="22" t="e">
        <f t="shared" ca="1" si="253"/>
        <v>#NAME?</v>
      </c>
      <c r="AR26" s="22" t="e">
        <f t="shared" ca="1" si="253"/>
        <v>#NAME?</v>
      </c>
      <c r="AS26" s="22" t="e">
        <f t="shared" ca="1" si="253"/>
        <v>#NAME?</v>
      </c>
      <c r="AT26" s="22" t="e">
        <f t="shared" ca="1" si="253"/>
        <v>#NAME?</v>
      </c>
      <c r="AU26" s="22" t="e">
        <f t="shared" ca="1" si="253"/>
        <v>#NAME?</v>
      </c>
      <c r="AV26" s="22" t="e">
        <f t="shared" ca="1" si="253"/>
        <v>#NAME?</v>
      </c>
      <c r="AW26" s="22" t="e">
        <f t="shared" ca="1" si="253"/>
        <v>#NAME?</v>
      </c>
      <c r="AX26" s="22" t="e">
        <f t="shared" ca="1" si="253"/>
        <v>#NAME?</v>
      </c>
      <c r="AY26" s="22" t="e">
        <f t="shared" ca="1" si="253"/>
        <v>#NAME?</v>
      </c>
      <c r="AZ26" s="22" t="e">
        <f t="shared" ca="1" si="253"/>
        <v>#NAME?</v>
      </c>
      <c r="BA26" s="22" t="e">
        <f t="shared" ca="1" si="253"/>
        <v>#NAME?</v>
      </c>
      <c r="BB26" s="22" t="e">
        <f t="shared" ca="1" si="253"/>
        <v>#NAME?</v>
      </c>
      <c r="BC26" s="22" t="e">
        <f t="shared" ca="1" si="253"/>
        <v>#NAME?</v>
      </c>
      <c r="BD26" s="22" t="e">
        <f t="shared" ca="1" si="253"/>
        <v>#NAME?</v>
      </c>
      <c r="BE26" s="22" t="e">
        <f t="shared" ca="1" si="253"/>
        <v>#NAME?</v>
      </c>
      <c r="BF26" s="22" t="e">
        <f t="shared" ca="1" si="253"/>
        <v>#NAME?</v>
      </c>
      <c r="BG26" s="22" t="e">
        <f t="shared" ca="1" si="253"/>
        <v>#NAME?</v>
      </c>
      <c r="BH26" s="22" t="e">
        <f t="shared" ca="1" si="253"/>
        <v>#NAME?</v>
      </c>
      <c r="BI26" s="22" t="e">
        <f t="shared" ca="1" si="253"/>
        <v>#NAME?</v>
      </c>
      <c r="BJ26" s="22" t="e">
        <f t="shared" ca="1" si="253"/>
        <v>#NAME?</v>
      </c>
      <c r="BK26" s="22" t="e">
        <f t="shared" ca="1" si="253"/>
        <v>#NAME?</v>
      </c>
      <c r="BL26" s="22" t="e">
        <f t="shared" ca="1" si="253"/>
        <v>#NAME?</v>
      </c>
      <c r="BM26" s="22" t="e">
        <f t="shared" ca="1" si="253"/>
        <v>#NAME?</v>
      </c>
      <c r="BN26" s="22" t="e">
        <f t="shared" ca="1" si="253"/>
        <v>#NAME?</v>
      </c>
      <c r="BO26" s="22" t="e">
        <f t="shared" ref="BO26:CH26" ca="1" si="254">+SUM(BO20:BO25)</f>
        <v>#NAME?</v>
      </c>
      <c r="BP26" s="22" t="e">
        <f t="shared" ca="1" si="254"/>
        <v>#NAME?</v>
      </c>
      <c r="BQ26" s="22" t="e">
        <f t="shared" ca="1" si="254"/>
        <v>#NAME?</v>
      </c>
      <c r="BR26" s="22" t="e">
        <f t="shared" ca="1" si="254"/>
        <v>#NAME?</v>
      </c>
      <c r="BS26" s="22" t="e">
        <f t="shared" ca="1" si="254"/>
        <v>#NAME?</v>
      </c>
      <c r="BT26" s="22" t="e">
        <f t="shared" ca="1" si="254"/>
        <v>#NAME?</v>
      </c>
      <c r="BU26" s="22" t="e">
        <f t="shared" ca="1" si="254"/>
        <v>#NAME?</v>
      </c>
      <c r="BV26" s="22" t="e">
        <f t="shared" ca="1" si="254"/>
        <v>#NAME?</v>
      </c>
      <c r="BW26" s="22" t="e">
        <f t="shared" ca="1" si="254"/>
        <v>#NAME?</v>
      </c>
      <c r="BX26" s="22" t="e">
        <f t="shared" ca="1" si="254"/>
        <v>#NAME?</v>
      </c>
      <c r="BY26" s="22" t="e">
        <f t="shared" ca="1" si="254"/>
        <v>#NAME?</v>
      </c>
      <c r="BZ26" s="22" t="e">
        <f t="shared" ca="1" si="254"/>
        <v>#NAME?</v>
      </c>
      <c r="CA26" s="22" t="e">
        <f t="shared" ca="1" si="254"/>
        <v>#NAME?</v>
      </c>
      <c r="CB26" s="22" t="e">
        <f t="shared" ca="1" si="254"/>
        <v>#NAME?</v>
      </c>
      <c r="CC26" s="22" t="e">
        <f t="shared" ca="1" si="254"/>
        <v>#NAME?</v>
      </c>
      <c r="CD26" s="22" t="e">
        <f t="shared" ca="1" si="254"/>
        <v>#NAME?</v>
      </c>
      <c r="CE26" s="22" t="e">
        <f t="shared" ca="1" si="254"/>
        <v>#NAME?</v>
      </c>
      <c r="CF26" s="22" t="e">
        <f t="shared" ca="1" si="254"/>
        <v>#NAME?</v>
      </c>
      <c r="CG26" s="22" t="e">
        <f t="shared" ca="1" si="254"/>
        <v>#NAME?</v>
      </c>
      <c r="CH26" s="22" t="e">
        <f t="shared" ca="1" si="254"/>
        <v>#NAME?</v>
      </c>
      <c r="CI26" s="22" t="e">
        <f t="shared" ref="CI26:CJ26" ca="1" si="255">+SUM(CI20:CI25)</f>
        <v>#NAME?</v>
      </c>
      <c r="CJ26" s="22" t="e">
        <f t="shared" ca="1" si="255"/>
        <v>#NAME?</v>
      </c>
      <c r="CK26" s="22" t="e">
        <f t="shared" ref="CK26:CL26" ca="1" si="256">+SUM(CK20:CK25)</f>
        <v>#NAME?</v>
      </c>
      <c r="CL26" s="22" t="e">
        <f t="shared" ca="1" si="256"/>
        <v>#NAME?</v>
      </c>
      <c r="CM26" s="21" t="e">
        <f t="shared" ref="CM26:DB26" ca="1" si="257">CM27*CM10</f>
        <v>#NAME?</v>
      </c>
      <c r="CN26" s="21" t="e">
        <f t="shared" ca="1" si="257"/>
        <v>#NAME?</v>
      </c>
      <c r="CO26" s="21" t="e">
        <f t="shared" ca="1" si="257"/>
        <v>#NAME?</v>
      </c>
      <c r="CP26" s="21" t="e">
        <f t="shared" ca="1" si="257"/>
        <v>#NAME?</v>
      </c>
      <c r="CQ26" s="21" t="e">
        <f t="shared" ca="1" si="257"/>
        <v>#NAME?</v>
      </c>
      <c r="CR26" s="21" t="e">
        <f t="shared" ca="1" si="257"/>
        <v>#NAME?</v>
      </c>
      <c r="CS26" s="21" t="e">
        <f t="shared" ca="1" si="257"/>
        <v>#NAME?</v>
      </c>
      <c r="CT26" s="21" t="e">
        <f t="shared" ca="1" si="257"/>
        <v>#NAME?</v>
      </c>
      <c r="CU26" s="21" t="e">
        <f t="shared" ca="1" si="257"/>
        <v>#NAME?</v>
      </c>
      <c r="CV26" s="21" t="e">
        <f t="shared" ca="1" si="257"/>
        <v>#NAME?</v>
      </c>
      <c r="CW26" s="21" t="e">
        <f t="shared" ca="1" si="257"/>
        <v>#NAME?</v>
      </c>
      <c r="CX26" s="21" t="e">
        <f t="shared" ca="1" si="257"/>
        <v>#NAME?</v>
      </c>
      <c r="CY26" s="21" t="e">
        <f t="shared" ca="1" si="257"/>
        <v>#NAME?</v>
      </c>
      <c r="CZ26" s="21" t="e">
        <f t="shared" ca="1" si="257"/>
        <v>#NAME?</v>
      </c>
      <c r="DA26" s="21" t="e">
        <f t="shared" ca="1" si="257"/>
        <v>#NAME?</v>
      </c>
      <c r="DB26" s="21" t="e">
        <f t="shared" ca="1" si="257"/>
        <v>#NAME?</v>
      </c>
      <c r="DE26" s="126"/>
      <c r="DF26" s="22">
        <v>7556.48</v>
      </c>
    </row>
    <row r="27" spans="1:110" s="44" customFormat="1" x14ac:dyDescent="0.2">
      <c r="A27" s="43" t="s">
        <v>349</v>
      </c>
      <c r="B27" s="44" t="e">
        <f t="shared" ref="B27:E27" ca="1" si="258">B26/B10</f>
        <v>#NAME?</v>
      </c>
      <c r="C27" s="44" t="e">
        <f t="shared" ca="1" si="258"/>
        <v>#NAME?</v>
      </c>
      <c r="D27" s="44" t="e">
        <f t="shared" ca="1" si="258"/>
        <v>#NAME?</v>
      </c>
      <c r="E27" s="44" t="e">
        <f t="shared" ca="1" si="258"/>
        <v>#NAME?</v>
      </c>
      <c r="F27" s="44" t="e">
        <f t="shared" ref="F27:AE27" ca="1" si="259">F26/F10</f>
        <v>#NAME?</v>
      </c>
      <c r="G27" s="44" t="e">
        <f t="shared" ca="1" si="259"/>
        <v>#NAME?</v>
      </c>
      <c r="H27" s="44" t="e">
        <f t="shared" ca="1" si="259"/>
        <v>#NAME?</v>
      </c>
      <c r="I27" s="44" t="e">
        <f t="shared" ca="1" si="259"/>
        <v>#NAME?</v>
      </c>
      <c r="J27" s="44" t="e">
        <f t="shared" ca="1" si="259"/>
        <v>#NAME?</v>
      </c>
      <c r="K27" s="44" t="e">
        <f t="shared" ca="1" si="259"/>
        <v>#NAME?</v>
      </c>
      <c r="L27" s="44" t="e">
        <f t="shared" ca="1" si="259"/>
        <v>#NAME?</v>
      </c>
      <c r="M27" s="44" t="e">
        <f t="shared" ca="1" si="259"/>
        <v>#NAME?</v>
      </c>
      <c r="N27" s="44" t="e">
        <f t="shared" ca="1" si="259"/>
        <v>#NAME?</v>
      </c>
      <c r="O27" s="44" t="e">
        <f t="shared" ca="1" si="259"/>
        <v>#NAME?</v>
      </c>
      <c r="P27" s="44" t="e">
        <f t="shared" ca="1" si="259"/>
        <v>#NAME?</v>
      </c>
      <c r="Q27" s="44" t="e">
        <f t="shared" ca="1" si="259"/>
        <v>#NAME?</v>
      </c>
      <c r="R27" s="44" t="e">
        <f t="shared" ca="1" si="259"/>
        <v>#NAME?</v>
      </c>
      <c r="S27" s="44" t="e">
        <f t="shared" ca="1" si="259"/>
        <v>#NAME?</v>
      </c>
      <c r="T27" s="44" t="e">
        <f t="shared" ca="1" si="259"/>
        <v>#NAME?</v>
      </c>
      <c r="U27" s="44" t="e">
        <f t="shared" ca="1" si="259"/>
        <v>#NAME?</v>
      </c>
      <c r="V27" s="44" t="e">
        <f t="shared" ca="1" si="259"/>
        <v>#NAME?</v>
      </c>
      <c r="W27" s="44" t="e">
        <f t="shared" ca="1" si="259"/>
        <v>#NAME?</v>
      </c>
      <c r="X27" s="44" t="e">
        <f t="shared" ca="1" si="259"/>
        <v>#NAME?</v>
      </c>
      <c r="Y27" s="44" t="e">
        <f t="shared" ca="1" si="259"/>
        <v>#NAME?</v>
      </c>
      <c r="Z27" s="44" t="e">
        <f t="shared" ref="Z27:AA27" ca="1" si="260">Z26/Z10</f>
        <v>#NAME?</v>
      </c>
      <c r="AA27" s="44" t="e">
        <f t="shared" ca="1" si="260"/>
        <v>#NAME?</v>
      </c>
      <c r="AB27" s="52" t="e">
        <f t="shared" ca="1" si="259"/>
        <v>#NAME?</v>
      </c>
      <c r="AC27" s="52" t="e">
        <f t="shared" ca="1" si="259"/>
        <v>#NAME?</v>
      </c>
      <c r="AD27" s="52" t="e">
        <f t="shared" ca="1" si="259"/>
        <v>#NAME?</v>
      </c>
      <c r="AE27" s="52" t="e">
        <f t="shared" ca="1" si="259"/>
        <v>#NAME?</v>
      </c>
      <c r="AI27" s="44" t="e">
        <f t="shared" ref="AI27:BN27" ca="1" si="261">AI26/AI10</f>
        <v>#NAME?</v>
      </c>
      <c r="AJ27" s="44" t="e">
        <f t="shared" ca="1" si="261"/>
        <v>#NAME?</v>
      </c>
      <c r="AK27" s="44" t="e">
        <f t="shared" ca="1" si="261"/>
        <v>#NAME?</v>
      </c>
      <c r="AL27" s="44" t="e">
        <f t="shared" ca="1" si="261"/>
        <v>#NAME?</v>
      </c>
      <c r="AM27" s="44" t="e">
        <f t="shared" ca="1" si="261"/>
        <v>#NAME?</v>
      </c>
      <c r="AN27" s="44" t="e">
        <f t="shared" ca="1" si="261"/>
        <v>#NAME?</v>
      </c>
      <c r="AO27" s="44" t="e">
        <f t="shared" ca="1" si="261"/>
        <v>#NAME?</v>
      </c>
      <c r="AP27" s="44" t="e">
        <f t="shared" ca="1" si="261"/>
        <v>#NAME?</v>
      </c>
      <c r="AQ27" s="44" t="e">
        <f t="shared" ca="1" si="261"/>
        <v>#NAME?</v>
      </c>
      <c r="AR27" s="44" t="e">
        <f t="shared" ca="1" si="261"/>
        <v>#NAME?</v>
      </c>
      <c r="AS27" s="44" t="e">
        <f t="shared" ca="1" si="261"/>
        <v>#NAME?</v>
      </c>
      <c r="AT27" s="44" t="e">
        <f t="shared" ca="1" si="261"/>
        <v>#NAME?</v>
      </c>
      <c r="AU27" s="44" t="e">
        <f t="shared" ca="1" si="261"/>
        <v>#NAME?</v>
      </c>
      <c r="AV27" s="44" t="e">
        <f t="shared" ca="1" si="261"/>
        <v>#NAME?</v>
      </c>
      <c r="AW27" s="44" t="e">
        <f t="shared" ca="1" si="261"/>
        <v>#NAME?</v>
      </c>
      <c r="AX27" s="44" t="e">
        <f t="shared" ca="1" si="261"/>
        <v>#NAME?</v>
      </c>
      <c r="AY27" s="44" t="e">
        <f t="shared" ca="1" si="261"/>
        <v>#NAME?</v>
      </c>
      <c r="AZ27" s="44" t="e">
        <f t="shared" ca="1" si="261"/>
        <v>#NAME?</v>
      </c>
      <c r="BA27" s="44" t="e">
        <f t="shared" ca="1" si="261"/>
        <v>#NAME?</v>
      </c>
      <c r="BB27" s="44" t="e">
        <f t="shared" ca="1" si="261"/>
        <v>#NAME?</v>
      </c>
      <c r="BC27" s="44" t="e">
        <f t="shared" ca="1" si="261"/>
        <v>#NAME?</v>
      </c>
      <c r="BD27" s="44" t="e">
        <f t="shared" ca="1" si="261"/>
        <v>#NAME?</v>
      </c>
      <c r="BE27" s="44" t="e">
        <f t="shared" ca="1" si="261"/>
        <v>#NAME?</v>
      </c>
      <c r="BF27" s="44" t="e">
        <f t="shared" ca="1" si="261"/>
        <v>#NAME?</v>
      </c>
      <c r="BG27" s="44" t="e">
        <f t="shared" ca="1" si="261"/>
        <v>#NAME?</v>
      </c>
      <c r="BH27" s="44" t="e">
        <f t="shared" ca="1" si="261"/>
        <v>#NAME?</v>
      </c>
      <c r="BI27" s="44" t="e">
        <f t="shared" ca="1" si="261"/>
        <v>#NAME?</v>
      </c>
      <c r="BJ27" s="44" t="e">
        <f t="shared" ca="1" si="261"/>
        <v>#NAME?</v>
      </c>
      <c r="BK27" s="44" t="e">
        <f t="shared" ca="1" si="261"/>
        <v>#NAME?</v>
      </c>
      <c r="BL27" s="44" t="e">
        <f t="shared" ca="1" si="261"/>
        <v>#NAME?</v>
      </c>
      <c r="BM27" s="44" t="e">
        <f t="shared" ca="1" si="261"/>
        <v>#NAME?</v>
      </c>
      <c r="BN27" s="44" t="e">
        <f t="shared" ca="1" si="261"/>
        <v>#NAME?</v>
      </c>
      <c r="BO27" s="44" t="e">
        <f t="shared" ref="BO27:CH27" ca="1" si="262">BO26/BO10</f>
        <v>#NAME?</v>
      </c>
      <c r="BP27" s="44" t="e">
        <f t="shared" ca="1" si="262"/>
        <v>#NAME?</v>
      </c>
      <c r="BQ27" s="44" t="e">
        <f t="shared" ca="1" si="262"/>
        <v>#NAME?</v>
      </c>
      <c r="BR27" s="44" t="e">
        <f t="shared" ca="1" si="262"/>
        <v>#NAME?</v>
      </c>
      <c r="BS27" s="44" t="e">
        <f t="shared" ca="1" si="262"/>
        <v>#NAME?</v>
      </c>
      <c r="BT27" s="44" t="e">
        <f t="shared" ca="1" si="262"/>
        <v>#NAME?</v>
      </c>
      <c r="BU27" s="44" t="e">
        <f t="shared" ca="1" si="262"/>
        <v>#NAME?</v>
      </c>
      <c r="BV27" s="44" t="e">
        <f t="shared" ca="1" si="262"/>
        <v>#NAME?</v>
      </c>
      <c r="BW27" s="44" t="e">
        <f t="shared" ca="1" si="262"/>
        <v>#NAME?</v>
      </c>
      <c r="BX27" s="44" t="e">
        <f t="shared" ca="1" si="262"/>
        <v>#NAME?</v>
      </c>
      <c r="BY27" s="44" t="e">
        <f t="shared" ca="1" si="262"/>
        <v>#NAME?</v>
      </c>
      <c r="BZ27" s="44" t="e">
        <f t="shared" ca="1" si="262"/>
        <v>#NAME?</v>
      </c>
      <c r="CA27" s="44" t="e">
        <f t="shared" ca="1" si="262"/>
        <v>#NAME?</v>
      </c>
      <c r="CB27" s="44" t="e">
        <f t="shared" ca="1" si="262"/>
        <v>#NAME?</v>
      </c>
      <c r="CC27" s="44" t="e">
        <f t="shared" ca="1" si="262"/>
        <v>#NAME?</v>
      </c>
      <c r="CD27" s="44" t="e">
        <f t="shared" ca="1" si="262"/>
        <v>#NAME?</v>
      </c>
      <c r="CE27" s="44" t="e">
        <f t="shared" ca="1" si="262"/>
        <v>#NAME?</v>
      </c>
      <c r="CF27" s="44" t="e">
        <f t="shared" ca="1" si="262"/>
        <v>#NAME?</v>
      </c>
      <c r="CG27" s="44" t="e">
        <f t="shared" ca="1" si="262"/>
        <v>#NAME?</v>
      </c>
      <c r="CH27" s="44" t="e">
        <f t="shared" ca="1" si="262"/>
        <v>#NAME?</v>
      </c>
      <c r="CI27" s="44" t="e">
        <f t="shared" ref="CI27:CJ27" ca="1" si="263">CI26/CI10</f>
        <v>#NAME?</v>
      </c>
      <c r="CJ27" s="44" t="e">
        <f t="shared" ca="1" si="263"/>
        <v>#NAME?</v>
      </c>
      <c r="CK27" s="44" t="e">
        <f t="shared" ref="CK27:CL27" ca="1" si="264">CK26/CK10</f>
        <v>#NAME?</v>
      </c>
      <c r="CL27" s="44" t="e">
        <f t="shared" ca="1" si="264"/>
        <v>#NAME?</v>
      </c>
      <c r="CM27" s="52" t="e">
        <f ca="1">AVERAGE(CI27:CL27)*0.99</f>
        <v>#NAME?</v>
      </c>
      <c r="CN27" s="52" t="e">
        <f t="shared" ref="CN27:CP27" ca="1" si="265">AVERAGE(CJ27:CM27)*0.99</f>
        <v>#NAME?</v>
      </c>
      <c r="CO27" s="52" t="e">
        <f t="shared" ca="1" si="265"/>
        <v>#NAME?</v>
      </c>
      <c r="CP27" s="52" t="e">
        <f t="shared" ca="1" si="265"/>
        <v>#NAME?</v>
      </c>
      <c r="CQ27" s="52" t="e">
        <f ca="1">AVERAGE(CM27:CP27)*1.03</f>
        <v>#NAME?</v>
      </c>
      <c r="CR27" s="52" t="e">
        <f t="shared" ref="CR27:CT27" ca="1" si="266">AVERAGE(CN27:CQ27)*1.03</f>
        <v>#NAME?</v>
      </c>
      <c r="CS27" s="52" t="e">
        <f t="shared" ca="1" si="266"/>
        <v>#NAME?</v>
      </c>
      <c r="CT27" s="52" t="e">
        <f t="shared" ca="1" si="266"/>
        <v>#NAME?</v>
      </c>
      <c r="CU27" s="52" t="e">
        <f t="shared" ref="CU27:DB27" ca="1" si="267">AVERAGE(CQ27:CT27)</f>
        <v>#NAME?</v>
      </c>
      <c r="CV27" s="52" t="e">
        <f t="shared" ca="1" si="267"/>
        <v>#NAME?</v>
      </c>
      <c r="CW27" s="52" t="e">
        <f t="shared" ca="1" si="267"/>
        <v>#NAME?</v>
      </c>
      <c r="CX27" s="52" t="e">
        <f t="shared" ca="1" si="267"/>
        <v>#NAME?</v>
      </c>
      <c r="CY27" s="52" t="e">
        <f t="shared" ca="1" si="267"/>
        <v>#NAME?</v>
      </c>
      <c r="CZ27" s="52" t="e">
        <f t="shared" ca="1" si="267"/>
        <v>#NAME?</v>
      </c>
      <c r="DA27" s="52" t="e">
        <f t="shared" ca="1" si="267"/>
        <v>#NAME?</v>
      </c>
      <c r="DB27" s="52" t="e">
        <f t="shared" ca="1" si="267"/>
        <v>#NAME?</v>
      </c>
      <c r="DE27" s="128"/>
      <c r="DF27" s="44">
        <v>0.32634897601340551</v>
      </c>
    </row>
    <row r="28" spans="1:110" s="26" customFormat="1" x14ac:dyDescent="0.2">
      <c r="A28" s="34" t="s">
        <v>13</v>
      </c>
      <c r="B28" s="26" t="e">
        <f t="shared" ref="B28:E28" ca="1" si="268">B16-B26</f>
        <v>#NAME?</v>
      </c>
      <c r="C28" s="26" t="e">
        <f t="shared" ca="1" si="268"/>
        <v>#NAME?</v>
      </c>
      <c r="D28" s="26" t="e">
        <f t="shared" ca="1" si="268"/>
        <v>#NAME?</v>
      </c>
      <c r="E28" s="26" t="e">
        <f t="shared" ca="1" si="268"/>
        <v>#NAME?</v>
      </c>
      <c r="F28" s="26" t="e">
        <f t="shared" ref="F28:AE28" ca="1" si="269">F16-F26</f>
        <v>#NAME?</v>
      </c>
      <c r="G28" s="26" t="e">
        <f t="shared" ca="1" si="269"/>
        <v>#NAME?</v>
      </c>
      <c r="H28" s="26" t="e">
        <f t="shared" ca="1" si="269"/>
        <v>#NAME?</v>
      </c>
      <c r="I28" s="26" t="e">
        <f t="shared" ca="1" si="269"/>
        <v>#NAME?</v>
      </c>
      <c r="J28" s="26" t="e">
        <f t="shared" ca="1" si="269"/>
        <v>#NAME?</v>
      </c>
      <c r="K28" s="26" t="e">
        <f t="shared" ca="1" si="269"/>
        <v>#NAME?</v>
      </c>
      <c r="L28" s="26" t="e">
        <f t="shared" ca="1" si="269"/>
        <v>#NAME?</v>
      </c>
      <c r="M28" s="26" t="e">
        <f t="shared" ca="1" si="269"/>
        <v>#NAME?</v>
      </c>
      <c r="N28" s="26" t="e">
        <f t="shared" ca="1" si="269"/>
        <v>#NAME?</v>
      </c>
      <c r="O28" s="26" t="e">
        <f t="shared" ca="1" si="269"/>
        <v>#NAME?</v>
      </c>
      <c r="P28" s="26" t="e">
        <f t="shared" ca="1" si="269"/>
        <v>#NAME?</v>
      </c>
      <c r="Q28" s="26" t="e">
        <f t="shared" ca="1" si="269"/>
        <v>#NAME?</v>
      </c>
      <c r="R28" s="26" t="e">
        <f t="shared" ca="1" si="269"/>
        <v>#NAME?</v>
      </c>
      <c r="S28" s="26" t="e">
        <f t="shared" ca="1" si="269"/>
        <v>#NAME?</v>
      </c>
      <c r="T28" s="26" t="e">
        <f t="shared" ca="1" si="269"/>
        <v>#NAME?</v>
      </c>
      <c r="U28" s="26" t="e">
        <f t="shared" ca="1" si="269"/>
        <v>#NAME?</v>
      </c>
      <c r="V28" s="26" t="e">
        <f t="shared" ca="1" si="269"/>
        <v>#NAME?</v>
      </c>
      <c r="W28" s="26" t="e">
        <f t="shared" ca="1" si="269"/>
        <v>#NAME?</v>
      </c>
      <c r="X28" s="26" t="e">
        <f t="shared" ca="1" si="269"/>
        <v>#NAME?</v>
      </c>
      <c r="Y28" s="26" t="e">
        <f t="shared" ca="1" si="269"/>
        <v>#NAME?</v>
      </c>
      <c r="Z28" s="26" t="e">
        <f t="shared" ref="Z28:AA28" ca="1" si="270">Z16-Z26</f>
        <v>#NAME?</v>
      </c>
      <c r="AA28" s="26" t="e">
        <f t="shared" ca="1" si="270"/>
        <v>#NAME?</v>
      </c>
      <c r="AB28" s="27" t="e">
        <f t="shared" ca="1" si="269"/>
        <v>#NAME?</v>
      </c>
      <c r="AC28" s="27" t="e">
        <f t="shared" ca="1" si="269"/>
        <v>#NAME?</v>
      </c>
      <c r="AD28" s="27" t="e">
        <f t="shared" ca="1" si="269"/>
        <v>#NAME?</v>
      </c>
      <c r="AE28" s="27" t="e">
        <f t="shared" ca="1" si="269"/>
        <v>#NAME?</v>
      </c>
      <c r="AI28" s="26" t="e">
        <f t="shared" ref="AI28:BN28" ca="1" si="271">AI16-AI26</f>
        <v>#NAME?</v>
      </c>
      <c r="AJ28" s="26" t="e">
        <f t="shared" ca="1" si="271"/>
        <v>#NAME?</v>
      </c>
      <c r="AK28" s="26" t="e">
        <f t="shared" ca="1" si="271"/>
        <v>#NAME?</v>
      </c>
      <c r="AL28" s="26" t="e">
        <f t="shared" ca="1" si="271"/>
        <v>#NAME?</v>
      </c>
      <c r="AM28" s="26" t="e">
        <f t="shared" ca="1" si="271"/>
        <v>#NAME?</v>
      </c>
      <c r="AN28" s="26" t="e">
        <f t="shared" ca="1" si="271"/>
        <v>#NAME?</v>
      </c>
      <c r="AO28" s="26" t="e">
        <f t="shared" ca="1" si="271"/>
        <v>#NAME?</v>
      </c>
      <c r="AP28" s="26" t="e">
        <f t="shared" ca="1" si="271"/>
        <v>#NAME?</v>
      </c>
      <c r="AQ28" s="26" t="e">
        <f t="shared" ca="1" si="271"/>
        <v>#NAME?</v>
      </c>
      <c r="AR28" s="26" t="e">
        <f t="shared" ca="1" si="271"/>
        <v>#NAME?</v>
      </c>
      <c r="AS28" s="26" t="e">
        <f t="shared" ca="1" si="271"/>
        <v>#NAME?</v>
      </c>
      <c r="AT28" s="26" t="e">
        <f t="shared" ca="1" si="271"/>
        <v>#NAME?</v>
      </c>
      <c r="AU28" s="26" t="e">
        <f t="shared" ca="1" si="271"/>
        <v>#NAME?</v>
      </c>
      <c r="AV28" s="26" t="e">
        <f t="shared" ca="1" si="271"/>
        <v>#NAME?</v>
      </c>
      <c r="AW28" s="26" t="e">
        <f t="shared" ca="1" si="271"/>
        <v>#NAME?</v>
      </c>
      <c r="AX28" s="26" t="e">
        <f t="shared" ca="1" si="271"/>
        <v>#NAME?</v>
      </c>
      <c r="AY28" s="26" t="e">
        <f t="shared" ca="1" si="271"/>
        <v>#NAME?</v>
      </c>
      <c r="AZ28" s="26" t="e">
        <f t="shared" ca="1" si="271"/>
        <v>#NAME?</v>
      </c>
      <c r="BA28" s="26" t="e">
        <f t="shared" ca="1" si="271"/>
        <v>#NAME?</v>
      </c>
      <c r="BB28" s="26" t="e">
        <f t="shared" ca="1" si="271"/>
        <v>#NAME?</v>
      </c>
      <c r="BC28" s="26" t="e">
        <f t="shared" ca="1" si="271"/>
        <v>#NAME?</v>
      </c>
      <c r="BD28" s="26" t="e">
        <f t="shared" ca="1" si="271"/>
        <v>#NAME?</v>
      </c>
      <c r="BE28" s="26" t="e">
        <f t="shared" ca="1" si="271"/>
        <v>#NAME?</v>
      </c>
      <c r="BF28" s="26" t="e">
        <f t="shared" ca="1" si="271"/>
        <v>#NAME?</v>
      </c>
      <c r="BG28" s="26" t="e">
        <f t="shared" ca="1" si="271"/>
        <v>#NAME?</v>
      </c>
      <c r="BH28" s="26" t="e">
        <f t="shared" ca="1" si="271"/>
        <v>#NAME?</v>
      </c>
      <c r="BI28" s="26" t="e">
        <f t="shared" ca="1" si="271"/>
        <v>#NAME?</v>
      </c>
      <c r="BJ28" s="26" t="e">
        <f t="shared" ca="1" si="271"/>
        <v>#NAME?</v>
      </c>
      <c r="BK28" s="26" t="e">
        <f t="shared" ca="1" si="271"/>
        <v>#NAME?</v>
      </c>
      <c r="BL28" s="26" t="e">
        <f t="shared" ca="1" si="271"/>
        <v>#NAME?</v>
      </c>
      <c r="BM28" s="26" t="e">
        <f t="shared" ca="1" si="271"/>
        <v>#NAME?</v>
      </c>
      <c r="BN28" s="26" t="e">
        <f t="shared" ca="1" si="271"/>
        <v>#NAME?</v>
      </c>
      <c r="BO28" s="26" t="e">
        <f t="shared" ref="BO28:CT28" ca="1" si="272">BO16-BO26</f>
        <v>#NAME?</v>
      </c>
      <c r="BP28" s="26" t="e">
        <f t="shared" ca="1" si="272"/>
        <v>#NAME?</v>
      </c>
      <c r="BQ28" s="26" t="e">
        <f t="shared" ca="1" si="272"/>
        <v>#NAME?</v>
      </c>
      <c r="BR28" s="26" t="e">
        <f t="shared" ca="1" si="272"/>
        <v>#NAME?</v>
      </c>
      <c r="BS28" s="26" t="e">
        <f t="shared" ca="1" si="272"/>
        <v>#NAME?</v>
      </c>
      <c r="BT28" s="26" t="e">
        <f t="shared" ca="1" si="272"/>
        <v>#NAME?</v>
      </c>
      <c r="BU28" s="26" t="e">
        <f t="shared" ca="1" si="272"/>
        <v>#NAME?</v>
      </c>
      <c r="BV28" s="26" t="e">
        <f t="shared" ca="1" si="272"/>
        <v>#NAME?</v>
      </c>
      <c r="BW28" s="26" t="e">
        <f t="shared" ca="1" si="272"/>
        <v>#NAME?</v>
      </c>
      <c r="BX28" s="26" t="e">
        <f t="shared" ca="1" si="272"/>
        <v>#NAME?</v>
      </c>
      <c r="BY28" s="26" t="e">
        <f t="shared" ca="1" si="272"/>
        <v>#NAME?</v>
      </c>
      <c r="BZ28" s="26" t="e">
        <f t="shared" ca="1" si="272"/>
        <v>#NAME?</v>
      </c>
      <c r="CA28" s="26" t="e">
        <f t="shared" ca="1" si="272"/>
        <v>#NAME?</v>
      </c>
      <c r="CB28" s="26" t="e">
        <f t="shared" ca="1" si="272"/>
        <v>#NAME?</v>
      </c>
      <c r="CC28" s="26" t="e">
        <f t="shared" ca="1" si="272"/>
        <v>#NAME?</v>
      </c>
      <c r="CD28" s="26" t="e">
        <f t="shared" ca="1" si="272"/>
        <v>#NAME?</v>
      </c>
      <c r="CE28" s="26" t="e">
        <f t="shared" ca="1" si="272"/>
        <v>#NAME?</v>
      </c>
      <c r="CF28" s="26" t="e">
        <f t="shared" ca="1" si="272"/>
        <v>#NAME?</v>
      </c>
      <c r="CG28" s="26" t="e">
        <f t="shared" ca="1" si="272"/>
        <v>#NAME?</v>
      </c>
      <c r="CH28" s="26" t="e">
        <f t="shared" ca="1" si="272"/>
        <v>#NAME?</v>
      </c>
      <c r="CI28" s="26" t="e">
        <f t="shared" ref="CI28:CJ28" ca="1" si="273">CI16-CI26</f>
        <v>#NAME?</v>
      </c>
      <c r="CJ28" s="26" t="e">
        <f t="shared" ca="1" si="273"/>
        <v>#NAME?</v>
      </c>
      <c r="CK28" s="26" t="e">
        <f t="shared" ref="CK28:CL28" ca="1" si="274">CK16-CK26</f>
        <v>#NAME?</v>
      </c>
      <c r="CL28" s="26" t="e">
        <f t="shared" ca="1" si="274"/>
        <v>#NAME?</v>
      </c>
      <c r="CM28" s="27" t="e">
        <f t="shared" ca="1" si="272"/>
        <v>#NAME?</v>
      </c>
      <c r="CN28" s="27" t="e">
        <f t="shared" ca="1" si="272"/>
        <v>#NAME?</v>
      </c>
      <c r="CO28" s="27" t="e">
        <f t="shared" ca="1" si="272"/>
        <v>#NAME?</v>
      </c>
      <c r="CP28" s="27" t="e">
        <f t="shared" ca="1" si="272"/>
        <v>#NAME?</v>
      </c>
      <c r="CQ28" s="27" t="e">
        <f t="shared" ca="1" si="272"/>
        <v>#NAME?</v>
      </c>
      <c r="CR28" s="27" t="e">
        <f t="shared" ca="1" si="272"/>
        <v>#NAME?</v>
      </c>
      <c r="CS28" s="27" t="e">
        <f t="shared" ca="1" si="272"/>
        <v>#NAME?</v>
      </c>
      <c r="CT28" s="27" t="e">
        <f t="shared" ca="1" si="272"/>
        <v>#NAME?</v>
      </c>
      <c r="CU28" s="27" t="e">
        <f t="shared" ref="CU28:DB28" ca="1" si="275">CU16-CU26</f>
        <v>#NAME?</v>
      </c>
      <c r="CV28" s="27" t="e">
        <f t="shared" ca="1" si="275"/>
        <v>#NAME?</v>
      </c>
      <c r="CW28" s="27" t="e">
        <f t="shared" ca="1" si="275"/>
        <v>#NAME?</v>
      </c>
      <c r="CX28" s="27" t="e">
        <f t="shared" ca="1" si="275"/>
        <v>#NAME?</v>
      </c>
      <c r="CY28" s="27" t="e">
        <f t="shared" ca="1" si="275"/>
        <v>#NAME?</v>
      </c>
      <c r="CZ28" s="27" t="e">
        <f t="shared" ca="1" si="275"/>
        <v>#NAME?</v>
      </c>
      <c r="DA28" s="27" t="e">
        <f t="shared" ca="1" si="275"/>
        <v>#NAME?</v>
      </c>
      <c r="DB28" s="27" t="e">
        <f t="shared" ca="1" si="275"/>
        <v>#NAME?</v>
      </c>
      <c r="DE28" s="121"/>
      <c r="DF28" s="26">
        <v>5235.91</v>
      </c>
    </row>
    <row r="29" spans="1:110" s="168" customFormat="1" x14ac:dyDescent="0.2">
      <c r="A29" s="165" t="s">
        <v>14</v>
      </c>
      <c r="B29" s="166" t="e">
        <f t="shared" ref="B29:E29" ca="1" si="276">B28/B10</f>
        <v>#NAME?</v>
      </c>
      <c r="C29" s="166" t="e">
        <f t="shared" ca="1" si="276"/>
        <v>#NAME?</v>
      </c>
      <c r="D29" s="166" t="e">
        <f t="shared" ca="1" si="276"/>
        <v>#NAME?</v>
      </c>
      <c r="E29" s="166" t="e">
        <f t="shared" ca="1" si="276"/>
        <v>#NAME?</v>
      </c>
      <c r="F29" s="166" t="e">
        <f t="shared" ref="F29:AE29" ca="1" si="277">F28/F10</f>
        <v>#NAME?</v>
      </c>
      <c r="G29" s="166" t="e">
        <f t="shared" ca="1" si="277"/>
        <v>#NAME?</v>
      </c>
      <c r="H29" s="166" t="e">
        <f t="shared" ca="1" si="277"/>
        <v>#NAME?</v>
      </c>
      <c r="I29" s="166" t="e">
        <f t="shared" ca="1" si="277"/>
        <v>#NAME?</v>
      </c>
      <c r="J29" s="166" t="e">
        <f t="shared" ca="1" si="277"/>
        <v>#NAME?</v>
      </c>
      <c r="K29" s="166" t="e">
        <f t="shared" ca="1" si="277"/>
        <v>#NAME?</v>
      </c>
      <c r="L29" s="166" t="e">
        <f t="shared" ca="1" si="277"/>
        <v>#NAME?</v>
      </c>
      <c r="M29" s="166" t="e">
        <f t="shared" ca="1" si="277"/>
        <v>#NAME?</v>
      </c>
      <c r="N29" s="166" t="e">
        <f t="shared" ca="1" si="277"/>
        <v>#NAME?</v>
      </c>
      <c r="O29" s="166" t="e">
        <f t="shared" ca="1" si="277"/>
        <v>#NAME?</v>
      </c>
      <c r="P29" s="166" t="e">
        <f t="shared" ca="1" si="277"/>
        <v>#NAME?</v>
      </c>
      <c r="Q29" s="166" t="e">
        <f t="shared" ca="1" si="277"/>
        <v>#NAME?</v>
      </c>
      <c r="R29" s="166" t="e">
        <f t="shared" ca="1" si="277"/>
        <v>#NAME?</v>
      </c>
      <c r="S29" s="166" t="e">
        <f t="shared" ca="1" si="277"/>
        <v>#NAME?</v>
      </c>
      <c r="T29" s="166" t="e">
        <f t="shared" ca="1" si="277"/>
        <v>#NAME?</v>
      </c>
      <c r="U29" s="166" t="e">
        <f t="shared" ca="1" si="277"/>
        <v>#NAME?</v>
      </c>
      <c r="V29" s="166" t="e">
        <f t="shared" ca="1" si="277"/>
        <v>#NAME?</v>
      </c>
      <c r="W29" s="166" t="e">
        <f t="shared" ca="1" si="277"/>
        <v>#NAME?</v>
      </c>
      <c r="X29" s="166" t="e">
        <f t="shared" ca="1" si="277"/>
        <v>#NAME?</v>
      </c>
      <c r="Y29" s="166" t="e">
        <f t="shared" ca="1" si="277"/>
        <v>#NAME?</v>
      </c>
      <c r="Z29" s="166" t="e">
        <f t="shared" ref="Z29:AA29" ca="1" si="278">Z28/Z10</f>
        <v>#NAME?</v>
      </c>
      <c r="AA29" s="166" t="e">
        <f t="shared" ca="1" si="278"/>
        <v>#NAME?</v>
      </c>
      <c r="AB29" s="167" t="e">
        <f t="shared" ca="1" si="277"/>
        <v>#NAME?</v>
      </c>
      <c r="AC29" s="167" t="e">
        <f t="shared" ca="1" si="277"/>
        <v>#NAME?</v>
      </c>
      <c r="AD29" s="167" t="e">
        <f t="shared" ca="1" si="277"/>
        <v>#NAME?</v>
      </c>
      <c r="AE29" s="167" t="e">
        <f t="shared" ca="1" si="277"/>
        <v>#NAME?</v>
      </c>
      <c r="AI29" s="166" t="e">
        <f t="shared" ref="AI29:BN29" ca="1" si="279">AI28/AI10</f>
        <v>#NAME?</v>
      </c>
      <c r="AJ29" s="166" t="e">
        <f t="shared" ca="1" si="279"/>
        <v>#NAME?</v>
      </c>
      <c r="AK29" s="166" t="e">
        <f t="shared" ca="1" si="279"/>
        <v>#NAME?</v>
      </c>
      <c r="AL29" s="166" t="e">
        <f t="shared" ca="1" si="279"/>
        <v>#NAME?</v>
      </c>
      <c r="AM29" s="166" t="e">
        <f t="shared" ca="1" si="279"/>
        <v>#NAME?</v>
      </c>
      <c r="AN29" s="166" t="e">
        <f t="shared" ca="1" si="279"/>
        <v>#NAME?</v>
      </c>
      <c r="AO29" s="166" t="e">
        <f t="shared" ca="1" si="279"/>
        <v>#NAME?</v>
      </c>
      <c r="AP29" s="166" t="e">
        <f t="shared" ca="1" si="279"/>
        <v>#NAME?</v>
      </c>
      <c r="AQ29" s="166" t="e">
        <f t="shared" ca="1" si="279"/>
        <v>#NAME?</v>
      </c>
      <c r="AR29" s="166" t="e">
        <f t="shared" ca="1" si="279"/>
        <v>#NAME?</v>
      </c>
      <c r="AS29" s="166" t="e">
        <f t="shared" ca="1" si="279"/>
        <v>#NAME?</v>
      </c>
      <c r="AT29" s="166" t="e">
        <f t="shared" ca="1" si="279"/>
        <v>#NAME?</v>
      </c>
      <c r="AU29" s="166" t="e">
        <f t="shared" ca="1" si="279"/>
        <v>#NAME?</v>
      </c>
      <c r="AV29" s="166" t="e">
        <f t="shared" ca="1" si="279"/>
        <v>#NAME?</v>
      </c>
      <c r="AW29" s="166" t="e">
        <f t="shared" ca="1" si="279"/>
        <v>#NAME?</v>
      </c>
      <c r="AX29" s="166" t="e">
        <f t="shared" ca="1" si="279"/>
        <v>#NAME?</v>
      </c>
      <c r="AY29" s="166" t="e">
        <f t="shared" ca="1" si="279"/>
        <v>#NAME?</v>
      </c>
      <c r="AZ29" s="166" t="e">
        <f t="shared" ca="1" si="279"/>
        <v>#NAME?</v>
      </c>
      <c r="BA29" s="166" t="e">
        <f t="shared" ca="1" si="279"/>
        <v>#NAME?</v>
      </c>
      <c r="BB29" s="166" t="e">
        <f t="shared" ca="1" si="279"/>
        <v>#NAME?</v>
      </c>
      <c r="BC29" s="166" t="e">
        <f t="shared" ca="1" si="279"/>
        <v>#NAME?</v>
      </c>
      <c r="BD29" s="166" t="e">
        <f t="shared" ca="1" si="279"/>
        <v>#NAME?</v>
      </c>
      <c r="BE29" s="166" t="e">
        <f t="shared" ca="1" si="279"/>
        <v>#NAME?</v>
      </c>
      <c r="BF29" s="166" t="e">
        <f t="shared" ca="1" si="279"/>
        <v>#NAME?</v>
      </c>
      <c r="BG29" s="166" t="e">
        <f t="shared" ca="1" si="279"/>
        <v>#NAME?</v>
      </c>
      <c r="BH29" s="166" t="e">
        <f t="shared" ca="1" si="279"/>
        <v>#NAME?</v>
      </c>
      <c r="BI29" s="166" t="e">
        <f t="shared" ca="1" si="279"/>
        <v>#NAME?</v>
      </c>
      <c r="BJ29" s="166" t="e">
        <f t="shared" ca="1" si="279"/>
        <v>#NAME?</v>
      </c>
      <c r="BK29" s="166" t="e">
        <f t="shared" ca="1" si="279"/>
        <v>#NAME?</v>
      </c>
      <c r="BL29" s="166" t="e">
        <f t="shared" ca="1" si="279"/>
        <v>#NAME?</v>
      </c>
      <c r="BM29" s="166" t="e">
        <f t="shared" ca="1" si="279"/>
        <v>#NAME?</v>
      </c>
      <c r="BN29" s="166" t="e">
        <f t="shared" ca="1" si="279"/>
        <v>#NAME?</v>
      </c>
      <c r="BO29" s="166" t="e">
        <f t="shared" ref="BO29:CT29" ca="1" si="280">BO28/BO10</f>
        <v>#NAME?</v>
      </c>
      <c r="BP29" s="166" t="e">
        <f t="shared" ca="1" si="280"/>
        <v>#NAME?</v>
      </c>
      <c r="BQ29" s="166" t="e">
        <f t="shared" ca="1" si="280"/>
        <v>#NAME?</v>
      </c>
      <c r="BR29" s="166" t="e">
        <f t="shared" ca="1" si="280"/>
        <v>#NAME?</v>
      </c>
      <c r="BS29" s="166" t="e">
        <f t="shared" ca="1" si="280"/>
        <v>#NAME?</v>
      </c>
      <c r="BT29" s="166" t="e">
        <f t="shared" ca="1" si="280"/>
        <v>#NAME?</v>
      </c>
      <c r="BU29" s="166" t="e">
        <f t="shared" ca="1" si="280"/>
        <v>#NAME?</v>
      </c>
      <c r="BV29" s="166" t="e">
        <f t="shared" ca="1" si="280"/>
        <v>#NAME?</v>
      </c>
      <c r="BW29" s="166" t="e">
        <f t="shared" ca="1" si="280"/>
        <v>#NAME?</v>
      </c>
      <c r="BX29" s="166" t="e">
        <f t="shared" ca="1" si="280"/>
        <v>#NAME?</v>
      </c>
      <c r="BY29" s="166" t="e">
        <f t="shared" ca="1" si="280"/>
        <v>#NAME?</v>
      </c>
      <c r="BZ29" s="166" t="e">
        <f t="shared" ca="1" si="280"/>
        <v>#NAME?</v>
      </c>
      <c r="CA29" s="166" t="e">
        <f t="shared" ca="1" si="280"/>
        <v>#NAME?</v>
      </c>
      <c r="CB29" s="166" t="e">
        <f t="shared" ca="1" si="280"/>
        <v>#NAME?</v>
      </c>
      <c r="CC29" s="166" t="e">
        <f t="shared" ca="1" si="280"/>
        <v>#NAME?</v>
      </c>
      <c r="CD29" s="166" t="e">
        <f t="shared" ca="1" si="280"/>
        <v>#NAME?</v>
      </c>
      <c r="CE29" s="166" t="e">
        <f t="shared" ca="1" si="280"/>
        <v>#NAME?</v>
      </c>
      <c r="CF29" s="166" t="e">
        <f t="shared" ca="1" si="280"/>
        <v>#NAME?</v>
      </c>
      <c r="CG29" s="166" t="e">
        <f t="shared" ca="1" si="280"/>
        <v>#NAME?</v>
      </c>
      <c r="CH29" s="166" t="e">
        <f t="shared" ca="1" si="280"/>
        <v>#NAME?</v>
      </c>
      <c r="CI29" s="166" t="e">
        <f t="shared" ref="CI29:CJ29" ca="1" si="281">CI28/CI10</f>
        <v>#NAME?</v>
      </c>
      <c r="CJ29" s="166" t="e">
        <f t="shared" ca="1" si="281"/>
        <v>#NAME?</v>
      </c>
      <c r="CK29" s="166" t="e">
        <f t="shared" ref="CK29:CL29" ca="1" si="282">CK28/CK10</f>
        <v>#NAME?</v>
      </c>
      <c r="CL29" s="166" t="e">
        <f t="shared" ca="1" si="282"/>
        <v>#NAME?</v>
      </c>
      <c r="CM29" s="167" t="e">
        <f t="shared" ca="1" si="280"/>
        <v>#NAME?</v>
      </c>
      <c r="CN29" s="167" t="e">
        <f t="shared" ca="1" si="280"/>
        <v>#NAME?</v>
      </c>
      <c r="CO29" s="167" t="e">
        <f t="shared" ca="1" si="280"/>
        <v>#NAME?</v>
      </c>
      <c r="CP29" s="167" t="e">
        <f t="shared" ca="1" si="280"/>
        <v>#NAME?</v>
      </c>
      <c r="CQ29" s="167" t="e">
        <f t="shared" ca="1" si="280"/>
        <v>#NAME?</v>
      </c>
      <c r="CR29" s="167" t="e">
        <f t="shared" ca="1" si="280"/>
        <v>#NAME?</v>
      </c>
      <c r="CS29" s="167" t="e">
        <f t="shared" ca="1" si="280"/>
        <v>#NAME?</v>
      </c>
      <c r="CT29" s="167" t="e">
        <f t="shared" ca="1" si="280"/>
        <v>#NAME?</v>
      </c>
      <c r="CU29" s="167" t="e">
        <f t="shared" ref="CU29:DB29" ca="1" si="283">CU28/CU10</f>
        <v>#NAME?</v>
      </c>
      <c r="CV29" s="167" t="e">
        <f t="shared" ca="1" si="283"/>
        <v>#NAME?</v>
      </c>
      <c r="CW29" s="167" t="e">
        <f t="shared" ca="1" si="283"/>
        <v>#NAME?</v>
      </c>
      <c r="CX29" s="167" t="e">
        <f t="shared" ca="1" si="283"/>
        <v>#NAME?</v>
      </c>
      <c r="CY29" s="167" t="e">
        <f t="shared" ca="1" si="283"/>
        <v>#NAME?</v>
      </c>
      <c r="CZ29" s="167" t="e">
        <f t="shared" ca="1" si="283"/>
        <v>#NAME?</v>
      </c>
      <c r="DA29" s="167" t="e">
        <f t="shared" ca="1" si="283"/>
        <v>#NAME?</v>
      </c>
      <c r="DB29" s="167" t="e">
        <f t="shared" ca="1" si="283"/>
        <v>#NAME?</v>
      </c>
      <c r="DE29" s="169"/>
      <c r="DF29" s="168">
        <v>0.22612828552425865</v>
      </c>
    </row>
    <row r="30" spans="1:110" s="38" customFormat="1" x14ac:dyDescent="0.2">
      <c r="A30" s="39" t="s">
        <v>449</v>
      </c>
      <c r="B30" s="39"/>
      <c r="C30" s="39" t="e">
        <f t="shared" ref="C30:E30" ca="1" si="284">+IF(B28&lt;0,1-C28/B28,C28/B28-1)</f>
        <v>#NAME?</v>
      </c>
      <c r="D30" s="39" t="e">
        <f t="shared" ca="1" si="284"/>
        <v>#NAME?</v>
      </c>
      <c r="E30" s="39" t="e">
        <f t="shared" ca="1" si="284"/>
        <v>#NAME?</v>
      </c>
      <c r="F30" s="39" t="e">
        <f t="shared" ref="F30:Y30" ca="1" si="285">+IF(E28&lt;0,1-F28/E28,F28/E28-1)</f>
        <v>#NAME?</v>
      </c>
      <c r="G30" s="39" t="e">
        <f t="shared" ca="1" si="285"/>
        <v>#NAME?</v>
      </c>
      <c r="H30" s="39" t="e">
        <f t="shared" ca="1" si="285"/>
        <v>#NAME?</v>
      </c>
      <c r="I30" s="39" t="e">
        <f t="shared" ca="1" si="285"/>
        <v>#NAME?</v>
      </c>
      <c r="J30" s="39" t="e">
        <f t="shared" ca="1" si="285"/>
        <v>#NAME?</v>
      </c>
      <c r="K30" s="39" t="e">
        <f t="shared" ca="1" si="285"/>
        <v>#NAME?</v>
      </c>
      <c r="L30" s="39" t="e">
        <f t="shared" ca="1" si="285"/>
        <v>#NAME?</v>
      </c>
      <c r="M30" s="39" t="e">
        <f t="shared" ca="1" si="285"/>
        <v>#NAME?</v>
      </c>
      <c r="N30" s="39" t="e">
        <f t="shared" ca="1" si="285"/>
        <v>#NAME?</v>
      </c>
      <c r="O30" s="39" t="e">
        <f t="shared" ca="1" si="285"/>
        <v>#NAME?</v>
      </c>
      <c r="P30" s="39" t="e">
        <f t="shared" ca="1" si="285"/>
        <v>#NAME?</v>
      </c>
      <c r="Q30" s="39" t="e">
        <f t="shared" ca="1" si="285"/>
        <v>#NAME?</v>
      </c>
      <c r="R30" s="39" t="e">
        <f t="shared" ca="1" si="285"/>
        <v>#NAME?</v>
      </c>
      <c r="S30" s="39" t="e">
        <f t="shared" ca="1" si="285"/>
        <v>#NAME?</v>
      </c>
      <c r="T30" s="39" t="e">
        <f t="shared" ca="1" si="285"/>
        <v>#NAME?</v>
      </c>
      <c r="U30" s="39" t="e">
        <f t="shared" ca="1" si="285"/>
        <v>#NAME?</v>
      </c>
      <c r="V30" s="39" t="e">
        <f t="shared" ca="1" si="285"/>
        <v>#NAME?</v>
      </c>
      <c r="W30" s="39" t="e">
        <f t="shared" ca="1" si="285"/>
        <v>#NAME?</v>
      </c>
      <c r="X30" s="39" t="e">
        <f t="shared" ca="1" si="285"/>
        <v>#NAME?</v>
      </c>
      <c r="Y30" s="39" t="e">
        <f t="shared" ca="1" si="285"/>
        <v>#NAME?</v>
      </c>
      <c r="Z30" s="39" t="e">
        <f t="shared" ref="Z30:AE30" ca="1" si="286">+IF(Y28&lt;0,1-Z28/Y28,Z28/Y28-1)</f>
        <v>#NAME?</v>
      </c>
      <c r="AA30" s="39" t="e">
        <f t="shared" ca="1" si="286"/>
        <v>#NAME?</v>
      </c>
      <c r="AB30" s="40" t="e">
        <f t="shared" ca="1" si="286"/>
        <v>#NAME?</v>
      </c>
      <c r="AC30" s="40" t="e">
        <f t="shared" ca="1" si="286"/>
        <v>#NAME?</v>
      </c>
      <c r="AD30" s="40" t="e">
        <f t="shared" ca="1" si="286"/>
        <v>#NAME?</v>
      </c>
      <c r="AE30" s="40" t="e">
        <f t="shared" ca="1" si="286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87">+IF(AJ28&lt;0,1-AN28/AJ28,AN28/AJ28-1)</f>
        <v>#NAME?</v>
      </c>
      <c r="AO30" s="39" t="e">
        <f t="shared" ref="AO30" ca="1" si="288">+IF(AK28&lt;0,1-AO28/AK28,AO28/AK28-1)</f>
        <v>#NAME?</v>
      </c>
      <c r="AP30" s="39" t="e">
        <f t="shared" ref="AP30" ca="1" si="289">+IF(AL28&lt;0,1-AP28/AL28,AP28/AL28-1)</f>
        <v>#NAME?</v>
      </c>
      <c r="AQ30" s="39" t="e">
        <f t="shared" ref="AQ30" ca="1" si="290">+IF(AM28&lt;0,1-AQ28/AM28,AQ28/AM28-1)</f>
        <v>#NAME?</v>
      </c>
      <c r="AR30" s="39" t="e">
        <f t="shared" ref="AR30" ca="1" si="291">+IF(AN28&lt;0,1-AR28/AN28,AR28/AN28-1)</f>
        <v>#NAME?</v>
      </c>
      <c r="AS30" s="39" t="e">
        <f t="shared" ref="AS30" ca="1" si="292">+IF(AO28&lt;0,1-AS28/AO28,AS28/AO28-1)</f>
        <v>#NAME?</v>
      </c>
      <c r="AT30" s="39" t="e">
        <f t="shared" ref="AT30" ca="1" si="293">+IF(AP28&lt;0,1-AT28/AP28,AT28/AP28-1)</f>
        <v>#NAME?</v>
      </c>
      <c r="AU30" s="39" t="e">
        <f t="shared" ref="AU30" ca="1" si="294">+IF(AQ28&lt;0,1-AU28/AQ28,AU28/AQ28-1)</f>
        <v>#NAME?</v>
      </c>
      <c r="AV30" s="39" t="e">
        <f t="shared" ref="AV30" ca="1" si="295">+IF(AR28&lt;0,1-AV28/AR28,AV28/AR28-1)</f>
        <v>#NAME?</v>
      </c>
      <c r="AW30" s="39" t="e">
        <f t="shared" ref="AW30" ca="1" si="296">+IF(AS28&lt;0,1-AW28/AS28,AW28/AS28-1)</f>
        <v>#NAME?</v>
      </c>
      <c r="AX30" s="39" t="e">
        <f t="shared" ref="AX30" ca="1" si="297">+IF(AT28&lt;0,1-AX28/AT28,AX28/AT28-1)</f>
        <v>#NAME?</v>
      </c>
      <c r="AY30" s="39" t="e">
        <f t="shared" ref="AY30" ca="1" si="298">+IF(AU28&lt;0,1-AY28/AU28,AY28/AU28-1)</f>
        <v>#NAME?</v>
      </c>
      <c r="AZ30" s="39" t="e">
        <f t="shared" ref="AZ30" ca="1" si="299">+IF(AV28&lt;0,1-AZ28/AV28,AZ28/AV28-1)</f>
        <v>#NAME?</v>
      </c>
      <c r="BA30" s="39" t="e">
        <f t="shared" ref="BA30" ca="1" si="300">+IF(AW28&lt;0,1-BA28/AW28,BA28/AW28-1)</f>
        <v>#NAME?</v>
      </c>
      <c r="BB30" s="39" t="e">
        <f t="shared" ref="BB30" ca="1" si="301">+IF(AX28&lt;0,1-BB28/AX28,BB28/AX28-1)</f>
        <v>#NAME?</v>
      </c>
      <c r="BC30" s="39" t="e">
        <f t="shared" ref="BC30" ca="1" si="302">+IF(AY28&lt;0,1-BC28/AY28,BC28/AY28-1)</f>
        <v>#NAME?</v>
      </c>
      <c r="BD30" s="39" t="e">
        <f t="shared" ref="BD30" ca="1" si="303">+IF(AZ28&lt;0,1-BD28/AZ28,BD28/AZ28-1)</f>
        <v>#NAME?</v>
      </c>
      <c r="BE30" s="39" t="e">
        <f t="shared" ref="BE30" ca="1" si="304">+IF(BA28&lt;0,1-BE28/BA28,BE28/BA28-1)</f>
        <v>#NAME?</v>
      </c>
      <c r="BF30" s="39" t="e">
        <f t="shared" ref="BF30" ca="1" si="305">+IF(BB28&lt;0,1-BF28/BB28,BF28/BB28-1)</f>
        <v>#NAME?</v>
      </c>
      <c r="BG30" s="39" t="e">
        <f t="shared" ref="BG30" ca="1" si="306">+IF(BC28&lt;0,1-BG28/BC28,BG28/BC28-1)</f>
        <v>#NAME?</v>
      </c>
      <c r="BH30" s="39" t="e">
        <f t="shared" ref="BH30" ca="1" si="307">+IF(BD28&lt;0,1-BH28/BD28,BH28/BD28-1)</f>
        <v>#NAME?</v>
      </c>
      <c r="BI30" s="39" t="e">
        <f t="shared" ref="BI30" ca="1" si="308">+IF(BE28&lt;0,1-BI28/BE28,BI28/BE28-1)</f>
        <v>#NAME?</v>
      </c>
      <c r="BJ30" s="39" t="e">
        <f t="shared" ref="BJ30" ca="1" si="309">+IF(BF28&lt;0,1-BJ28/BF28,BJ28/BF28-1)</f>
        <v>#NAME?</v>
      </c>
      <c r="BK30" s="39" t="e">
        <f t="shared" ref="BK30" ca="1" si="310">+IF(BG28&lt;0,1-BK28/BG28,BK28/BG28-1)</f>
        <v>#NAME?</v>
      </c>
      <c r="BL30" s="39" t="e">
        <f t="shared" ref="BL30" ca="1" si="311">+IF(BH28&lt;0,1-BL28/BH28,BL28/BH28-1)</f>
        <v>#NAME?</v>
      </c>
      <c r="BM30" s="39" t="e">
        <f t="shared" ref="BM30" ca="1" si="312">+IF(BI28&lt;0,1-BM28/BI28,BM28/BI28-1)</f>
        <v>#NAME?</v>
      </c>
      <c r="BN30" s="39" t="e">
        <f t="shared" ref="BN30" ca="1" si="313">+IF(BJ28&lt;0,1-BN28/BJ28,BN28/BJ28-1)</f>
        <v>#NAME?</v>
      </c>
      <c r="BO30" s="39" t="e">
        <f t="shared" ref="BO30" ca="1" si="314">+IF(BK28&lt;0,1-BO28/BK28,BO28/BK28-1)</f>
        <v>#NAME?</v>
      </c>
      <c r="BP30" s="39" t="e">
        <f t="shared" ref="BP30" ca="1" si="315">+IF(BL28&lt;0,1-BP28/BL28,BP28/BL28-1)</f>
        <v>#NAME?</v>
      </c>
      <c r="BQ30" s="39" t="e">
        <f t="shared" ref="BQ30" ca="1" si="316">+IF(BM28&lt;0,1-BQ28/BM28,BQ28/BM28-1)</f>
        <v>#NAME?</v>
      </c>
      <c r="BR30" s="39" t="e">
        <f t="shared" ref="BR30" ca="1" si="317">+IF(BN28&lt;0,1-BR28/BN28,BR28/BN28-1)</f>
        <v>#NAME?</v>
      </c>
      <c r="BS30" s="39" t="e">
        <f t="shared" ref="BS30" ca="1" si="318">+IF(BO28&lt;0,1-BS28/BO28,BS28/BO28-1)</f>
        <v>#NAME?</v>
      </c>
      <c r="BT30" s="39" t="e">
        <f t="shared" ref="BT30" ca="1" si="319">+IF(BP28&lt;0,1-BT28/BP28,BT28/BP28-1)</f>
        <v>#NAME?</v>
      </c>
      <c r="BU30" s="39" t="e">
        <f t="shared" ref="BU30" ca="1" si="320">+IF(BQ28&lt;0,1-BU28/BQ28,BU28/BQ28-1)</f>
        <v>#NAME?</v>
      </c>
      <c r="BV30" s="39" t="e">
        <f t="shared" ref="BV30" ca="1" si="321">+IF(BR28&lt;0,1-BV28/BR28,BV28/BR28-1)</f>
        <v>#NAME?</v>
      </c>
      <c r="BW30" s="39" t="e">
        <f t="shared" ref="BW30" ca="1" si="322">+IF(BS28&lt;0,1-BW28/BS28,BW28/BS28-1)</f>
        <v>#NAME?</v>
      </c>
      <c r="BX30" s="39" t="e">
        <f t="shared" ref="BX30" ca="1" si="323">+IF(BT28&lt;0,1-BX28/BT28,BX28/BT28-1)</f>
        <v>#NAME?</v>
      </c>
      <c r="BY30" s="39" t="e">
        <f t="shared" ref="BY30" ca="1" si="324">+IF(BU28&lt;0,1-BY28/BU28,BY28/BU28-1)</f>
        <v>#NAME?</v>
      </c>
      <c r="BZ30" s="39" t="e">
        <f t="shared" ref="BZ30" ca="1" si="325">+IF(BV28&lt;0,1-BZ28/BV28,BZ28/BV28-1)</f>
        <v>#NAME?</v>
      </c>
      <c r="CA30" s="39" t="e">
        <f t="shared" ref="CA30" ca="1" si="326">+IF(BW28&lt;0,1-CA28/BW28,CA28/BW28-1)</f>
        <v>#NAME?</v>
      </c>
      <c r="CB30" s="39" t="e">
        <f t="shared" ref="CB30" ca="1" si="327">+IF(BX28&lt;0,1-CB28/BX28,CB28/BX28-1)</f>
        <v>#NAME?</v>
      </c>
      <c r="CC30" s="39" t="e">
        <f t="shared" ref="CC30" ca="1" si="328">+IF(BY28&lt;0,1-CC28/BY28,CC28/BY28-1)</f>
        <v>#NAME?</v>
      </c>
      <c r="CD30" s="39" t="e">
        <f t="shared" ref="CD30" ca="1" si="329">+IF(BZ28&lt;0,1-CD28/BZ28,CD28/BZ28-1)</f>
        <v>#NAME?</v>
      </c>
      <c r="CE30" s="39" t="e">
        <f t="shared" ref="CE30" ca="1" si="330">+IF(CA28&lt;0,1-CE28/CA28,CE28/CA28-1)</f>
        <v>#NAME?</v>
      </c>
      <c r="CF30" s="39" t="e">
        <f t="shared" ref="CF30" ca="1" si="331">+IF(CB28&lt;0,1-CF28/CB28,CF28/CB28-1)</f>
        <v>#NAME?</v>
      </c>
      <c r="CG30" s="39" t="e">
        <f t="shared" ref="CG30" ca="1" si="332">+IF(CC28&lt;0,1-CG28/CC28,CG28/CC28-1)</f>
        <v>#NAME?</v>
      </c>
      <c r="CH30" s="39" t="e">
        <f t="shared" ref="CH30:CL30" ca="1" si="333">+IF(CD28&lt;0,1-CH28/CD28,CH28/CD28-1)</f>
        <v>#NAME?</v>
      </c>
      <c r="CI30" s="39" t="e">
        <f t="shared" ca="1" si="333"/>
        <v>#NAME?</v>
      </c>
      <c r="CJ30" s="39" t="e">
        <f t="shared" ca="1" si="333"/>
        <v>#NAME?</v>
      </c>
      <c r="CK30" s="39" t="e">
        <f t="shared" ca="1" si="333"/>
        <v>#NAME?</v>
      </c>
      <c r="CL30" s="39" t="e">
        <f t="shared" ca="1" si="333"/>
        <v>#NAME?</v>
      </c>
      <c r="CM30" s="40" t="e">
        <f t="shared" ref="CM30" ca="1" si="334">+CM28/CI28-1</f>
        <v>#NAME?</v>
      </c>
      <c r="CN30" s="40" t="e">
        <f t="shared" ref="CN30" ca="1" si="335">+CN28/CJ28-1</f>
        <v>#NAME?</v>
      </c>
      <c r="CO30" s="40" t="e">
        <f t="shared" ref="CO30" ca="1" si="336">+CO28/CK28-1</f>
        <v>#NAME?</v>
      </c>
      <c r="CP30" s="40" t="e">
        <f t="shared" ref="CP30" ca="1" si="337">+CP28/CL28-1</f>
        <v>#NAME?</v>
      </c>
      <c r="CQ30" s="40" t="e">
        <f t="shared" ref="CQ30" ca="1" si="338">+CQ28/CM28-1</f>
        <v>#NAME?</v>
      </c>
      <c r="CR30" s="40" t="e">
        <f t="shared" ref="CR30" ca="1" si="339">+CR28/CN28-1</f>
        <v>#NAME?</v>
      </c>
      <c r="CS30" s="40" t="e">
        <f t="shared" ref="CS30" ca="1" si="340">+CS28/CO28-1</f>
        <v>#NAME?</v>
      </c>
      <c r="CT30" s="40" t="e">
        <f t="shared" ref="CT30" ca="1" si="341">+CT28/CP28-1</f>
        <v>#NAME?</v>
      </c>
      <c r="CU30" s="40" t="e">
        <f t="shared" ref="CU30" ca="1" si="342">+CU28/CQ28-1</f>
        <v>#NAME?</v>
      </c>
      <c r="CV30" s="40" t="e">
        <f t="shared" ref="CV30" ca="1" si="343">+CV28/CR28-1</f>
        <v>#NAME?</v>
      </c>
      <c r="CW30" s="40" t="e">
        <f t="shared" ref="CW30" ca="1" si="344">+CW28/CS28-1</f>
        <v>#NAME?</v>
      </c>
      <c r="CX30" s="40" t="e">
        <f t="shared" ref="CX30" ca="1" si="345">+CX28/CT28-1</f>
        <v>#NAME?</v>
      </c>
      <c r="CY30" s="40" t="e">
        <f t="shared" ref="CY30" ca="1" si="346">+CY28/CU28-1</f>
        <v>#NAME?</v>
      </c>
      <c r="CZ30" s="40" t="e">
        <f t="shared" ref="CZ30" ca="1" si="347">+CZ28/CV28-1</f>
        <v>#NAME?</v>
      </c>
      <c r="DA30" s="40" t="e">
        <f t="shared" ref="DA30" ca="1" si="348">+DA28/CW28-1</f>
        <v>#NAME?</v>
      </c>
      <c r="DB30" s="40" t="e">
        <f t="shared" ref="DB30" ca="1" si="349">+DB28/CX28-1</f>
        <v>#NAME?</v>
      </c>
      <c r="DE30" s="122"/>
      <c r="DF30" s="38">
        <v>9.7369077385131675E-2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0">+IF(AJ28&lt;0,1-AK28/AJ28,AK28/AJ28-1)</f>
        <v>#NAME?</v>
      </c>
      <c r="AL31" s="39" t="e">
        <f t="shared" ca="1" si="350"/>
        <v>#NAME?</v>
      </c>
      <c r="AM31" s="39" t="e">
        <f t="shared" ca="1" si="350"/>
        <v>#NAME?</v>
      </c>
      <c r="AN31" s="39" t="e">
        <f t="shared" ref="AN31" ca="1" si="351">+IF(AM28&lt;0,1-AN28/AM28,AN28/AM28-1)</f>
        <v>#NAME?</v>
      </c>
      <c r="AO31" s="39" t="e">
        <f t="shared" ref="AO31" ca="1" si="352">+IF(AN28&lt;0,1-AO28/AN28,AO28/AN28-1)</f>
        <v>#NAME?</v>
      </c>
      <c r="AP31" s="39" t="e">
        <f t="shared" ref="AP31" ca="1" si="353">+IF(AO28&lt;0,1-AP28/AO28,AP28/AO28-1)</f>
        <v>#NAME?</v>
      </c>
      <c r="AQ31" s="39" t="e">
        <f t="shared" ref="AQ31" ca="1" si="354">+IF(AP28&lt;0,1-AQ28/AP28,AQ28/AP28-1)</f>
        <v>#NAME?</v>
      </c>
      <c r="AR31" s="39" t="e">
        <f t="shared" ref="AR31" ca="1" si="355">+IF(AQ28&lt;0,1-AR28/AQ28,AR28/AQ28-1)</f>
        <v>#NAME?</v>
      </c>
      <c r="AS31" s="39" t="e">
        <f t="shared" ref="AS31" ca="1" si="356">+IF(AR28&lt;0,1-AS28/AR28,AS28/AR28-1)</f>
        <v>#NAME?</v>
      </c>
      <c r="AT31" s="39" t="e">
        <f t="shared" ref="AT31" ca="1" si="357">+IF(AS28&lt;0,1-AT28/AS28,AT28/AS28-1)</f>
        <v>#NAME?</v>
      </c>
      <c r="AU31" s="39" t="e">
        <f t="shared" ref="AU31" ca="1" si="358">+IF(AT28&lt;0,1-AU28/AT28,AU28/AT28-1)</f>
        <v>#NAME?</v>
      </c>
      <c r="AV31" s="39" t="e">
        <f t="shared" ref="AV31" ca="1" si="359">+IF(AU28&lt;0,1-AV28/AU28,AV28/AU28-1)</f>
        <v>#NAME?</v>
      </c>
      <c r="AW31" s="39" t="e">
        <f t="shared" ref="AW31" ca="1" si="360">+IF(AV28&lt;0,1-AW28/AV28,AW28/AV28-1)</f>
        <v>#NAME?</v>
      </c>
      <c r="AX31" s="39" t="e">
        <f t="shared" ref="AX31" ca="1" si="361">+IF(AW28&lt;0,1-AX28/AW28,AX28/AW28-1)</f>
        <v>#NAME?</v>
      </c>
      <c r="AY31" s="39" t="e">
        <f t="shared" ref="AY31" ca="1" si="362">+IF(AX28&lt;0,1-AY28/AX28,AY28/AX28-1)</f>
        <v>#NAME?</v>
      </c>
      <c r="AZ31" s="39" t="e">
        <f t="shared" ref="AZ31" ca="1" si="363">+IF(AY28&lt;0,1-AZ28/AY28,AZ28/AY28-1)</f>
        <v>#NAME?</v>
      </c>
      <c r="BA31" s="39" t="e">
        <f t="shared" ref="BA31" ca="1" si="364">+IF(AZ28&lt;0,1-BA28/AZ28,BA28/AZ28-1)</f>
        <v>#NAME?</v>
      </c>
      <c r="BB31" s="39" t="e">
        <f t="shared" ref="BB31" ca="1" si="365">+IF(BA28&lt;0,1-BB28/BA28,BB28/BA28-1)</f>
        <v>#NAME?</v>
      </c>
      <c r="BC31" s="39" t="e">
        <f t="shared" ref="BC31" ca="1" si="366">+IF(BB28&lt;0,1-BC28/BB28,BC28/BB28-1)</f>
        <v>#NAME?</v>
      </c>
      <c r="BD31" s="39" t="e">
        <f t="shared" ref="BD31" ca="1" si="367">+IF(BC28&lt;0,1-BD28/BC28,BD28/BC28-1)</f>
        <v>#NAME?</v>
      </c>
      <c r="BE31" s="39" t="e">
        <f t="shared" ref="BE31" ca="1" si="368">+IF(BD28&lt;0,1-BE28/BD28,BE28/BD28-1)</f>
        <v>#NAME?</v>
      </c>
      <c r="BF31" s="39" t="e">
        <f t="shared" ref="BF31" ca="1" si="369">+IF(BE28&lt;0,1-BF28/BE28,BF28/BE28-1)</f>
        <v>#NAME?</v>
      </c>
      <c r="BG31" s="39" t="e">
        <f t="shared" ref="BG31" ca="1" si="370">+IF(BF28&lt;0,1-BG28/BF28,BG28/BF28-1)</f>
        <v>#NAME?</v>
      </c>
      <c r="BH31" s="39" t="e">
        <f t="shared" ref="BH31" ca="1" si="371">+IF(BG28&lt;0,1-BH28/BG28,BH28/BG28-1)</f>
        <v>#NAME?</v>
      </c>
      <c r="BI31" s="39" t="e">
        <f t="shared" ref="BI31" ca="1" si="372">+IF(BH28&lt;0,1-BI28/BH28,BI28/BH28-1)</f>
        <v>#NAME?</v>
      </c>
      <c r="BJ31" s="39" t="e">
        <f t="shared" ref="BJ31" ca="1" si="373">+IF(BI28&lt;0,1-BJ28/BI28,BJ28/BI28-1)</f>
        <v>#NAME?</v>
      </c>
      <c r="BK31" s="39" t="e">
        <f t="shared" ref="BK31" ca="1" si="374">+IF(BJ28&lt;0,1-BK28/BJ28,BK28/BJ28-1)</f>
        <v>#NAME?</v>
      </c>
      <c r="BL31" s="39" t="e">
        <f t="shared" ref="BL31" ca="1" si="375">+IF(BK28&lt;0,1-BL28/BK28,BL28/BK28-1)</f>
        <v>#NAME?</v>
      </c>
      <c r="BM31" s="39" t="e">
        <f t="shared" ref="BM31" ca="1" si="376">+IF(BL28&lt;0,1-BM28/BL28,BM28/BL28-1)</f>
        <v>#NAME?</v>
      </c>
      <c r="BN31" s="39" t="e">
        <f t="shared" ref="BN31" ca="1" si="377">+IF(BM28&lt;0,1-BN28/BM28,BN28/BM28-1)</f>
        <v>#NAME?</v>
      </c>
      <c r="BO31" s="39" t="e">
        <f t="shared" ref="BO31" ca="1" si="378">+IF(BN28&lt;0,1-BO28/BN28,BO28/BN28-1)</f>
        <v>#NAME?</v>
      </c>
      <c r="BP31" s="39" t="e">
        <f t="shared" ref="BP31" ca="1" si="379">+IF(BO28&lt;0,1-BP28/BO28,BP28/BO28-1)</f>
        <v>#NAME?</v>
      </c>
      <c r="BQ31" s="39" t="e">
        <f t="shared" ref="BQ31" ca="1" si="380">+IF(BP28&lt;0,1-BQ28/BP28,BQ28/BP28-1)</f>
        <v>#NAME?</v>
      </c>
      <c r="BR31" s="39" t="e">
        <f t="shared" ref="BR31" ca="1" si="381">+IF(BQ28&lt;0,1-BR28/BQ28,BR28/BQ28-1)</f>
        <v>#NAME?</v>
      </c>
      <c r="BS31" s="39" t="e">
        <f t="shared" ref="BS31" ca="1" si="382">+IF(BR28&lt;0,1-BS28/BR28,BS28/BR28-1)</f>
        <v>#NAME?</v>
      </c>
      <c r="BT31" s="39" t="e">
        <f t="shared" ref="BT31" ca="1" si="383">+IF(BS28&lt;0,1-BT28/BS28,BT28/BS28-1)</f>
        <v>#NAME?</v>
      </c>
      <c r="BU31" s="39" t="e">
        <f t="shared" ref="BU31" ca="1" si="384">+IF(BT28&lt;0,1-BU28/BT28,BU28/BT28-1)</f>
        <v>#NAME?</v>
      </c>
      <c r="BV31" s="39" t="e">
        <f t="shared" ref="BV31" ca="1" si="385">+IF(BU28&lt;0,1-BV28/BU28,BV28/BU28-1)</f>
        <v>#NAME?</v>
      </c>
      <c r="BW31" s="39" t="e">
        <f t="shared" ref="BW31" ca="1" si="386">+IF(BV28&lt;0,1-BW28/BV28,BW28/BV28-1)</f>
        <v>#NAME?</v>
      </c>
      <c r="BX31" s="39" t="e">
        <f t="shared" ref="BX31" ca="1" si="387">+IF(BW28&lt;0,1-BX28/BW28,BX28/BW28-1)</f>
        <v>#NAME?</v>
      </c>
      <c r="BY31" s="39" t="e">
        <f t="shared" ref="BY31" ca="1" si="388">+IF(BX28&lt;0,1-BY28/BX28,BY28/BX28-1)</f>
        <v>#NAME?</v>
      </c>
      <c r="BZ31" s="39" t="e">
        <f t="shared" ref="BZ31" ca="1" si="389">+IF(BY28&lt;0,1-BZ28/BY28,BZ28/BY28-1)</f>
        <v>#NAME?</v>
      </c>
      <c r="CA31" s="39" t="e">
        <f t="shared" ref="CA31" ca="1" si="390">+IF(BZ28&lt;0,1-CA28/BZ28,CA28/BZ28-1)</f>
        <v>#NAME?</v>
      </c>
      <c r="CB31" s="39" t="e">
        <f t="shared" ref="CB31" ca="1" si="391">+IF(CA28&lt;0,1-CB28/CA28,CB28/CA28-1)</f>
        <v>#NAME?</v>
      </c>
      <c r="CC31" s="39" t="e">
        <f t="shared" ref="CC31" ca="1" si="392">+IF(CB28&lt;0,1-CC28/CB28,CC28/CB28-1)</f>
        <v>#NAME?</v>
      </c>
      <c r="CD31" s="39" t="e">
        <f t="shared" ref="CD31" ca="1" si="393">+IF(CC28&lt;0,1-CD28/CC28,CD28/CC28-1)</f>
        <v>#NAME?</v>
      </c>
      <c r="CE31" s="39" t="e">
        <f t="shared" ref="CE31" ca="1" si="394">+IF(CD28&lt;0,1-CE28/CD28,CE28/CD28-1)</f>
        <v>#NAME?</v>
      </c>
      <c r="CF31" s="39" t="e">
        <f t="shared" ref="CF31" ca="1" si="395">+IF(CE28&lt;0,1-CF28/CE28,CF28/CE28-1)</f>
        <v>#NAME?</v>
      </c>
      <c r="CG31" s="39" t="e">
        <f t="shared" ref="CG31" ca="1" si="396">+IF(CF28&lt;0,1-CG28/CF28,CG28/CF28-1)</f>
        <v>#NAME?</v>
      </c>
      <c r="CH31" s="39" t="e">
        <f t="shared" ref="CH31:CI31" ca="1" si="397">+IF(CG28&lt;0,1-CH28/CG28,CH28/CG28-1)</f>
        <v>#NAME?</v>
      </c>
      <c r="CI31" s="39" t="e">
        <f t="shared" ca="1" si="397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398">+CM28/CL28-1</f>
        <v>#NAME?</v>
      </c>
      <c r="CN31" s="40" t="e">
        <f t="shared" ref="CN31" ca="1" si="399">+CN28/CM28-1</f>
        <v>#NAME?</v>
      </c>
      <c r="CO31" s="40" t="e">
        <f t="shared" ref="CO31" ca="1" si="400">+CO28/CN28-1</f>
        <v>#NAME?</v>
      </c>
      <c r="CP31" s="40" t="e">
        <f t="shared" ref="CP31" ca="1" si="401">+CP28/CO28-1</f>
        <v>#NAME?</v>
      </c>
      <c r="CQ31" s="40" t="e">
        <f t="shared" ref="CQ31" ca="1" si="402">+CQ28/CP28-1</f>
        <v>#NAME?</v>
      </c>
      <c r="CR31" s="40" t="e">
        <f t="shared" ref="CR31" ca="1" si="403">+CR28/CQ28-1</f>
        <v>#NAME?</v>
      </c>
      <c r="CS31" s="40" t="e">
        <f t="shared" ref="CS31" ca="1" si="404">+CS28/CR28-1</f>
        <v>#NAME?</v>
      </c>
      <c r="CT31" s="40" t="e">
        <f t="shared" ref="CT31" ca="1" si="405">+CT28/CS28-1</f>
        <v>#NAME?</v>
      </c>
      <c r="CU31" s="40" t="e">
        <f t="shared" ref="CU31" ca="1" si="406">+CU28/CT28-1</f>
        <v>#NAME?</v>
      </c>
      <c r="CV31" s="40" t="e">
        <f t="shared" ref="CV31" ca="1" si="407">+CV28/CU28-1</f>
        <v>#NAME?</v>
      </c>
      <c r="CW31" s="40" t="e">
        <f t="shared" ref="CW31" ca="1" si="408">+CW28/CV28-1</f>
        <v>#NAME?</v>
      </c>
      <c r="CX31" s="40" t="e">
        <f t="shared" ref="CX31" ca="1" si="409">+CX28/CW28-1</f>
        <v>#NAME?</v>
      </c>
      <c r="CY31" s="40" t="e">
        <f t="shared" ref="CY31" ca="1" si="410">+CY28/CX28-1</f>
        <v>#NAME?</v>
      </c>
      <c r="CZ31" s="40" t="e">
        <f t="shared" ref="CZ31" ca="1" si="411">+CZ28/CY28-1</f>
        <v>#NAME?</v>
      </c>
      <c r="DA31" s="40" t="e">
        <f t="shared" ref="DA31" ca="1" si="412">+DA28/CZ28-1</f>
        <v>#NAME?</v>
      </c>
      <c r="DB31" s="40" t="e">
        <f t="shared" ref="DB31" ca="1" si="413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4">CM33*CL134</f>
        <v>#NAME?</v>
      </c>
      <c r="CN32" s="24" t="e">
        <f t="shared" ca="1" si="414"/>
        <v>#NAME?</v>
      </c>
      <c r="CO32" s="24" t="e">
        <f t="shared" ca="1" si="414"/>
        <v>#NAME?</v>
      </c>
      <c r="CP32" s="24" t="e">
        <f t="shared" ca="1" si="414"/>
        <v>#NAME?</v>
      </c>
      <c r="CQ32" s="24" t="e">
        <f t="shared" ca="1" si="414"/>
        <v>#NAME?</v>
      </c>
      <c r="CR32" s="24" t="e">
        <f t="shared" ca="1" si="414"/>
        <v>#NAME?</v>
      </c>
      <c r="CS32" s="24" t="e">
        <f t="shared" ca="1" si="414"/>
        <v>#NAME?</v>
      </c>
      <c r="CT32" s="24" t="e">
        <f t="shared" ca="1" si="414"/>
        <v>#NAME?</v>
      </c>
      <c r="CU32" s="24" t="e">
        <f t="shared" ca="1" si="414"/>
        <v>#NAME?</v>
      </c>
      <c r="CV32" s="24" t="e">
        <f t="shared" ca="1" si="414"/>
        <v>#NAME?</v>
      </c>
      <c r="CW32" s="24" t="e">
        <f t="shared" ca="1" si="414"/>
        <v>#NAME?</v>
      </c>
      <c r="CX32" s="24" t="e">
        <f t="shared" ca="1" si="414"/>
        <v>#NAME?</v>
      </c>
      <c r="CY32" s="24" t="e">
        <f t="shared" ca="1" si="414"/>
        <v>#NAME?</v>
      </c>
      <c r="CZ32" s="24" t="e">
        <f t="shared" ca="1" si="414"/>
        <v>#NAME?</v>
      </c>
      <c r="DA32" s="24" t="e">
        <f t="shared" ca="1" si="414"/>
        <v>#NAME?</v>
      </c>
      <c r="DB32" s="24" t="e">
        <f t="shared" ca="1" si="414"/>
        <v>#NAME?</v>
      </c>
      <c r="DE32" s="123"/>
      <c r="DF32" s="23">
        <v>699.2299999999999</v>
      </c>
    </row>
    <row r="33" spans="1:110" s="46" customFormat="1" x14ac:dyDescent="0.2">
      <c r="A33" s="46" t="s">
        <v>483</v>
      </c>
      <c r="B33" s="46" t="e">
        <f t="shared" ref="B33:D33" ca="1" si="415">+B32/B134</f>
        <v>#NAME?</v>
      </c>
      <c r="C33" s="46" t="e">
        <f t="shared" ca="1" si="415"/>
        <v>#NAME?</v>
      </c>
      <c r="D33" s="46" t="e">
        <f t="shared" ca="1" si="415"/>
        <v>#NAME?</v>
      </c>
      <c r="E33" s="46" t="e">
        <f t="shared" ref="E33:AE33" ca="1" si="416">+E32/E134</f>
        <v>#NAME?</v>
      </c>
      <c r="F33" s="46" t="e">
        <f t="shared" ca="1" si="416"/>
        <v>#NAME?</v>
      </c>
      <c r="G33" s="46" t="e">
        <f t="shared" ca="1" si="416"/>
        <v>#NAME?</v>
      </c>
      <c r="H33" s="46" t="e">
        <f t="shared" ca="1" si="416"/>
        <v>#NAME?</v>
      </c>
      <c r="I33" s="46" t="e">
        <f t="shared" ca="1" si="416"/>
        <v>#NAME?</v>
      </c>
      <c r="J33" s="46" t="e">
        <f t="shared" ca="1" si="416"/>
        <v>#NAME?</v>
      </c>
      <c r="K33" s="46" t="e">
        <f t="shared" ca="1" si="416"/>
        <v>#NAME?</v>
      </c>
      <c r="L33" s="46" t="e">
        <f t="shared" ca="1" si="416"/>
        <v>#NAME?</v>
      </c>
      <c r="M33" s="46" t="e">
        <f t="shared" ca="1" si="416"/>
        <v>#NAME?</v>
      </c>
      <c r="N33" s="46" t="e">
        <f t="shared" ca="1" si="416"/>
        <v>#NAME?</v>
      </c>
      <c r="O33" s="46" t="e">
        <f t="shared" ca="1" si="416"/>
        <v>#NAME?</v>
      </c>
      <c r="P33" s="46" t="e">
        <f t="shared" ca="1" si="416"/>
        <v>#NAME?</v>
      </c>
      <c r="Q33" s="46" t="e">
        <f t="shared" ca="1" si="416"/>
        <v>#NAME?</v>
      </c>
      <c r="R33" s="46" t="e">
        <f t="shared" ca="1" si="416"/>
        <v>#NAME?</v>
      </c>
      <c r="S33" s="46" t="e">
        <f t="shared" ca="1" si="416"/>
        <v>#NAME?</v>
      </c>
      <c r="T33" s="46" t="e">
        <f t="shared" ca="1" si="416"/>
        <v>#NAME?</v>
      </c>
      <c r="U33" s="46" t="e">
        <f t="shared" ca="1" si="416"/>
        <v>#NAME?</v>
      </c>
      <c r="V33" s="46" t="e">
        <f t="shared" ca="1" si="416"/>
        <v>#NAME?</v>
      </c>
      <c r="W33" s="46" t="e">
        <f t="shared" ca="1" si="416"/>
        <v>#NAME?</v>
      </c>
      <c r="X33" s="46" t="e">
        <f t="shared" ca="1" si="416"/>
        <v>#NAME?</v>
      </c>
      <c r="Y33" s="46" t="e">
        <f t="shared" ca="1" si="416"/>
        <v>#NAME?</v>
      </c>
      <c r="Z33" s="46" t="e">
        <f t="shared" ca="1" si="416"/>
        <v>#NAME?</v>
      </c>
      <c r="AA33" s="46" t="e">
        <f t="shared" ref="AA33" ca="1" si="417">+AA32/AA134</f>
        <v>#NAME?</v>
      </c>
      <c r="AB33" s="110" t="e">
        <f t="shared" ca="1" si="416"/>
        <v>#NAME?</v>
      </c>
      <c r="AC33" s="110" t="e">
        <f t="shared" ca="1" si="416"/>
        <v>#NAME?</v>
      </c>
      <c r="AD33" s="110" t="e">
        <f t="shared" ca="1" si="416"/>
        <v>#NAME?</v>
      </c>
      <c r="AE33" s="110" t="e">
        <f t="shared" ca="1" si="416"/>
        <v>#NAME?</v>
      </c>
      <c r="AI33" s="46" t="e">
        <f t="shared" ref="AI33:BN33" ca="1" si="418">+AI32/AH134</f>
        <v>#NAME?</v>
      </c>
      <c r="AJ33" s="46" t="e">
        <f t="shared" ca="1" si="418"/>
        <v>#NAME?</v>
      </c>
      <c r="AK33" s="46" t="e">
        <f t="shared" ca="1" si="418"/>
        <v>#NAME?</v>
      </c>
      <c r="AL33" s="46" t="e">
        <f t="shared" ca="1" si="418"/>
        <v>#NAME?</v>
      </c>
      <c r="AM33" s="46" t="e">
        <f t="shared" ca="1" si="418"/>
        <v>#NAME?</v>
      </c>
      <c r="AN33" s="46" t="e">
        <f t="shared" ca="1" si="418"/>
        <v>#NAME?</v>
      </c>
      <c r="AO33" s="46" t="e">
        <f t="shared" ca="1" si="418"/>
        <v>#NAME?</v>
      </c>
      <c r="AP33" s="46" t="e">
        <f t="shared" ca="1" si="418"/>
        <v>#NAME?</v>
      </c>
      <c r="AQ33" s="46" t="e">
        <f t="shared" ca="1" si="418"/>
        <v>#NAME?</v>
      </c>
      <c r="AR33" s="46" t="e">
        <f t="shared" ca="1" si="418"/>
        <v>#NAME?</v>
      </c>
      <c r="AS33" s="46" t="e">
        <f t="shared" ca="1" si="418"/>
        <v>#NAME?</v>
      </c>
      <c r="AT33" s="46" t="e">
        <f t="shared" ca="1" si="418"/>
        <v>#NAME?</v>
      </c>
      <c r="AU33" s="46" t="e">
        <f t="shared" ca="1" si="418"/>
        <v>#NAME?</v>
      </c>
      <c r="AV33" s="46" t="e">
        <f t="shared" ca="1" si="418"/>
        <v>#NAME?</v>
      </c>
      <c r="AW33" s="46" t="e">
        <f t="shared" ca="1" si="418"/>
        <v>#NAME?</v>
      </c>
      <c r="AX33" s="46" t="e">
        <f t="shared" ca="1" si="418"/>
        <v>#NAME?</v>
      </c>
      <c r="AY33" s="46" t="e">
        <f t="shared" ca="1" si="418"/>
        <v>#NAME?</v>
      </c>
      <c r="AZ33" s="46" t="e">
        <f t="shared" ca="1" si="418"/>
        <v>#NAME?</v>
      </c>
      <c r="BA33" s="46" t="e">
        <f t="shared" ca="1" si="418"/>
        <v>#NAME?</v>
      </c>
      <c r="BB33" s="46" t="e">
        <f t="shared" ca="1" si="418"/>
        <v>#NAME?</v>
      </c>
      <c r="BC33" s="46" t="e">
        <f t="shared" ca="1" si="418"/>
        <v>#NAME?</v>
      </c>
      <c r="BD33" s="46" t="e">
        <f t="shared" ca="1" si="418"/>
        <v>#NAME?</v>
      </c>
      <c r="BE33" s="46" t="e">
        <f t="shared" ca="1" si="418"/>
        <v>#NAME?</v>
      </c>
      <c r="BF33" s="46" t="e">
        <f t="shared" ca="1" si="418"/>
        <v>#NAME?</v>
      </c>
      <c r="BG33" s="46" t="e">
        <f t="shared" ca="1" si="418"/>
        <v>#NAME?</v>
      </c>
      <c r="BH33" s="46" t="e">
        <f t="shared" ca="1" si="418"/>
        <v>#NAME?</v>
      </c>
      <c r="BI33" s="46" t="e">
        <f t="shared" ca="1" si="418"/>
        <v>#NAME?</v>
      </c>
      <c r="BJ33" s="46" t="e">
        <f t="shared" ca="1" si="418"/>
        <v>#NAME?</v>
      </c>
      <c r="BK33" s="46" t="e">
        <f t="shared" ca="1" si="418"/>
        <v>#NAME?</v>
      </c>
      <c r="BL33" s="46" t="e">
        <f t="shared" ca="1" si="418"/>
        <v>#NAME?</v>
      </c>
      <c r="BM33" s="46" t="e">
        <f t="shared" ca="1" si="418"/>
        <v>#NAME?</v>
      </c>
      <c r="BN33" s="46" t="e">
        <f t="shared" ca="1" si="418"/>
        <v>#NAME?</v>
      </c>
      <c r="BO33" s="46" t="e">
        <f t="shared" ref="BO33:CL33" ca="1" si="419">+BO32/BN134</f>
        <v>#NAME?</v>
      </c>
      <c r="BP33" s="46" t="e">
        <f t="shared" ca="1" si="419"/>
        <v>#NAME?</v>
      </c>
      <c r="BQ33" s="46" t="e">
        <f t="shared" ca="1" si="419"/>
        <v>#NAME?</v>
      </c>
      <c r="BR33" s="46" t="e">
        <f t="shared" ca="1" si="419"/>
        <v>#NAME?</v>
      </c>
      <c r="BS33" s="46" t="e">
        <f t="shared" ca="1" si="419"/>
        <v>#NAME?</v>
      </c>
      <c r="BT33" s="46" t="e">
        <f t="shared" ca="1" si="419"/>
        <v>#NAME?</v>
      </c>
      <c r="BU33" s="46" t="e">
        <f t="shared" ca="1" si="419"/>
        <v>#NAME?</v>
      </c>
      <c r="BV33" s="46" t="e">
        <f t="shared" ca="1" si="419"/>
        <v>#NAME?</v>
      </c>
      <c r="BW33" s="46" t="e">
        <f t="shared" ca="1" si="419"/>
        <v>#NAME?</v>
      </c>
      <c r="BX33" s="46" t="e">
        <f t="shared" ca="1" si="419"/>
        <v>#NAME?</v>
      </c>
      <c r="BY33" s="46" t="e">
        <f t="shared" ca="1" si="419"/>
        <v>#NAME?</v>
      </c>
      <c r="BZ33" s="46" t="e">
        <f t="shared" ca="1" si="419"/>
        <v>#NAME?</v>
      </c>
      <c r="CA33" s="46" t="e">
        <f t="shared" ca="1" si="419"/>
        <v>#NAME?</v>
      </c>
      <c r="CB33" s="46" t="e">
        <f t="shared" ca="1" si="419"/>
        <v>#NAME?</v>
      </c>
      <c r="CC33" s="46" t="e">
        <f t="shared" ca="1" si="419"/>
        <v>#NAME?</v>
      </c>
      <c r="CD33" s="46" t="e">
        <f t="shared" ca="1" si="419"/>
        <v>#NAME?</v>
      </c>
      <c r="CE33" s="46" t="e">
        <f t="shared" ca="1" si="419"/>
        <v>#NAME?</v>
      </c>
      <c r="CF33" s="46" t="e">
        <f t="shared" ca="1" si="419"/>
        <v>#NAME?</v>
      </c>
      <c r="CG33" s="46" t="e">
        <f t="shared" ca="1" si="419"/>
        <v>#NAME?</v>
      </c>
      <c r="CH33" s="46" t="e">
        <f t="shared" ca="1" si="419"/>
        <v>#NAME?</v>
      </c>
      <c r="CI33" s="46" t="e">
        <f t="shared" ca="1" si="419"/>
        <v>#NAME?</v>
      </c>
      <c r="CJ33" s="46" t="e">
        <f t="shared" ca="1" si="419"/>
        <v>#NAME?</v>
      </c>
      <c r="CK33" s="46" t="e">
        <f t="shared" ca="1" si="419"/>
        <v>#NAME?</v>
      </c>
      <c r="CL33" s="46" t="e">
        <f t="shared" ca="1" si="419"/>
        <v>#NAME?</v>
      </c>
      <c r="CM33" s="47" t="e">
        <f t="shared" ref="CM33" ca="1" si="420">CL33</f>
        <v>#NAME?</v>
      </c>
      <c r="CN33" s="47">
        <v>0.04</v>
      </c>
      <c r="CO33" s="47">
        <f t="shared" ref="CO33" si="421">CN33</f>
        <v>0.04</v>
      </c>
      <c r="CP33" s="47">
        <f t="shared" ref="CP33" si="422">CO33</f>
        <v>0.04</v>
      </c>
      <c r="CQ33" s="47">
        <f t="shared" ref="CQ33" si="423">CP33</f>
        <v>0.04</v>
      </c>
      <c r="CR33" s="47">
        <f t="shared" ref="CR33" si="424">CQ33</f>
        <v>0.04</v>
      </c>
      <c r="CS33" s="47">
        <f t="shared" ref="CS33" si="425">CR33</f>
        <v>0.04</v>
      </c>
      <c r="CT33" s="47">
        <f t="shared" ref="CT33" si="426">CS33</f>
        <v>0.04</v>
      </c>
      <c r="CU33" s="47">
        <f t="shared" ref="CU33" si="427">CT33</f>
        <v>0.04</v>
      </c>
      <c r="CV33" s="47">
        <f t="shared" ref="CV33" si="428">CU33</f>
        <v>0.04</v>
      </c>
      <c r="CW33" s="47">
        <f t="shared" ref="CW33" si="429">CV33</f>
        <v>0.04</v>
      </c>
      <c r="CX33" s="47">
        <f t="shared" ref="CX33" si="430">CW33</f>
        <v>0.04</v>
      </c>
      <c r="CY33" s="47">
        <f t="shared" ref="CY33" si="431">CX33</f>
        <v>0.04</v>
      </c>
      <c r="CZ33" s="47">
        <f t="shared" ref="CZ33" si="432">CY33</f>
        <v>0.04</v>
      </c>
      <c r="DA33" s="47">
        <f t="shared" ref="DA33" si="433">CZ33</f>
        <v>0.04</v>
      </c>
      <c r="DB33" s="47">
        <f t="shared" ref="DB33" si="434">DA33</f>
        <v>0.04</v>
      </c>
      <c r="DE33" s="130"/>
      <c r="DF33" s="46">
        <v>0.12165747721195015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35">C28-C32</f>
        <v>#NAME?</v>
      </c>
      <c r="D34" s="26" t="e">
        <f ca="1">D28-D32</f>
        <v>#NAME?</v>
      </c>
      <c r="E34" s="26" t="e">
        <f t="shared" ca="1" si="435"/>
        <v>#NAME?</v>
      </c>
      <c r="F34" s="26" t="e">
        <f t="shared" ca="1" si="435"/>
        <v>#NAME?</v>
      </c>
      <c r="G34" s="26" t="e">
        <f t="shared" ca="1" si="435"/>
        <v>#NAME?</v>
      </c>
      <c r="H34" s="26" t="e">
        <f t="shared" ca="1" si="435"/>
        <v>#NAME?</v>
      </c>
      <c r="I34" s="26" t="e">
        <f t="shared" ca="1" si="435"/>
        <v>#NAME?</v>
      </c>
      <c r="J34" s="26" t="e">
        <f t="shared" ca="1" si="435"/>
        <v>#NAME?</v>
      </c>
      <c r="K34" s="26" t="e">
        <f t="shared" ca="1" si="435"/>
        <v>#NAME?</v>
      </c>
      <c r="L34" s="26" t="e">
        <f t="shared" ca="1" si="435"/>
        <v>#NAME?</v>
      </c>
      <c r="M34" s="26" t="e">
        <f t="shared" ca="1" si="435"/>
        <v>#NAME?</v>
      </c>
      <c r="N34" s="26" t="e">
        <f t="shared" ca="1" si="435"/>
        <v>#NAME?</v>
      </c>
      <c r="O34" s="26" t="e">
        <f t="shared" ca="1" si="435"/>
        <v>#NAME?</v>
      </c>
      <c r="P34" s="26" t="e">
        <f t="shared" ca="1" si="435"/>
        <v>#NAME?</v>
      </c>
      <c r="Q34" s="26" t="e">
        <f t="shared" ca="1" si="435"/>
        <v>#NAME?</v>
      </c>
      <c r="R34" s="26" t="e">
        <f t="shared" ca="1" si="435"/>
        <v>#NAME?</v>
      </c>
      <c r="S34" s="26" t="e">
        <f t="shared" ca="1" si="435"/>
        <v>#NAME?</v>
      </c>
      <c r="T34" s="26" t="e">
        <f t="shared" ca="1" si="435"/>
        <v>#NAME?</v>
      </c>
      <c r="U34" s="26" t="e">
        <f t="shared" ref="U34:Z34" ca="1" si="436">U28-U32</f>
        <v>#NAME?</v>
      </c>
      <c r="V34" s="26" t="e">
        <f t="shared" ca="1" si="436"/>
        <v>#NAME?</v>
      </c>
      <c r="W34" s="26" t="e">
        <f t="shared" ca="1" si="436"/>
        <v>#NAME?</v>
      </c>
      <c r="X34" s="26" t="e">
        <f t="shared" ca="1" si="436"/>
        <v>#NAME?</v>
      </c>
      <c r="Y34" s="26" t="e">
        <f t="shared" ca="1" si="436"/>
        <v>#NAME?</v>
      </c>
      <c r="Z34" s="26" t="e">
        <f t="shared" ca="1" si="436"/>
        <v>#NAME?</v>
      </c>
      <c r="AA34" s="26" t="e">
        <f t="shared" ref="AA34" ca="1" si="437">AA28-AA32</f>
        <v>#NAME?</v>
      </c>
      <c r="AB34" s="27" t="e">
        <f t="shared" ref="AA34:AD34" ca="1" si="438">AB28-AB32</f>
        <v>#NAME?</v>
      </c>
      <c r="AC34" s="27" t="e">
        <f t="shared" ca="1" si="438"/>
        <v>#NAME?</v>
      </c>
      <c r="AD34" s="27" t="e">
        <f t="shared" ca="1" si="438"/>
        <v>#NAME?</v>
      </c>
      <c r="AE34" s="27" t="e">
        <f t="shared" ref="AE34" ca="1" si="439">AE28-AE32</f>
        <v>#NAME?</v>
      </c>
      <c r="AI34" s="26" t="e">
        <f t="shared" ref="AI34" ca="1" si="440">AI28-AI32</f>
        <v>#NAME?</v>
      </c>
      <c r="AJ34" s="26" t="e">
        <f t="shared" ref="AJ34" ca="1" si="441">AJ28-AJ32</f>
        <v>#NAME?</v>
      </c>
      <c r="AK34" s="26" t="e">
        <f t="shared" ref="AK34:AM34" ca="1" si="442">AK28-AK32</f>
        <v>#NAME?</v>
      </c>
      <c r="AL34" s="26" t="e">
        <f t="shared" ca="1" si="442"/>
        <v>#NAME?</v>
      </c>
      <c r="AM34" s="26" t="e">
        <f t="shared" ca="1" si="442"/>
        <v>#NAME?</v>
      </c>
      <c r="AN34" s="26" t="e">
        <f t="shared" ref="AN34:AO34" ca="1" si="443">AN28-AN32</f>
        <v>#NAME?</v>
      </c>
      <c r="AO34" s="26" t="e">
        <f t="shared" ca="1" si="443"/>
        <v>#NAME?</v>
      </c>
      <c r="AP34" s="26" t="e">
        <f t="shared" ref="AP34:CD34" ca="1" si="444">AP28-AP32</f>
        <v>#NAME?</v>
      </c>
      <c r="AQ34" s="26" t="e">
        <f t="shared" ca="1" si="444"/>
        <v>#NAME?</v>
      </c>
      <c r="AR34" s="26" t="e">
        <f t="shared" ca="1" si="444"/>
        <v>#NAME?</v>
      </c>
      <c r="AS34" s="26" t="e">
        <f t="shared" ca="1" si="444"/>
        <v>#NAME?</v>
      </c>
      <c r="AT34" s="26" t="e">
        <f t="shared" ca="1" si="444"/>
        <v>#NAME?</v>
      </c>
      <c r="AU34" s="26" t="e">
        <f t="shared" ca="1" si="444"/>
        <v>#NAME?</v>
      </c>
      <c r="AV34" s="26" t="e">
        <f t="shared" ca="1" si="444"/>
        <v>#NAME?</v>
      </c>
      <c r="AW34" s="26" t="e">
        <f t="shared" ca="1" si="444"/>
        <v>#NAME?</v>
      </c>
      <c r="AX34" s="26" t="e">
        <f t="shared" ca="1" si="444"/>
        <v>#NAME?</v>
      </c>
      <c r="AY34" s="26" t="e">
        <f t="shared" ca="1" si="444"/>
        <v>#NAME?</v>
      </c>
      <c r="AZ34" s="26" t="e">
        <f t="shared" ca="1" si="444"/>
        <v>#NAME?</v>
      </c>
      <c r="BA34" s="26" t="e">
        <f t="shared" ca="1" si="444"/>
        <v>#NAME?</v>
      </c>
      <c r="BB34" s="26" t="e">
        <f t="shared" ca="1" si="444"/>
        <v>#NAME?</v>
      </c>
      <c r="BC34" s="26" t="e">
        <f t="shared" ca="1" si="444"/>
        <v>#NAME?</v>
      </c>
      <c r="BD34" s="26" t="e">
        <f t="shared" ca="1" si="444"/>
        <v>#NAME?</v>
      </c>
      <c r="BE34" s="26" t="e">
        <f t="shared" ca="1" si="444"/>
        <v>#NAME?</v>
      </c>
      <c r="BF34" s="26" t="e">
        <f t="shared" ca="1" si="444"/>
        <v>#NAME?</v>
      </c>
      <c r="BG34" s="26" t="e">
        <f t="shared" ca="1" si="444"/>
        <v>#NAME?</v>
      </c>
      <c r="BH34" s="26" t="e">
        <f t="shared" ca="1" si="444"/>
        <v>#NAME?</v>
      </c>
      <c r="BI34" s="26" t="e">
        <f t="shared" ca="1" si="444"/>
        <v>#NAME?</v>
      </c>
      <c r="BJ34" s="26" t="e">
        <f t="shared" ca="1" si="444"/>
        <v>#NAME?</v>
      </c>
      <c r="BK34" s="26" t="e">
        <f t="shared" ca="1" si="444"/>
        <v>#NAME?</v>
      </c>
      <c r="BL34" s="26" t="e">
        <f t="shared" ca="1" si="444"/>
        <v>#NAME?</v>
      </c>
      <c r="BM34" s="26" t="e">
        <f t="shared" ca="1" si="444"/>
        <v>#NAME?</v>
      </c>
      <c r="BN34" s="26" t="e">
        <f t="shared" ca="1" si="444"/>
        <v>#NAME?</v>
      </c>
      <c r="BO34" s="26" t="e">
        <f t="shared" ca="1" si="444"/>
        <v>#NAME?</v>
      </c>
      <c r="BP34" s="26" t="e">
        <f t="shared" ca="1" si="444"/>
        <v>#NAME?</v>
      </c>
      <c r="BQ34" s="26" t="e">
        <f t="shared" ca="1" si="444"/>
        <v>#NAME?</v>
      </c>
      <c r="BR34" s="26" t="e">
        <f t="shared" ca="1" si="444"/>
        <v>#NAME?</v>
      </c>
      <c r="BS34" s="26" t="e">
        <f t="shared" ca="1" si="444"/>
        <v>#NAME?</v>
      </c>
      <c r="BT34" s="26" t="e">
        <f t="shared" ca="1" si="444"/>
        <v>#NAME?</v>
      </c>
      <c r="BU34" s="26" t="e">
        <f t="shared" ca="1" si="444"/>
        <v>#NAME?</v>
      </c>
      <c r="BV34" s="26" t="e">
        <f t="shared" ca="1" si="444"/>
        <v>#NAME?</v>
      </c>
      <c r="BW34" s="26" t="e">
        <f t="shared" ca="1" si="444"/>
        <v>#NAME?</v>
      </c>
      <c r="BX34" s="26" t="e">
        <f t="shared" ca="1" si="444"/>
        <v>#NAME?</v>
      </c>
      <c r="BY34" s="26" t="e">
        <f t="shared" ca="1" si="444"/>
        <v>#NAME?</v>
      </c>
      <c r="BZ34" s="26" t="e">
        <f t="shared" ca="1" si="444"/>
        <v>#NAME?</v>
      </c>
      <c r="CA34" s="26" t="e">
        <f t="shared" ca="1" si="444"/>
        <v>#NAME?</v>
      </c>
      <c r="CB34" s="26" t="e">
        <f t="shared" ca="1" si="444"/>
        <v>#NAME?</v>
      </c>
      <c r="CC34" s="26" t="e">
        <f t="shared" ca="1" si="444"/>
        <v>#NAME?</v>
      </c>
      <c r="CD34" s="26" t="e">
        <f t="shared" ca="1" si="444"/>
        <v>#NAME?</v>
      </c>
      <c r="CE34" s="26" t="e">
        <f t="shared" ref="CE34:CF34" ca="1" si="445">CE28-CE32</f>
        <v>#NAME?</v>
      </c>
      <c r="CF34" s="26" t="e">
        <f t="shared" ca="1" si="445"/>
        <v>#NAME?</v>
      </c>
      <c r="CG34" s="26" t="e">
        <f t="shared" ref="CG34:CH34" ca="1" si="446">CG28-CG32</f>
        <v>#NAME?</v>
      </c>
      <c r="CH34" s="26" t="e">
        <f t="shared" ca="1" si="446"/>
        <v>#NAME?</v>
      </c>
      <c r="CI34" s="26" t="e">
        <f t="shared" ref="CI34:CJ34" ca="1" si="447">CI28-CI32</f>
        <v>#NAME?</v>
      </c>
      <c r="CJ34" s="26" t="e">
        <f t="shared" ca="1" si="447"/>
        <v>#NAME?</v>
      </c>
      <c r="CK34" s="26" t="e">
        <f t="shared" ref="CK34:CL34" ca="1" si="448">CK28-CK32</f>
        <v>#NAME?</v>
      </c>
      <c r="CL34" s="26" t="e">
        <f t="shared" ca="1" si="448"/>
        <v>#NAME?</v>
      </c>
      <c r="CM34" s="27" t="e">
        <f t="shared" ref="CM34:DB34" ca="1" si="449">CM28-CM32</f>
        <v>#NAME?</v>
      </c>
      <c r="CN34" s="27" t="e">
        <f t="shared" ca="1" si="449"/>
        <v>#NAME?</v>
      </c>
      <c r="CO34" s="27" t="e">
        <f t="shared" ca="1" si="449"/>
        <v>#NAME?</v>
      </c>
      <c r="CP34" s="27" t="e">
        <f t="shared" ca="1" si="449"/>
        <v>#NAME?</v>
      </c>
      <c r="CQ34" s="27" t="e">
        <f t="shared" ca="1" si="449"/>
        <v>#NAME?</v>
      </c>
      <c r="CR34" s="27" t="e">
        <f t="shared" ca="1" si="449"/>
        <v>#NAME?</v>
      </c>
      <c r="CS34" s="27" t="e">
        <f t="shared" ca="1" si="449"/>
        <v>#NAME?</v>
      </c>
      <c r="CT34" s="27" t="e">
        <f t="shared" ca="1" si="449"/>
        <v>#NAME?</v>
      </c>
      <c r="CU34" s="27" t="e">
        <f t="shared" ca="1" si="449"/>
        <v>#NAME?</v>
      </c>
      <c r="CV34" s="27" t="e">
        <f t="shared" ca="1" si="449"/>
        <v>#NAME?</v>
      </c>
      <c r="CW34" s="27" t="e">
        <f t="shared" ca="1" si="449"/>
        <v>#NAME?</v>
      </c>
      <c r="CX34" s="27" t="e">
        <f t="shared" ca="1" si="449"/>
        <v>#NAME?</v>
      </c>
      <c r="CY34" s="27" t="e">
        <f t="shared" ca="1" si="449"/>
        <v>#NAME?</v>
      </c>
      <c r="CZ34" s="27" t="e">
        <f t="shared" ca="1" si="449"/>
        <v>#NAME?</v>
      </c>
      <c r="DA34" s="27" t="e">
        <f t="shared" ca="1" si="449"/>
        <v>#NAME?</v>
      </c>
      <c r="DB34" s="27" t="e">
        <f t="shared" ca="1" si="449"/>
        <v>#NAME?</v>
      </c>
      <c r="DE34" s="121"/>
      <c r="DF34" s="26">
        <v>4536.68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0">+SUM(CM35:CP35)</f>
        <v>0</v>
      </c>
      <c r="AC35" s="76">
        <f t="shared" ref="AC35:AC36" si="451">+SUM(CQ35:CT35)</f>
        <v>0</v>
      </c>
      <c r="AD35" s="76">
        <f t="shared" ref="AD35:AD36" si="452">+SUM(CU35:CX35)</f>
        <v>0</v>
      </c>
      <c r="AE35" s="76">
        <f t="shared" ref="AE35:AE36" si="453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35.840000000000003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0"/>
        <v>#NAME?</v>
      </c>
      <c r="AC36" s="76" t="e">
        <f t="shared" ca="1" si="451"/>
        <v>#NAME?</v>
      </c>
      <c r="AD36" s="76" t="e">
        <f t="shared" ca="1" si="452"/>
        <v>#NAME?</v>
      </c>
      <c r="AE36" s="76" t="e">
        <f t="shared" ca="1" si="453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4">CM37*CL168</f>
        <v>#NAME?</v>
      </c>
      <c r="CN36" s="24" t="e">
        <f t="shared" ca="1" si="454"/>
        <v>#NAME?</v>
      </c>
      <c r="CO36" s="24" t="e">
        <f t="shared" ca="1" si="454"/>
        <v>#NAME?</v>
      </c>
      <c r="CP36" s="24" t="e">
        <f t="shared" ca="1" si="454"/>
        <v>#NAME?</v>
      </c>
      <c r="CQ36" s="24" t="e">
        <f t="shared" ca="1" si="454"/>
        <v>#NAME?</v>
      </c>
      <c r="CR36" s="24" t="e">
        <f t="shared" ca="1" si="454"/>
        <v>#NAME?</v>
      </c>
      <c r="CS36" s="24" t="e">
        <f t="shared" ca="1" si="454"/>
        <v>#NAME?</v>
      </c>
      <c r="CT36" s="24" t="e">
        <f t="shared" ca="1" si="454"/>
        <v>#NAME?</v>
      </c>
      <c r="CU36" s="24" t="e">
        <f t="shared" ca="1" si="454"/>
        <v>#NAME?</v>
      </c>
      <c r="CV36" s="24" t="e">
        <f t="shared" ca="1" si="454"/>
        <v>#NAME?</v>
      </c>
      <c r="CW36" s="24" t="e">
        <f t="shared" ca="1" si="454"/>
        <v>#NAME?</v>
      </c>
      <c r="CX36" s="24" t="e">
        <f t="shared" ca="1" si="454"/>
        <v>#NAME?</v>
      </c>
      <c r="CY36" s="24" t="e">
        <f t="shared" ca="1" si="454"/>
        <v>#NAME?</v>
      </c>
      <c r="CZ36" s="24" t="e">
        <f t="shared" ca="1" si="454"/>
        <v>#NAME?</v>
      </c>
      <c r="DA36" s="24" t="e">
        <f t="shared" ca="1" si="454"/>
        <v>#NAME?</v>
      </c>
      <c r="DB36" s="24" t="e">
        <f t="shared" ca="1" si="454"/>
        <v>#NAME?</v>
      </c>
      <c r="DE36" s="123"/>
      <c r="DF36" s="23">
        <v>83.65</v>
      </c>
    </row>
    <row r="37" spans="1:110" s="46" customFormat="1" x14ac:dyDescent="0.2">
      <c r="A37" s="46" t="s">
        <v>482</v>
      </c>
      <c r="B37" s="46" t="e">
        <f t="shared" ref="B37:D37" ca="1" si="455">+B36/B128</f>
        <v>#NAME?</v>
      </c>
      <c r="C37" s="46" t="e">
        <f t="shared" ca="1" si="455"/>
        <v>#NAME?</v>
      </c>
      <c r="D37" s="46" t="e">
        <f t="shared" ca="1" si="455"/>
        <v>#NAME?</v>
      </c>
      <c r="E37" s="46" t="e">
        <f t="shared" ref="E37:AE37" ca="1" si="456">+E36/E128</f>
        <v>#NAME?</v>
      </c>
      <c r="F37" s="46" t="e">
        <f t="shared" ca="1" si="456"/>
        <v>#NAME?</v>
      </c>
      <c r="G37" s="46" t="e">
        <f t="shared" ca="1" si="456"/>
        <v>#NAME?</v>
      </c>
      <c r="H37" s="46" t="e">
        <f t="shared" ca="1" si="456"/>
        <v>#NAME?</v>
      </c>
      <c r="I37" s="46" t="e">
        <f t="shared" ca="1" si="456"/>
        <v>#NAME?</v>
      </c>
      <c r="J37" s="46" t="e">
        <f t="shared" ca="1" si="456"/>
        <v>#NAME?</v>
      </c>
      <c r="K37" s="46" t="e">
        <f t="shared" ca="1" si="456"/>
        <v>#NAME?</v>
      </c>
      <c r="L37" s="46" t="e">
        <f t="shared" ca="1" si="456"/>
        <v>#NAME?</v>
      </c>
      <c r="M37" s="46" t="e">
        <f t="shared" ca="1" si="456"/>
        <v>#NAME?</v>
      </c>
      <c r="N37" s="46" t="e">
        <f t="shared" ca="1" si="456"/>
        <v>#NAME?</v>
      </c>
      <c r="O37" s="46" t="e">
        <f t="shared" ca="1" si="456"/>
        <v>#NAME?</v>
      </c>
      <c r="P37" s="46" t="e">
        <f t="shared" ca="1" si="456"/>
        <v>#NAME?</v>
      </c>
      <c r="Q37" s="46" t="e">
        <f t="shared" ca="1" si="456"/>
        <v>#NAME?</v>
      </c>
      <c r="R37" s="46" t="e">
        <f t="shared" ca="1" si="456"/>
        <v>#NAME?</v>
      </c>
      <c r="S37" s="46" t="e">
        <f t="shared" ca="1" si="456"/>
        <v>#NAME?</v>
      </c>
      <c r="T37" s="46" t="e">
        <f t="shared" ca="1" si="456"/>
        <v>#NAME?</v>
      </c>
      <c r="U37" s="46" t="e">
        <f t="shared" ca="1" si="456"/>
        <v>#NAME?</v>
      </c>
      <c r="V37" s="46" t="e">
        <f t="shared" ca="1" si="456"/>
        <v>#NAME?</v>
      </c>
      <c r="W37" s="46" t="e">
        <f t="shared" ca="1" si="456"/>
        <v>#NAME?</v>
      </c>
      <c r="X37" s="46" t="e">
        <f t="shared" ca="1" si="456"/>
        <v>#NAME?</v>
      </c>
      <c r="Y37" s="46" t="e">
        <f t="shared" ca="1" si="456"/>
        <v>#NAME?</v>
      </c>
      <c r="Z37" s="46" t="e">
        <f t="shared" ca="1" si="456"/>
        <v>#NAME?</v>
      </c>
      <c r="AA37" s="46" t="e">
        <f t="shared" ref="AA37" ca="1" si="457">+AA36/AA128</f>
        <v>#NAME?</v>
      </c>
      <c r="AB37" s="110" t="e">
        <f t="shared" ca="1" si="456"/>
        <v>#NAME?</v>
      </c>
      <c r="AC37" s="110" t="e">
        <f t="shared" ca="1" si="456"/>
        <v>#NAME?</v>
      </c>
      <c r="AD37" s="110" t="e">
        <f t="shared" ca="1" si="456"/>
        <v>#NAME?</v>
      </c>
      <c r="AE37" s="110" t="e">
        <f t="shared" ca="1" si="456"/>
        <v>#NAME?</v>
      </c>
      <c r="AI37" s="46" t="e">
        <f t="shared" ref="AI37:BN37" ca="1" si="458">(AI36-AI35)/AH168</f>
        <v>#NAME?</v>
      </c>
      <c r="AJ37" s="46" t="e">
        <f t="shared" ca="1" si="458"/>
        <v>#NAME?</v>
      </c>
      <c r="AK37" s="46" t="e">
        <f t="shared" ca="1" si="458"/>
        <v>#NAME?</v>
      </c>
      <c r="AL37" s="46" t="e">
        <f t="shared" ca="1" si="458"/>
        <v>#NAME?</v>
      </c>
      <c r="AM37" s="46" t="e">
        <f t="shared" ca="1" si="458"/>
        <v>#NAME?</v>
      </c>
      <c r="AN37" s="46" t="e">
        <f t="shared" ca="1" si="458"/>
        <v>#NAME?</v>
      </c>
      <c r="AO37" s="46" t="e">
        <f t="shared" ca="1" si="458"/>
        <v>#NAME?</v>
      </c>
      <c r="AP37" s="46" t="e">
        <f t="shared" ca="1" si="458"/>
        <v>#NAME?</v>
      </c>
      <c r="AQ37" s="46" t="e">
        <f t="shared" ca="1" si="458"/>
        <v>#NAME?</v>
      </c>
      <c r="AR37" s="46" t="e">
        <f t="shared" ca="1" si="458"/>
        <v>#NAME?</v>
      </c>
      <c r="AS37" s="46" t="e">
        <f t="shared" ca="1" si="458"/>
        <v>#NAME?</v>
      </c>
      <c r="AT37" s="46" t="e">
        <f t="shared" ca="1" si="458"/>
        <v>#NAME?</v>
      </c>
      <c r="AU37" s="46" t="e">
        <f t="shared" ca="1" si="458"/>
        <v>#NAME?</v>
      </c>
      <c r="AV37" s="46" t="e">
        <f t="shared" ca="1" si="458"/>
        <v>#NAME?</v>
      </c>
      <c r="AW37" s="46" t="e">
        <f t="shared" ca="1" si="458"/>
        <v>#NAME?</v>
      </c>
      <c r="AX37" s="46" t="e">
        <f t="shared" ca="1" si="458"/>
        <v>#NAME?</v>
      </c>
      <c r="AY37" s="46" t="e">
        <f t="shared" ca="1" si="458"/>
        <v>#NAME?</v>
      </c>
      <c r="AZ37" s="46" t="e">
        <f t="shared" ca="1" si="458"/>
        <v>#NAME?</v>
      </c>
      <c r="BA37" s="46" t="e">
        <f t="shared" ca="1" si="458"/>
        <v>#NAME?</v>
      </c>
      <c r="BB37" s="46" t="e">
        <f t="shared" ca="1" si="458"/>
        <v>#NAME?</v>
      </c>
      <c r="BC37" s="46" t="e">
        <f t="shared" ca="1" si="458"/>
        <v>#NAME?</v>
      </c>
      <c r="BD37" s="46" t="e">
        <f t="shared" ca="1" si="458"/>
        <v>#NAME?</v>
      </c>
      <c r="BE37" s="46" t="e">
        <f t="shared" ca="1" si="458"/>
        <v>#NAME?</v>
      </c>
      <c r="BF37" s="46" t="e">
        <f t="shared" ca="1" si="458"/>
        <v>#NAME?</v>
      </c>
      <c r="BG37" s="46" t="e">
        <f t="shared" ca="1" si="458"/>
        <v>#NAME?</v>
      </c>
      <c r="BH37" s="46" t="e">
        <f t="shared" ca="1" si="458"/>
        <v>#NAME?</v>
      </c>
      <c r="BI37" s="46" t="e">
        <f t="shared" ca="1" si="458"/>
        <v>#NAME?</v>
      </c>
      <c r="BJ37" s="46" t="e">
        <f t="shared" ca="1" si="458"/>
        <v>#NAME?</v>
      </c>
      <c r="BK37" s="46" t="e">
        <f t="shared" ca="1" si="458"/>
        <v>#NAME?</v>
      </c>
      <c r="BL37" s="46" t="e">
        <f t="shared" ca="1" si="458"/>
        <v>#NAME?</v>
      </c>
      <c r="BM37" s="46" t="e">
        <f t="shared" ca="1" si="458"/>
        <v>#NAME?</v>
      </c>
      <c r="BN37" s="46" t="e">
        <f t="shared" ca="1" si="458"/>
        <v>#NAME?</v>
      </c>
      <c r="BO37" s="46" t="e">
        <f t="shared" ref="BO37:CL37" ca="1" si="459">(BO36-BO35)/BN168</f>
        <v>#NAME?</v>
      </c>
      <c r="BP37" s="46" t="e">
        <f t="shared" ca="1" si="459"/>
        <v>#NAME?</v>
      </c>
      <c r="BQ37" s="46" t="e">
        <f t="shared" ca="1" si="459"/>
        <v>#NAME?</v>
      </c>
      <c r="BR37" s="46" t="e">
        <f t="shared" ca="1" si="459"/>
        <v>#NAME?</v>
      </c>
      <c r="BS37" s="46" t="e">
        <f t="shared" ca="1" si="459"/>
        <v>#NAME?</v>
      </c>
      <c r="BT37" s="46" t="e">
        <f t="shared" ca="1" si="459"/>
        <v>#NAME?</v>
      </c>
      <c r="BU37" s="46" t="e">
        <f t="shared" ca="1" si="459"/>
        <v>#NAME?</v>
      </c>
      <c r="BV37" s="46" t="e">
        <f t="shared" ca="1" si="459"/>
        <v>#NAME?</v>
      </c>
      <c r="BW37" s="46" t="e">
        <f t="shared" ca="1" si="459"/>
        <v>#NAME?</v>
      </c>
      <c r="BX37" s="46" t="e">
        <f t="shared" ca="1" si="459"/>
        <v>#NAME?</v>
      </c>
      <c r="BY37" s="46" t="e">
        <f t="shared" ca="1" si="459"/>
        <v>#NAME?</v>
      </c>
      <c r="BZ37" s="46" t="e">
        <f t="shared" ca="1" si="459"/>
        <v>#NAME?</v>
      </c>
      <c r="CA37" s="46" t="e">
        <f t="shared" ca="1" si="459"/>
        <v>#NAME?</v>
      </c>
      <c r="CB37" s="46" t="e">
        <f t="shared" ca="1" si="459"/>
        <v>#NAME?</v>
      </c>
      <c r="CC37" s="46" t="e">
        <f t="shared" ca="1" si="459"/>
        <v>#NAME?</v>
      </c>
      <c r="CD37" s="46" t="e">
        <f t="shared" ca="1" si="459"/>
        <v>#NAME?</v>
      </c>
      <c r="CE37" s="46" t="e">
        <f t="shared" ca="1" si="459"/>
        <v>#NAME?</v>
      </c>
      <c r="CF37" s="46" t="e">
        <f t="shared" ca="1" si="459"/>
        <v>#NAME?</v>
      </c>
      <c r="CG37" s="46" t="e">
        <f t="shared" ca="1" si="459"/>
        <v>#NAME?</v>
      </c>
      <c r="CH37" s="46" t="e">
        <f t="shared" ca="1" si="459"/>
        <v>#NAME?</v>
      </c>
      <c r="CI37" s="46" t="e">
        <f t="shared" ca="1" si="459"/>
        <v>#NAME?</v>
      </c>
      <c r="CJ37" s="46" t="e">
        <f t="shared" ca="1" si="459"/>
        <v>#NAME?</v>
      </c>
      <c r="CK37" s="46" t="e">
        <f t="shared" ca="1" si="459"/>
        <v>#NAME?</v>
      </c>
      <c r="CL37" s="46" t="e">
        <f t="shared" ca="1" si="459"/>
        <v>#NAME?</v>
      </c>
      <c r="CM37" s="47">
        <v>0.03</v>
      </c>
      <c r="CN37" s="47">
        <f t="shared" ref="CN37" si="460">+CM37</f>
        <v>0.03</v>
      </c>
      <c r="CO37" s="47">
        <f t="shared" ref="CO37" si="461">+CN37</f>
        <v>0.03</v>
      </c>
      <c r="CP37" s="47">
        <f t="shared" ref="CP37" si="462">+CO37</f>
        <v>0.03</v>
      </c>
      <c r="CQ37" s="47">
        <f t="shared" ref="CQ37" si="463">+CP37</f>
        <v>0.03</v>
      </c>
      <c r="CR37" s="47">
        <f t="shared" ref="CR37" si="464">+CQ37</f>
        <v>0.03</v>
      </c>
      <c r="CS37" s="47">
        <f t="shared" ref="CS37" si="465">+CR37</f>
        <v>0.03</v>
      </c>
      <c r="CT37" s="47">
        <f t="shared" ref="CT37" si="466">+CS37</f>
        <v>0.03</v>
      </c>
      <c r="CU37" s="47">
        <f t="shared" ref="CU37" si="467">+CT37</f>
        <v>0.03</v>
      </c>
      <c r="CV37" s="47">
        <f t="shared" ref="CV37" si="468">+CU37</f>
        <v>0.03</v>
      </c>
      <c r="CW37" s="47">
        <f t="shared" ref="CW37" si="469">+CV37</f>
        <v>0.03</v>
      </c>
      <c r="CX37" s="47">
        <f t="shared" ref="CX37" si="470">+CW37</f>
        <v>0.03</v>
      </c>
      <c r="CY37" s="47">
        <f t="shared" ref="CY37" si="471">+CX37</f>
        <v>0.03</v>
      </c>
      <c r="CZ37" s="47">
        <f t="shared" ref="CZ37" si="472">+CY37</f>
        <v>0.03</v>
      </c>
      <c r="DA37" s="47">
        <f t="shared" ref="DA37" si="473">+CZ37</f>
        <v>0.03</v>
      </c>
      <c r="DB37" s="47">
        <f t="shared" ref="DB37" si="474">+DA37</f>
        <v>0.03</v>
      </c>
      <c r="DE37" s="130"/>
      <c r="DF37" s="46">
        <v>3.4226677577741413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75">C34+C35-C36</f>
        <v>#NAME?</v>
      </c>
      <c r="D38" s="26" t="e">
        <f ca="1">D34+D35-D36</f>
        <v>#NAME?</v>
      </c>
      <c r="E38" s="26" t="e">
        <f t="shared" ca="1" si="475"/>
        <v>#NAME?</v>
      </c>
      <c r="F38" s="26" t="e">
        <f t="shared" ca="1" si="475"/>
        <v>#NAME?</v>
      </c>
      <c r="G38" s="26" t="e">
        <f t="shared" ca="1" si="475"/>
        <v>#NAME?</v>
      </c>
      <c r="H38" s="26" t="e">
        <f t="shared" ca="1" si="475"/>
        <v>#NAME?</v>
      </c>
      <c r="I38" s="26" t="e">
        <f t="shared" ca="1" si="475"/>
        <v>#NAME?</v>
      </c>
      <c r="J38" s="26" t="e">
        <f t="shared" ca="1" si="475"/>
        <v>#NAME?</v>
      </c>
      <c r="K38" s="26" t="e">
        <f t="shared" ca="1" si="475"/>
        <v>#NAME?</v>
      </c>
      <c r="L38" s="26" t="e">
        <f t="shared" ca="1" si="475"/>
        <v>#NAME?</v>
      </c>
      <c r="M38" s="26" t="e">
        <f t="shared" ca="1" si="475"/>
        <v>#NAME?</v>
      </c>
      <c r="N38" s="26" t="e">
        <f t="shared" ca="1" si="475"/>
        <v>#NAME?</v>
      </c>
      <c r="O38" s="26" t="e">
        <f t="shared" ca="1" si="475"/>
        <v>#NAME?</v>
      </c>
      <c r="P38" s="26" t="e">
        <f t="shared" ca="1" si="475"/>
        <v>#NAME?</v>
      </c>
      <c r="Q38" s="26" t="e">
        <f t="shared" ca="1" si="475"/>
        <v>#NAME?</v>
      </c>
      <c r="R38" s="26" t="e">
        <f t="shared" ca="1" si="475"/>
        <v>#NAME?</v>
      </c>
      <c r="S38" s="26" t="e">
        <f t="shared" ca="1" si="475"/>
        <v>#NAME?</v>
      </c>
      <c r="T38" s="26" t="e">
        <f t="shared" ca="1" si="475"/>
        <v>#NAME?</v>
      </c>
      <c r="U38" s="26" t="e">
        <f t="shared" ref="U38:Z38" ca="1" si="476">U34+U35-U36</f>
        <v>#NAME?</v>
      </c>
      <c r="V38" s="26" t="e">
        <f t="shared" ca="1" si="476"/>
        <v>#NAME?</v>
      </c>
      <c r="W38" s="26" t="e">
        <f t="shared" ca="1" si="476"/>
        <v>#NAME?</v>
      </c>
      <c r="X38" s="26" t="e">
        <f t="shared" ca="1" si="476"/>
        <v>#NAME?</v>
      </c>
      <c r="Y38" s="26" t="e">
        <f t="shared" ca="1" si="476"/>
        <v>#NAME?</v>
      </c>
      <c r="Z38" s="26" t="e">
        <f t="shared" ca="1" si="476"/>
        <v>#NAME?</v>
      </c>
      <c r="AA38" s="26" t="e">
        <f t="shared" ref="AA38" ca="1" si="477">AA34+AA35-AA36</f>
        <v>#NAME?</v>
      </c>
      <c r="AB38" s="27" t="e">
        <f t="shared" ref="AB38:AD38" ca="1" si="478">AB34+AB35-AB36</f>
        <v>#NAME?</v>
      </c>
      <c r="AC38" s="27" t="e">
        <f t="shared" ca="1" si="478"/>
        <v>#NAME?</v>
      </c>
      <c r="AD38" s="27" t="e">
        <f t="shared" ca="1" si="478"/>
        <v>#NAME?</v>
      </c>
      <c r="AE38" s="27" t="e">
        <f t="shared" ref="AE38" ca="1" si="479">AE34+AE35-AE36</f>
        <v>#NAME?</v>
      </c>
      <c r="AI38" s="26" t="e">
        <f ca="1">AI34+AI35-AI36</f>
        <v>#NAME?</v>
      </c>
      <c r="AJ38" s="26" t="e">
        <f t="shared" ref="AJ38" ca="1" si="480">AJ34+AJ35-AJ36</f>
        <v>#NAME?</v>
      </c>
      <c r="AK38" s="26" t="e">
        <f t="shared" ref="AK38:AM38" ca="1" si="481">AK34+AK35-AK36</f>
        <v>#NAME?</v>
      </c>
      <c r="AL38" s="26" t="e">
        <f t="shared" ca="1" si="481"/>
        <v>#NAME?</v>
      </c>
      <c r="AM38" s="26" t="e">
        <f t="shared" ca="1" si="481"/>
        <v>#NAME?</v>
      </c>
      <c r="AN38" s="26" t="e">
        <f t="shared" ref="AN38:AO38" ca="1" si="482">AN34+AN35-AN36</f>
        <v>#NAME?</v>
      </c>
      <c r="AO38" s="26" t="e">
        <f t="shared" ca="1" si="482"/>
        <v>#NAME?</v>
      </c>
      <c r="AP38" s="26" t="e">
        <f t="shared" ref="AP38:CD38" ca="1" si="483">AP34+AP35-AP36</f>
        <v>#NAME?</v>
      </c>
      <c r="AQ38" s="26" t="e">
        <f t="shared" ca="1" si="483"/>
        <v>#NAME?</v>
      </c>
      <c r="AR38" s="26" t="e">
        <f t="shared" ca="1" si="483"/>
        <v>#NAME?</v>
      </c>
      <c r="AS38" s="26" t="e">
        <f t="shared" ca="1" si="483"/>
        <v>#NAME?</v>
      </c>
      <c r="AT38" s="26" t="e">
        <f t="shared" ca="1" si="483"/>
        <v>#NAME?</v>
      </c>
      <c r="AU38" s="26" t="e">
        <f t="shared" ca="1" si="483"/>
        <v>#NAME?</v>
      </c>
      <c r="AV38" s="26" t="e">
        <f t="shared" ca="1" si="483"/>
        <v>#NAME?</v>
      </c>
      <c r="AW38" s="26" t="e">
        <f t="shared" ca="1" si="483"/>
        <v>#NAME?</v>
      </c>
      <c r="AX38" s="26" t="e">
        <f t="shared" ca="1" si="483"/>
        <v>#NAME?</v>
      </c>
      <c r="AY38" s="26" t="e">
        <f t="shared" ca="1" si="483"/>
        <v>#NAME?</v>
      </c>
      <c r="AZ38" s="26" t="e">
        <f t="shared" ca="1" si="483"/>
        <v>#NAME?</v>
      </c>
      <c r="BA38" s="26" t="e">
        <f t="shared" ca="1" si="483"/>
        <v>#NAME?</v>
      </c>
      <c r="BB38" s="26" t="e">
        <f t="shared" ca="1" si="483"/>
        <v>#NAME?</v>
      </c>
      <c r="BC38" s="26" t="e">
        <f t="shared" ca="1" si="483"/>
        <v>#NAME?</v>
      </c>
      <c r="BD38" s="26" t="e">
        <f t="shared" ca="1" si="483"/>
        <v>#NAME?</v>
      </c>
      <c r="BE38" s="26" t="e">
        <f t="shared" ca="1" si="483"/>
        <v>#NAME?</v>
      </c>
      <c r="BF38" s="26" t="e">
        <f t="shared" ca="1" si="483"/>
        <v>#NAME?</v>
      </c>
      <c r="BG38" s="26" t="e">
        <f t="shared" ca="1" si="483"/>
        <v>#NAME?</v>
      </c>
      <c r="BH38" s="26" t="e">
        <f t="shared" ca="1" si="483"/>
        <v>#NAME?</v>
      </c>
      <c r="BI38" s="26" t="e">
        <f t="shared" ca="1" si="483"/>
        <v>#NAME?</v>
      </c>
      <c r="BJ38" s="26" t="e">
        <f t="shared" ca="1" si="483"/>
        <v>#NAME?</v>
      </c>
      <c r="BK38" s="26" t="e">
        <f t="shared" ca="1" si="483"/>
        <v>#NAME?</v>
      </c>
      <c r="BL38" s="26" t="e">
        <f t="shared" ca="1" si="483"/>
        <v>#NAME?</v>
      </c>
      <c r="BM38" s="26" t="e">
        <f t="shared" ca="1" si="483"/>
        <v>#NAME?</v>
      </c>
      <c r="BN38" s="26" t="e">
        <f t="shared" ca="1" si="483"/>
        <v>#NAME?</v>
      </c>
      <c r="BO38" s="26" t="e">
        <f t="shared" ca="1" si="483"/>
        <v>#NAME?</v>
      </c>
      <c r="BP38" s="26" t="e">
        <f t="shared" ca="1" si="483"/>
        <v>#NAME?</v>
      </c>
      <c r="BQ38" s="26" t="e">
        <f t="shared" ca="1" si="483"/>
        <v>#NAME?</v>
      </c>
      <c r="BR38" s="26" t="e">
        <f t="shared" ca="1" si="483"/>
        <v>#NAME?</v>
      </c>
      <c r="BS38" s="26" t="e">
        <f t="shared" ca="1" si="483"/>
        <v>#NAME?</v>
      </c>
      <c r="BT38" s="26" t="e">
        <f t="shared" ca="1" si="483"/>
        <v>#NAME?</v>
      </c>
      <c r="BU38" s="26" t="e">
        <f t="shared" ca="1" si="483"/>
        <v>#NAME?</v>
      </c>
      <c r="BV38" s="26" t="e">
        <f t="shared" ca="1" si="483"/>
        <v>#NAME?</v>
      </c>
      <c r="BW38" s="26" t="e">
        <f t="shared" ca="1" si="483"/>
        <v>#NAME?</v>
      </c>
      <c r="BX38" s="26" t="e">
        <f t="shared" ca="1" si="483"/>
        <v>#NAME?</v>
      </c>
      <c r="BY38" s="26" t="e">
        <f t="shared" ca="1" si="483"/>
        <v>#NAME?</v>
      </c>
      <c r="BZ38" s="26" t="e">
        <f t="shared" ca="1" si="483"/>
        <v>#NAME?</v>
      </c>
      <c r="CA38" s="26" t="e">
        <f t="shared" ca="1" si="483"/>
        <v>#NAME?</v>
      </c>
      <c r="CB38" s="26" t="e">
        <f t="shared" ca="1" si="483"/>
        <v>#NAME?</v>
      </c>
      <c r="CC38" s="26" t="e">
        <f t="shared" ca="1" si="483"/>
        <v>#NAME?</v>
      </c>
      <c r="CD38" s="26" t="e">
        <f t="shared" ca="1" si="483"/>
        <v>#NAME?</v>
      </c>
      <c r="CE38" s="26" t="e">
        <f t="shared" ref="CE38:CF38" ca="1" si="484">CE34+CE35-CE36</f>
        <v>#NAME?</v>
      </c>
      <c r="CF38" s="26" t="e">
        <f t="shared" ca="1" si="484"/>
        <v>#NAME?</v>
      </c>
      <c r="CG38" s="26" t="e">
        <f t="shared" ref="CG38:CH38" ca="1" si="485">CG34+CG35-CG36</f>
        <v>#NAME?</v>
      </c>
      <c r="CH38" s="26" t="e">
        <f t="shared" ca="1" si="485"/>
        <v>#NAME?</v>
      </c>
      <c r="CI38" s="26" t="e">
        <f t="shared" ref="CI38:CJ38" ca="1" si="486">CI34+CI35-CI36</f>
        <v>#NAME?</v>
      </c>
      <c r="CJ38" s="26" t="e">
        <f t="shared" ca="1" si="486"/>
        <v>#NAME?</v>
      </c>
      <c r="CK38" s="26" t="e">
        <f t="shared" ref="CK38:CL38" ca="1" si="487">CK34+CK35-CK36</f>
        <v>#NAME?</v>
      </c>
      <c r="CL38" s="26" t="e">
        <f t="shared" ca="1" si="487"/>
        <v>#NAME?</v>
      </c>
      <c r="CM38" s="27" t="e">
        <f t="shared" ref="CM38:DB38" ca="1" si="488">CM34+CM35-CM36</f>
        <v>#NAME?</v>
      </c>
      <c r="CN38" s="27" t="e">
        <f t="shared" ca="1" si="488"/>
        <v>#NAME?</v>
      </c>
      <c r="CO38" s="27" t="e">
        <f t="shared" ca="1" si="488"/>
        <v>#NAME?</v>
      </c>
      <c r="CP38" s="27" t="e">
        <f t="shared" ca="1" si="488"/>
        <v>#NAME?</v>
      </c>
      <c r="CQ38" s="27" t="e">
        <f t="shared" ca="1" si="488"/>
        <v>#NAME?</v>
      </c>
      <c r="CR38" s="27" t="e">
        <f t="shared" ca="1" si="488"/>
        <v>#NAME?</v>
      </c>
      <c r="CS38" s="27" t="e">
        <f t="shared" ca="1" si="488"/>
        <v>#NAME?</v>
      </c>
      <c r="CT38" s="27" t="e">
        <f t="shared" ca="1" si="488"/>
        <v>#NAME?</v>
      </c>
      <c r="CU38" s="27" t="e">
        <f t="shared" ca="1" si="488"/>
        <v>#NAME?</v>
      </c>
      <c r="CV38" s="27" t="e">
        <f t="shared" ca="1" si="488"/>
        <v>#NAME?</v>
      </c>
      <c r="CW38" s="27" t="e">
        <f t="shared" ca="1" si="488"/>
        <v>#NAME?</v>
      </c>
      <c r="CX38" s="27" t="e">
        <f t="shared" ca="1" si="488"/>
        <v>#NAME?</v>
      </c>
      <c r="CY38" s="27" t="e">
        <f t="shared" ca="1" si="488"/>
        <v>#NAME?</v>
      </c>
      <c r="CZ38" s="27" t="e">
        <f t="shared" ca="1" si="488"/>
        <v>#NAME?</v>
      </c>
      <c r="DA38" s="27" t="e">
        <f t="shared" ca="1" si="488"/>
        <v>#NAME?</v>
      </c>
      <c r="DB38" s="27" t="e">
        <f t="shared" ca="1" si="488"/>
        <v>#NAME?</v>
      </c>
      <c r="DE38" s="121"/>
      <c r="DF38" s="26">
        <v>4488.8700000000008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89">+CM38*CM40</f>
        <v>#NAME?</v>
      </c>
      <c r="CN39" s="24" t="e">
        <f t="shared" ca="1" si="489"/>
        <v>#NAME?</v>
      </c>
      <c r="CO39" s="24" t="e">
        <f t="shared" ca="1" si="489"/>
        <v>#NAME?</v>
      </c>
      <c r="CP39" s="24" t="e">
        <f t="shared" ca="1" si="489"/>
        <v>#NAME?</v>
      </c>
      <c r="CQ39" s="24" t="e">
        <f t="shared" ca="1" si="489"/>
        <v>#NAME?</v>
      </c>
      <c r="CR39" s="24" t="e">
        <f t="shared" ca="1" si="489"/>
        <v>#NAME?</v>
      </c>
      <c r="CS39" s="24" t="e">
        <f t="shared" ca="1" si="489"/>
        <v>#NAME?</v>
      </c>
      <c r="CT39" s="24" t="e">
        <f t="shared" ca="1" si="489"/>
        <v>#NAME?</v>
      </c>
      <c r="CU39" s="24" t="e">
        <f t="shared" ca="1" si="489"/>
        <v>#NAME?</v>
      </c>
      <c r="CV39" s="24" t="e">
        <f t="shared" ca="1" si="489"/>
        <v>#NAME?</v>
      </c>
      <c r="CW39" s="24" t="e">
        <f t="shared" ca="1" si="489"/>
        <v>#NAME?</v>
      </c>
      <c r="CX39" s="24" t="e">
        <f t="shared" ca="1" si="489"/>
        <v>#NAME?</v>
      </c>
      <c r="CY39" s="24" t="e">
        <f t="shared" ca="1" si="489"/>
        <v>#NAME?</v>
      </c>
      <c r="CZ39" s="24" t="e">
        <f t="shared" ca="1" si="489"/>
        <v>#NAME?</v>
      </c>
      <c r="DA39" s="24" t="e">
        <f t="shared" ca="1" si="489"/>
        <v>#NAME?</v>
      </c>
      <c r="DB39" s="24" t="e">
        <f t="shared" ca="1" si="489"/>
        <v>#NAME?</v>
      </c>
      <c r="DE39" s="123"/>
      <c r="DF39" s="23">
        <v>1065.05</v>
      </c>
    </row>
    <row r="40" spans="1:110" s="90" customFormat="1" x14ac:dyDescent="0.2">
      <c r="A40" s="90" t="s">
        <v>106</v>
      </c>
      <c r="B40" s="90" t="e">
        <f t="shared" ref="B40:E40" ca="1" si="490">B39/B38</f>
        <v>#NAME?</v>
      </c>
      <c r="C40" s="90" t="e">
        <f t="shared" ca="1" si="490"/>
        <v>#NAME?</v>
      </c>
      <c r="D40" s="90" t="e">
        <f t="shared" ca="1" si="490"/>
        <v>#NAME?</v>
      </c>
      <c r="E40" s="90" t="e">
        <f t="shared" ca="1" si="490"/>
        <v>#NAME?</v>
      </c>
      <c r="F40" s="90" t="e">
        <f t="shared" ref="F40:T40" ca="1" si="491">F39/F38</f>
        <v>#NAME?</v>
      </c>
      <c r="G40" s="90" t="e">
        <f t="shared" ca="1" si="491"/>
        <v>#NAME?</v>
      </c>
      <c r="H40" s="90" t="e">
        <f t="shared" ca="1" si="491"/>
        <v>#NAME?</v>
      </c>
      <c r="I40" s="90" t="e">
        <f t="shared" ca="1" si="491"/>
        <v>#NAME?</v>
      </c>
      <c r="J40" s="90" t="e">
        <f t="shared" ca="1" si="491"/>
        <v>#NAME?</v>
      </c>
      <c r="K40" s="90" t="e">
        <f t="shared" ca="1" si="491"/>
        <v>#NAME?</v>
      </c>
      <c r="L40" s="90" t="e">
        <f t="shared" ca="1" si="491"/>
        <v>#NAME?</v>
      </c>
      <c r="M40" s="90" t="e">
        <f t="shared" ca="1" si="491"/>
        <v>#NAME?</v>
      </c>
      <c r="N40" s="90" t="e">
        <f t="shared" ca="1" si="491"/>
        <v>#NAME?</v>
      </c>
      <c r="O40" s="90" t="e">
        <f t="shared" ca="1" si="491"/>
        <v>#NAME?</v>
      </c>
      <c r="P40" s="90" t="e">
        <f t="shared" ca="1" si="491"/>
        <v>#NAME?</v>
      </c>
      <c r="Q40" s="90" t="e">
        <f t="shared" ca="1" si="491"/>
        <v>#NAME?</v>
      </c>
      <c r="R40" s="90" t="e">
        <f t="shared" ca="1" si="491"/>
        <v>#NAME?</v>
      </c>
      <c r="S40" s="90" t="e">
        <f t="shared" ca="1" si="491"/>
        <v>#NAME?</v>
      </c>
      <c r="T40" s="90" t="e">
        <f t="shared" ca="1" si="491"/>
        <v>#NAME?</v>
      </c>
      <c r="U40" s="90" t="e">
        <f t="shared" ref="U40:Z40" ca="1" si="492">U39/U38</f>
        <v>#NAME?</v>
      </c>
      <c r="V40" s="90" t="e">
        <f t="shared" ca="1" si="492"/>
        <v>#NAME?</v>
      </c>
      <c r="W40" s="90" t="e">
        <f t="shared" ca="1" si="492"/>
        <v>#NAME?</v>
      </c>
      <c r="X40" s="90" t="e">
        <f t="shared" ca="1" si="492"/>
        <v>#NAME?</v>
      </c>
      <c r="Y40" s="90" t="e">
        <f t="shared" ca="1" si="492"/>
        <v>#NAME?</v>
      </c>
      <c r="Z40" s="90" t="e">
        <f t="shared" ca="1" si="492"/>
        <v>#NAME?</v>
      </c>
      <c r="AA40" s="90" t="e">
        <f t="shared" ref="AA40" ca="1" si="493">AA39/AA38</f>
        <v>#NAME?</v>
      </c>
      <c r="AB40" s="91" t="e">
        <f t="shared" ref="AA40:AD40" ca="1" si="494">AB39/AB38</f>
        <v>#NAME?</v>
      </c>
      <c r="AC40" s="91" t="e">
        <f t="shared" ca="1" si="494"/>
        <v>#NAME?</v>
      </c>
      <c r="AD40" s="91" t="e">
        <f t="shared" ca="1" si="494"/>
        <v>#NAME?</v>
      </c>
      <c r="AE40" s="91" t="e">
        <f t="shared" ref="AE40" ca="1" si="495">AE39/AE38</f>
        <v>#NAME?</v>
      </c>
      <c r="AI40" s="90" t="e">
        <f t="shared" ref="AI40" ca="1" si="496">AI39/AI38</f>
        <v>#NAME?</v>
      </c>
      <c r="AJ40" s="90" t="e">
        <f t="shared" ref="AJ40" ca="1" si="497">AJ39/AJ38</f>
        <v>#NAME?</v>
      </c>
      <c r="AK40" s="90" t="e">
        <f t="shared" ref="AK40:AM40" ca="1" si="498">AK39/AK38</f>
        <v>#NAME?</v>
      </c>
      <c r="AL40" s="90" t="e">
        <f t="shared" ca="1" si="498"/>
        <v>#NAME?</v>
      </c>
      <c r="AM40" s="90" t="e">
        <f t="shared" ca="1" si="498"/>
        <v>#NAME?</v>
      </c>
      <c r="AN40" s="90" t="e">
        <f t="shared" ref="AN40:AO40" ca="1" si="499">AN39/AN38</f>
        <v>#NAME?</v>
      </c>
      <c r="AO40" s="90" t="e">
        <f t="shared" ca="1" si="499"/>
        <v>#NAME?</v>
      </c>
      <c r="AP40" s="90" t="e">
        <f t="shared" ref="AP40:CD40" ca="1" si="500">AP39/AP38</f>
        <v>#NAME?</v>
      </c>
      <c r="AQ40" s="90" t="e">
        <f t="shared" ca="1" si="500"/>
        <v>#NAME?</v>
      </c>
      <c r="AR40" s="90" t="e">
        <f t="shared" ca="1" si="500"/>
        <v>#NAME?</v>
      </c>
      <c r="AS40" s="90" t="e">
        <f t="shared" ca="1" si="500"/>
        <v>#NAME?</v>
      </c>
      <c r="AT40" s="90" t="e">
        <f t="shared" ca="1" si="500"/>
        <v>#NAME?</v>
      </c>
      <c r="AU40" s="90" t="e">
        <f t="shared" ca="1" si="500"/>
        <v>#NAME?</v>
      </c>
      <c r="AV40" s="90" t="e">
        <f t="shared" ca="1" si="500"/>
        <v>#NAME?</v>
      </c>
      <c r="AW40" s="90" t="e">
        <f t="shared" ca="1" si="500"/>
        <v>#NAME?</v>
      </c>
      <c r="AX40" s="90" t="e">
        <f t="shared" ca="1" si="500"/>
        <v>#NAME?</v>
      </c>
      <c r="AY40" s="90" t="e">
        <f t="shared" ca="1" si="500"/>
        <v>#NAME?</v>
      </c>
      <c r="AZ40" s="90" t="e">
        <f t="shared" ca="1" si="500"/>
        <v>#NAME?</v>
      </c>
      <c r="BA40" s="90" t="e">
        <f t="shared" ca="1" si="500"/>
        <v>#NAME?</v>
      </c>
      <c r="BB40" s="90" t="e">
        <f t="shared" ca="1" si="500"/>
        <v>#NAME?</v>
      </c>
      <c r="BC40" s="90" t="e">
        <f t="shared" ca="1" si="500"/>
        <v>#NAME?</v>
      </c>
      <c r="BD40" s="90" t="e">
        <f t="shared" ca="1" si="500"/>
        <v>#NAME?</v>
      </c>
      <c r="BE40" s="90" t="e">
        <f t="shared" ca="1" si="500"/>
        <v>#NAME?</v>
      </c>
      <c r="BF40" s="90" t="e">
        <f t="shared" ca="1" si="500"/>
        <v>#NAME?</v>
      </c>
      <c r="BG40" s="90" t="e">
        <f t="shared" ca="1" si="500"/>
        <v>#NAME?</v>
      </c>
      <c r="BH40" s="90" t="e">
        <f t="shared" ca="1" si="500"/>
        <v>#NAME?</v>
      </c>
      <c r="BI40" s="90" t="e">
        <f t="shared" ca="1" si="500"/>
        <v>#NAME?</v>
      </c>
      <c r="BJ40" s="90" t="e">
        <f t="shared" ca="1" si="500"/>
        <v>#NAME?</v>
      </c>
      <c r="BK40" s="90" t="e">
        <f t="shared" ca="1" si="500"/>
        <v>#NAME?</v>
      </c>
      <c r="BL40" s="90" t="e">
        <f t="shared" ca="1" si="500"/>
        <v>#NAME?</v>
      </c>
      <c r="BM40" s="90" t="e">
        <f t="shared" ca="1" si="500"/>
        <v>#NAME?</v>
      </c>
      <c r="BN40" s="90" t="e">
        <f t="shared" ca="1" si="500"/>
        <v>#NAME?</v>
      </c>
      <c r="BO40" s="90" t="e">
        <f t="shared" ca="1" si="500"/>
        <v>#NAME?</v>
      </c>
      <c r="BP40" s="90" t="e">
        <f t="shared" ca="1" si="500"/>
        <v>#NAME?</v>
      </c>
      <c r="BQ40" s="90" t="e">
        <f t="shared" ca="1" si="500"/>
        <v>#NAME?</v>
      </c>
      <c r="BR40" s="90" t="e">
        <f t="shared" ca="1" si="500"/>
        <v>#NAME?</v>
      </c>
      <c r="BS40" s="90" t="e">
        <f t="shared" ca="1" si="500"/>
        <v>#NAME?</v>
      </c>
      <c r="BT40" s="90" t="e">
        <f t="shared" ca="1" si="500"/>
        <v>#NAME?</v>
      </c>
      <c r="BU40" s="90" t="e">
        <f t="shared" ca="1" si="500"/>
        <v>#NAME?</v>
      </c>
      <c r="BV40" s="90" t="e">
        <f t="shared" ca="1" si="500"/>
        <v>#NAME?</v>
      </c>
      <c r="BW40" s="90" t="e">
        <f t="shared" ca="1" si="500"/>
        <v>#NAME?</v>
      </c>
      <c r="BX40" s="90" t="e">
        <f t="shared" ca="1" si="500"/>
        <v>#NAME?</v>
      </c>
      <c r="BY40" s="90" t="e">
        <f t="shared" ca="1" si="500"/>
        <v>#NAME?</v>
      </c>
      <c r="BZ40" s="90" t="e">
        <f t="shared" ca="1" si="500"/>
        <v>#NAME?</v>
      </c>
      <c r="CA40" s="90" t="e">
        <f t="shared" ca="1" si="500"/>
        <v>#NAME?</v>
      </c>
      <c r="CB40" s="90" t="e">
        <f t="shared" ca="1" si="500"/>
        <v>#NAME?</v>
      </c>
      <c r="CC40" s="90" t="e">
        <f t="shared" ca="1" si="500"/>
        <v>#NAME?</v>
      </c>
      <c r="CD40" s="90" t="e">
        <f t="shared" ca="1" si="500"/>
        <v>#NAME?</v>
      </c>
      <c r="CE40" s="90" t="e">
        <f t="shared" ref="CE40:CF40" ca="1" si="501">CE39/CE38</f>
        <v>#NAME?</v>
      </c>
      <c r="CF40" s="90" t="e">
        <f t="shared" ca="1" si="501"/>
        <v>#NAME?</v>
      </c>
      <c r="CG40" s="90" t="e">
        <f t="shared" ref="CG40:CH40" ca="1" si="502">CG39/CG38</f>
        <v>#NAME?</v>
      </c>
      <c r="CH40" s="90" t="e">
        <f t="shared" ca="1" si="502"/>
        <v>#NAME?</v>
      </c>
      <c r="CI40" s="90" t="e">
        <f t="shared" ref="CI40:CJ40" ca="1" si="503">CI39/CI38</f>
        <v>#NAME?</v>
      </c>
      <c r="CJ40" s="90" t="e">
        <f t="shared" ca="1" si="503"/>
        <v>#NAME?</v>
      </c>
      <c r="CK40" s="90" t="e">
        <f t="shared" ref="CK40:CL40" ca="1" si="504">CK39/CK38</f>
        <v>#NAME?</v>
      </c>
      <c r="CL40" s="90" t="e">
        <f t="shared" ca="1" si="504"/>
        <v>#NAME?</v>
      </c>
      <c r="CM40" s="91" t="e">
        <f ca="1">AVERAGE(CI40:CL40)*1.1</f>
        <v>#NAME?</v>
      </c>
      <c r="CN40" s="91" t="e">
        <f t="shared" ref="CN40:CP40" ca="1" si="505">AVERAGE(CJ40:CM40)*1.1</f>
        <v>#NAME?</v>
      </c>
      <c r="CO40" s="91" t="e">
        <f t="shared" ca="1" si="505"/>
        <v>#NAME?</v>
      </c>
      <c r="CP40" s="91" t="e">
        <f t="shared" ca="1" si="505"/>
        <v>#NAME?</v>
      </c>
      <c r="CQ40" s="91" t="e">
        <f ca="1">AVERAGE(CM40:CP40)*1.09</f>
        <v>#NAME?</v>
      </c>
      <c r="CR40" s="91" t="e">
        <f t="shared" ref="CR40:CT40" ca="1" si="506">AVERAGE(CN40:CQ40)*1.09</f>
        <v>#NAME?</v>
      </c>
      <c r="CS40" s="91" t="e">
        <f t="shared" ca="1" si="506"/>
        <v>#NAME?</v>
      </c>
      <c r="CT40" s="91" t="e">
        <f t="shared" ca="1" si="506"/>
        <v>#NAME?</v>
      </c>
      <c r="CU40" s="91" t="e">
        <f t="shared" ref="CU40:DB40" ca="1" si="507">AVERAGE(CQ40:CT40)</f>
        <v>#NAME?</v>
      </c>
      <c r="CV40" s="91" t="e">
        <f t="shared" ca="1" si="507"/>
        <v>#NAME?</v>
      </c>
      <c r="CW40" s="91" t="e">
        <f t="shared" ca="1" si="507"/>
        <v>#NAME?</v>
      </c>
      <c r="CX40" s="91" t="e">
        <f t="shared" ca="1" si="507"/>
        <v>#NAME?</v>
      </c>
      <c r="CY40" s="91" t="e">
        <f t="shared" ca="1" si="507"/>
        <v>#NAME?</v>
      </c>
      <c r="CZ40" s="91" t="e">
        <f t="shared" ca="1" si="507"/>
        <v>#NAME?</v>
      </c>
      <c r="DA40" s="91" t="e">
        <f t="shared" ca="1" si="507"/>
        <v>#NAME?</v>
      </c>
      <c r="DB40" s="91" t="e">
        <f t="shared" ca="1" si="507"/>
        <v>#NAME?</v>
      </c>
      <c r="DE40" s="127"/>
      <c r="DF40" s="90">
        <v>0.2372646122520812</v>
      </c>
    </row>
    <row r="41" spans="1:110" s="26" customFormat="1" x14ac:dyDescent="0.2">
      <c r="A41" s="26" t="s">
        <v>22</v>
      </c>
      <c r="B41" s="26" t="e">
        <f t="shared" ref="B41:E41" ca="1" si="508">B38-B39</f>
        <v>#NAME?</v>
      </c>
      <c r="C41" s="26" t="e">
        <f t="shared" ca="1" si="508"/>
        <v>#NAME?</v>
      </c>
      <c r="D41" s="26" t="e">
        <f t="shared" ca="1" si="508"/>
        <v>#NAME?</v>
      </c>
      <c r="E41" s="26" t="e">
        <f t="shared" ca="1" si="508"/>
        <v>#NAME?</v>
      </c>
      <c r="F41" s="26" t="e">
        <f t="shared" ref="F41:T41" ca="1" si="509">F38-F39</f>
        <v>#NAME?</v>
      </c>
      <c r="G41" s="26" t="e">
        <f t="shared" ca="1" si="509"/>
        <v>#NAME?</v>
      </c>
      <c r="H41" s="26" t="e">
        <f t="shared" ca="1" si="509"/>
        <v>#NAME?</v>
      </c>
      <c r="I41" s="26" t="e">
        <f t="shared" ca="1" si="509"/>
        <v>#NAME?</v>
      </c>
      <c r="J41" s="26" t="e">
        <f t="shared" ca="1" si="509"/>
        <v>#NAME?</v>
      </c>
      <c r="K41" s="26" t="e">
        <f t="shared" ca="1" si="509"/>
        <v>#NAME?</v>
      </c>
      <c r="L41" s="26" t="e">
        <f t="shared" ca="1" si="509"/>
        <v>#NAME?</v>
      </c>
      <c r="M41" s="26" t="e">
        <f t="shared" ca="1" si="509"/>
        <v>#NAME?</v>
      </c>
      <c r="N41" s="26" t="e">
        <f t="shared" ca="1" si="509"/>
        <v>#NAME?</v>
      </c>
      <c r="O41" s="26" t="e">
        <f t="shared" ca="1" si="509"/>
        <v>#NAME?</v>
      </c>
      <c r="P41" s="26" t="e">
        <f t="shared" ca="1" si="509"/>
        <v>#NAME?</v>
      </c>
      <c r="Q41" s="26" t="e">
        <f t="shared" ca="1" si="509"/>
        <v>#NAME?</v>
      </c>
      <c r="R41" s="26" t="e">
        <f t="shared" ca="1" si="509"/>
        <v>#NAME?</v>
      </c>
      <c r="S41" s="26" t="e">
        <f t="shared" ca="1" si="509"/>
        <v>#NAME?</v>
      </c>
      <c r="T41" s="26" t="e">
        <f t="shared" ca="1" si="509"/>
        <v>#NAME?</v>
      </c>
      <c r="U41" s="26" t="e">
        <f t="shared" ref="U41:Z41" ca="1" si="510">U38-U39</f>
        <v>#NAME?</v>
      </c>
      <c r="V41" s="26" t="e">
        <f t="shared" ca="1" si="510"/>
        <v>#NAME?</v>
      </c>
      <c r="W41" s="26" t="e">
        <f t="shared" ca="1" si="510"/>
        <v>#NAME?</v>
      </c>
      <c r="X41" s="26" t="e">
        <f t="shared" ca="1" si="510"/>
        <v>#NAME?</v>
      </c>
      <c r="Y41" s="26" t="e">
        <f t="shared" ca="1" si="510"/>
        <v>#NAME?</v>
      </c>
      <c r="Z41" s="26" t="e">
        <f t="shared" ca="1" si="510"/>
        <v>#NAME?</v>
      </c>
      <c r="AA41" s="26" t="e">
        <f t="shared" ref="AA41" ca="1" si="511">AA38-AA39</f>
        <v>#NAME?</v>
      </c>
      <c r="AB41" s="27" t="e">
        <f t="shared" ref="AA41:AD41" ca="1" si="512">AB38-AB39</f>
        <v>#NAME?</v>
      </c>
      <c r="AC41" s="27" t="e">
        <f t="shared" ca="1" si="512"/>
        <v>#NAME?</v>
      </c>
      <c r="AD41" s="27" t="e">
        <f t="shared" ca="1" si="512"/>
        <v>#NAME?</v>
      </c>
      <c r="AE41" s="27" t="e">
        <f t="shared" ref="AE41" ca="1" si="513">AE38-AE39</f>
        <v>#NAME?</v>
      </c>
      <c r="AI41" s="26" t="e">
        <f ca="1">AI38-AI39</f>
        <v>#NAME?</v>
      </c>
      <c r="AJ41" s="26" t="e">
        <f t="shared" ref="AJ41" ca="1" si="514">AJ38-AJ39</f>
        <v>#NAME?</v>
      </c>
      <c r="AK41" s="26" t="e">
        <f t="shared" ref="AK41:AM41" ca="1" si="515">AK38-AK39</f>
        <v>#NAME?</v>
      </c>
      <c r="AL41" s="26" t="e">
        <f t="shared" ca="1" si="515"/>
        <v>#NAME?</v>
      </c>
      <c r="AM41" s="26" t="e">
        <f t="shared" ca="1" si="515"/>
        <v>#NAME?</v>
      </c>
      <c r="AN41" s="26" t="e">
        <f t="shared" ref="AN41:AO41" ca="1" si="516">AN38-AN39</f>
        <v>#NAME?</v>
      </c>
      <c r="AO41" s="26" t="e">
        <f t="shared" ca="1" si="516"/>
        <v>#NAME?</v>
      </c>
      <c r="AP41" s="26" t="e">
        <f t="shared" ref="AP41:CD41" ca="1" si="517">AP38-AP39</f>
        <v>#NAME?</v>
      </c>
      <c r="AQ41" s="26" t="e">
        <f t="shared" ca="1" si="517"/>
        <v>#NAME?</v>
      </c>
      <c r="AR41" s="26" t="e">
        <f t="shared" ca="1" si="517"/>
        <v>#NAME?</v>
      </c>
      <c r="AS41" s="26" t="e">
        <f t="shared" ca="1" si="517"/>
        <v>#NAME?</v>
      </c>
      <c r="AT41" s="26" t="e">
        <f t="shared" ca="1" si="517"/>
        <v>#NAME?</v>
      </c>
      <c r="AU41" s="26" t="e">
        <f t="shared" ca="1" si="517"/>
        <v>#NAME?</v>
      </c>
      <c r="AV41" s="26" t="e">
        <f t="shared" ca="1" si="517"/>
        <v>#NAME?</v>
      </c>
      <c r="AW41" s="26" t="e">
        <f t="shared" ca="1" si="517"/>
        <v>#NAME?</v>
      </c>
      <c r="AX41" s="26" t="e">
        <f t="shared" ca="1" si="517"/>
        <v>#NAME?</v>
      </c>
      <c r="AY41" s="26" t="e">
        <f t="shared" ca="1" si="517"/>
        <v>#NAME?</v>
      </c>
      <c r="AZ41" s="26" t="e">
        <f t="shared" ca="1" si="517"/>
        <v>#NAME?</v>
      </c>
      <c r="BA41" s="26" t="e">
        <f t="shared" ca="1" si="517"/>
        <v>#NAME?</v>
      </c>
      <c r="BB41" s="26" t="e">
        <f t="shared" ca="1" si="517"/>
        <v>#NAME?</v>
      </c>
      <c r="BC41" s="26" t="e">
        <f t="shared" ca="1" si="517"/>
        <v>#NAME?</v>
      </c>
      <c r="BD41" s="26" t="e">
        <f t="shared" ca="1" si="517"/>
        <v>#NAME?</v>
      </c>
      <c r="BE41" s="26" t="e">
        <f t="shared" ca="1" si="517"/>
        <v>#NAME?</v>
      </c>
      <c r="BF41" s="26" t="e">
        <f t="shared" ca="1" si="517"/>
        <v>#NAME?</v>
      </c>
      <c r="BG41" s="26" t="e">
        <f t="shared" ca="1" si="517"/>
        <v>#NAME?</v>
      </c>
      <c r="BH41" s="26" t="e">
        <f t="shared" ca="1" si="517"/>
        <v>#NAME?</v>
      </c>
      <c r="BI41" s="26" t="e">
        <f t="shared" ca="1" si="517"/>
        <v>#NAME?</v>
      </c>
      <c r="BJ41" s="26" t="e">
        <f t="shared" ca="1" si="517"/>
        <v>#NAME?</v>
      </c>
      <c r="BK41" s="26" t="e">
        <f t="shared" ca="1" si="517"/>
        <v>#NAME?</v>
      </c>
      <c r="BL41" s="26" t="e">
        <f t="shared" ca="1" si="517"/>
        <v>#NAME?</v>
      </c>
      <c r="BM41" s="26" t="e">
        <f t="shared" ca="1" si="517"/>
        <v>#NAME?</v>
      </c>
      <c r="BN41" s="26" t="e">
        <f t="shared" ca="1" si="517"/>
        <v>#NAME?</v>
      </c>
      <c r="BO41" s="26" t="e">
        <f t="shared" ca="1" si="517"/>
        <v>#NAME?</v>
      </c>
      <c r="BP41" s="26" t="e">
        <f t="shared" ca="1" si="517"/>
        <v>#NAME?</v>
      </c>
      <c r="BQ41" s="26" t="e">
        <f t="shared" ca="1" si="517"/>
        <v>#NAME?</v>
      </c>
      <c r="BR41" s="26" t="e">
        <f t="shared" ca="1" si="517"/>
        <v>#NAME?</v>
      </c>
      <c r="BS41" s="26" t="e">
        <f t="shared" ca="1" si="517"/>
        <v>#NAME?</v>
      </c>
      <c r="BT41" s="26" t="e">
        <f t="shared" ca="1" si="517"/>
        <v>#NAME?</v>
      </c>
      <c r="BU41" s="26" t="e">
        <f t="shared" ca="1" si="517"/>
        <v>#NAME?</v>
      </c>
      <c r="BV41" s="26" t="e">
        <f t="shared" ca="1" si="517"/>
        <v>#NAME?</v>
      </c>
      <c r="BW41" s="26" t="e">
        <f t="shared" ca="1" si="517"/>
        <v>#NAME?</v>
      </c>
      <c r="BX41" s="26" t="e">
        <f t="shared" ca="1" si="517"/>
        <v>#NAME?</v>
      </c>
      <c r="BY41" s="26" t="e">
        <f t="shared" ca="1" si="517"/>
        <v>#NAME?</v>
      </c>
      <c r="BZ41" s="26" t="e">
        <f t="shared" ca="1" si="517"/>
        <v>#NAME?</v>
      </c>
      <c r="CA41" s="26" t="e">
        <f t="shared" ca="1" si="517"/>
        <v>#NAME?</v>
      </c>
      <c r="CB41" s="26" t="e">
        <f t="shared" ca="1" si="517"/>
        <v>#NAME?</v>
      </c>
      <c r="CC41" s="26" t="e">
        <f t="shared" ca="1" si="517"/>
        <v>#NAME?</v>
      </c>
      <c r="CD41" s="26" t="e">
        <f t="shared" ca="1" si="517"/>
        <v>#NAME?</v>
      </c>
      <c r="CE41" s="26" t="e">
        <f t="shared" ref="CE41:CF41" ca="1" si="518">CE38-CE39</f>
        <v>#NAME?</v>
      </c>
      <c r="CF41" s="26" t="e">
        <f t="shared" ca="1" si="518"/>
        <v>#NAME?</v>
      </c>
      <c r="CG41" s="26" t="e">
        <f t="shared" ref="CG41:CH41" ca="1" si="519">CG38-CG39</f>
        <v>#NAME?</v>
      </c>
      <c r="CH41" s="26" t="e">
        <f t="shared" ca="1" si="519"/>
        <v>#NAME?</v>
      </c>
      <c r="CI41" s="26" t="e">
        <f t="shared" ref="CI41:CJ41" ca="1" si="520">CI38-CI39</f>
        <v>#NAME?</v>
      </c>
      <c r="CJ41" s="26" t="e">
        <f t="shared" ca="1" si="520"/>
        <v>#NAME?</v>
      </c>
      <c r="CK41" s="26" t="e">
        <f t="shared" ref="CK41:CL41" ca="1" si="521">CK38-CK39</f>
        <v>#NAME?</v>
      </c>
      <c r="CL41" s="26" t="e">
        <f t="shared" ca="1" si="521"/>
        <v>#NAME?</v>
      </c>
      <c r="CM41" s="27" t="e">
        <f t="shared" ref="CM41:DB41" ca="1" si="522">CM38-CM39</f>
        <v>#NAME?</v>
      </c>
      <c r="CN41" s="27" t="e">
        <f t="shared" ca="1" si="522"/>
        <v>#NAME?</v>
      </c>
      <c r="CO41" s="27" t="e">
        <f t="shared" ca="1" si="522"/>
        <v>#NAME?</v>
      </c>
      <c r="CP41" s="27" t="e">
        <f t="shared" ca="1" si="522"/>
        <v>#NAME?</v>
      </c>
      <c r="CQ41" s="27" t="e">
        <f t="shared" ca="1" si="522"/>
        <v>#NAME?</v>
      </c>
      <c r="CR41" s="27" t="e">
        <f t="shared" ca="1" si="522"/>
        <v>#NAME?</v>
      </c>
      <c r="CS41" s="27" t="e">
        <f t="shared" ca="1" si="522"/>
        <v>#NAME?</v>
      </c>
      <c r="CT41" s="27" t="e">
        <f t="shared" ca="1" si="522"/>
        <v>#NAME?</v>
      </c>
      <c r="CU41" s="27" t="e">
        <f t="shared" ca="1" si="522"/>
        <v>#NAME?</v>
      </c>
      <c r="CV41" s="27" t="e">
        <f t="shared" ca="1" si="522"/>
        <v>#NAME?</v>
      </c>
      <c r="CW41" s="27" t="e">
        <f t="shared" ca="1" si="522"/>
        <v>#NAME?</v>
      </c>
      <c r="CX41" s="27" t="e">
        <f t="shared" ca="1" si="522"/>
        <v>#NAME?</v>
      </c>
      <c r="CY41" s="27" t="e">
        <f t="shared" ca="1" si="522"/>
        <v>#NAME?</v>
      </c>
      <c r="CZ41" s="27" t="e">
        <f t="shared" ca="1" si="522"/>
        <v>#NAME?</v>
      </c>
      <c r="DA41" s="27" t="e">
        <f t="shared" ca="1" si="522"/>
        <v>#NAME?</v>
      </c>
      <c r="DB41" s="27" t="e">
        <f t="shared" ca="1" si="522"/>
        <v>#NAME?</v>
      </c>
      <c r="DE41" s="121"/>
      <c r="DF41" s="26">
        <v>3423.8200000000006</v>
      </c>
    </row>
    <row r="42" spans="1:110" s="45" customFormat="1" x14ac:dyDescent="0.2">
      <c r="A42" s="45" t="s">
        <v>107</v>
      </c>
      <c r="B42" s="45" t="e">
        <f t="shared" ref="B42:E42" ca="1" si="523">+B41/B10</f>
        <v>#NAME?</v>
      </c>
      <c r="C42" s="45" t="e">
        <f t="shared" ca="1" si="523"/>
        <v>#NAME?</v>
      </c>
      <c r="D42" s="45" t="e">
        <f t="shared" ca="1" si="523"/>
        <v>#NAME?</v>
      </c>
      <c r="E42" s="45" t="e">
        <f t="shared" ca="1" si="523"/>
        <v>#NAME?</v>
      </c>
      <c r="F42" s="45" t="e">
        <f t="shared" ref="F42:AE42" ca="1" si="524">+F41/F10</f>
        <v>#NAME?</v>
      </c>
      <c r="G42" s="45" t="e">
        <f t="shared" ca="1" si="524"/>
        <v>#NAME?</v>
      </c>
      <c r="H42" s="45" t="e">
        <f t="shared" ca="1" si="524"/>
        <v>#NAME?</v>
      </c>
      <c r="I42" s="45" t="e">
        <f t="shared" ca="1" si="524"/>
        <v>#NAME?</v>
      </c>
      <c r="J42" s="45" t="e">
        <f t="shared" ca="1" si="524"/>
        <v>#NAME?</v>
      </c>
      <c r="K42" s="45" t="e">
        <f t="shared" ca="1" si="524"/>
        <v>#NAME?</v>
      </c>
      <c r="L42" s="45" t="e">
        <f t="shared" ca="1" si="524"/>
        <v>#NAME?</v>
      </c>
      <c r="M42" s="45" t="e">
        <f t="shared" ca="1" si="524"/>
        <v>#NAME?</v>
      </c>
      <c r="N42" s="45" t="e">
        <f t="shared" ca="1" si="524"/>
        <v>#NAME?</v>
      </c>
      <c r="O42" s="45" t="e">
        <f t="shared" ca="1" si="524"/>
        <v>#NAME?</v>
      </c>
      <c r="P42" s="45" t="e">
        <f t="shared" ca="1" si="524"/>
        <v>#NAME?</v>
      </c>
      <c r="Q42" s="45" t="e">
        <f t="shared" ca="1" si="524"/>
        <v>#NAME?</v>
      </c>
      <c r="R42" s="45" t="e">
        <f t="shared" ca="1" si="524"/>
        <v>#NAME?</v>
      </c>
      <c r="S42" s="45" t="e">
        <f t="shared" ca="1" si="524"/>
        <v>#NAME?</v>
      </c>
      <c r="T42" s="45" t="e">
        <f t="shared" ca="1" si="524"/>
        <v>#NAME?</v>
      </c>
      <c r="U42" s="45" t="e">
        <f t="shared" ca="1" si="524"/>
        <v>#NAME?</v>
      </c>
      <c r="V42" s="45" t="e">
        <f t="shared" ca="1" si="524"/>
        <v>#NAME?</v>
      </c>
      <c r="W42" s="45" t="e">
        <f t="shared" ca="1" si="524"/>
        <v>#NAME?</v>
      </c>
      <c r="X42" s="45" t="e">
        <f t="shared" ca="1" si="524"/>
        <v>#NAME?</v>
      </c>
      <c r="Y42" s="45" t="e">
        <f t="shared" ca="1" si="524"/>
        <v>#NAME?</v>
      </c>
      <c r="Z42" s="45" t="e">
        <f t="shared" ref="Z42:AA42" ca="1" si="525">+Z41/Z10</f>
        <v>#NAME?</v>
      </c>
      <c r="AA42" s="45" t="e">
        <f t="shared" ca="1" si="525"/>
        <v>#NAME?</v>
      </c>
      <c r="AB42" s="48" t="e">
        <f t="shared" ca="1" si="524"/>
        <v>#NAME?</v>
      </c>
      <c r="AC42" s="48" t="e">
        <f t="shared" ca="1" si="524"/>
        <v>#NAME?</v>
      </c>
      <c r="AD42" s="48" t="e">
        <f t="shared" ca="1" si="524"/>
        <v>#NAME?</v>
      </c>
      <c r="AE42" s="48" t="e">
        <f t="shared" ca="1" si="524"/>
        <v>#NAME?</v>
      </c>
      <c r="AI42" s="45" t="e">
        <f t="shared" ref="AI42:BN42" ca="1" si="526">+AI41/AI10</f>
        <v>#NAME?</v>
      </c>
      <c r="AJ42" s="45" t="e">
        <f t="shared" ca="1" si="526"/>
        <v>#NAME?</v>
      </c>
      <c r="AK42" s="45" t="e">
        <f t="shared" ca="1" si="526"/>
        <v>#NAME?</v>
      </c>
      <c r="AL42" s="45" t="e">
        <f t="shared" ca="1" si="526"/>
        <v>#NAME?</v>
      </c>
      <c r="AM42" s="45" t="e">
        <f t="shared" ca="1" si="526"/>
        <v>#NAME?</v>
      </c>
      <c r="AN42" s="45" t="e">
        <f t="shared" ca="1" si="526"/>
        <v>#NAME?</v>
      </c>
      <c r="AO42" s="45" t="e">
        <f t="shared" ca="1" si="526"/>
        <v>#NAME?</v>
      </c>
      <c r="AP42" s="45" t="e">
        <f t="shared" ca="1" si="526"/>
        <v>#NAME?</v>
      </c>
      <c r="AQ42" s="45" t="e">
        <f t="shared" ca="1" si="526"/>
        <v>#NAME?</v>
      </c>
      <c r="AR42" s="45" t="e">
        <f t="shared" ca="1" si="526"/>
        <v>#NAME?</v>
      </c>
      <c r="AS42" s="45" t="e">
        <f t="shared" ca="1" si="526"/>
        <v>#NAME?</v>
      </c>
      <c r="AT42" s="45" t="e">
        <f t="shared" ca="1" si="526"/>
        <v>#NAME?</v>
      </c>
      <c r="AU42" s="45" t="e">
        <f t="shared" ca="1" si="526"/>
        <v>#NAME?</v>
      </c>
      <c r="AV42" s="45" t="e">
        <f t="shared" ca="1" si="526"/>
        <v>#NAME?</v>
      </c>
      <c r="AW42" s="45" t="e">
        <f t="shared" ca="1" si="526"/>
        <v>#NAME?</v>
      </c>
      <c r="AX42" s="45" t="e">
        <f t="shared" ca="1" si="526"/>
        <v>#NAME?</v>
      </c>
      <c r="AY42" s="45" t="e">
        <f t="shared" ca="1" si="526"/>
        <v>#NAME?</v>
      </c>
      <c r="AZ42" s="45" t="e">
        <f t="shared" ca="1" si="526"/>
        <v>#NAME?</v>
      </c>
      <c r="BA42" s="45" t="e">
        <f t="shared" ca="1" si="526"/>
        <v>#NAME?</v>
      </c>
      <c r="BB42" s="45" t="e">
        <f t="shared" ca="1" si="526"/>
        <v>#NAME?</v>
      </c>
      <c r="BC42" s="45" t="e">
        <f t="shared" ca="1" si="526"/>
        <v>#NAME?</v>
      </c>
      <c r="BD42" s="45" t="e">
        <f t="shared" ca="1" si="526"/>
        <v>#NAME?</v>
      </c>
      <c r="BE42" s="45" t="e">
        <f t="shared" ca="1" si="526"/>
        <v>#NAME?</v>
      </c>
      <c r="BF42" s="45" t="e">
        <f t="shared" ca="1" si="526"/>
        <v>#NAME?</v>
      </c>
      <c r="BG42" s="45" t="e">
        <f t="shared" ca="1" si="526"/>
        <v>#NAME?</v>
      </c>
      <c r="BH42" s="45" t="e">
        <f t="shared" ca="1" si="526"/>
        <v>#NAME?</v>
      </c>
      <c r="BI42" s="45" t="e">
        <f t="shared" ca="1" si="526"/>
        <v>#NAME?</v>
      </c>
      <c r="BJ42" s="45" t="e">
        <f t="shared" ca="1" si="526"/>
        <v>#NAME?</v>
      </c>
      <c r="BK42" s="45" t="e">
        <f t="shared" ca="1" si="526"/>
        <v>#NAME?</v>
      </c>
      <c r="BL42" s="45" t="e">
        <f t="shared" ca="1" si="526"/>
        <v>#NAME?</v>
      </c>
      <c r="BM42" s="45" t="e">
        <f t="shared" ca="1" si="526"/>
        <v>#NAME?</v>
      </c>
      <c r="BN42" s="45" t="e">
        <f t="shared" ca="1" si="526"/>
        <v>#NAME?</v>
      </c>
      <c r="BO42" s="45" t="e">
        <f t="shared" ref="BO42:CT42" ca="1" si="527">+BO41/BO10</f>
        <v>#NAME?</v>
      </c>
      <c r="BP42" s="45" t="e">
        <f t="shared" ca="1" si="527"/>
        <v>#NAME?</v>
      </c>
      <c r="BQ42" s="45" t="e">
        <f t="shared" ca="1" si="527"/>
        <v>#NAME?</v>
      </c>
      <c r="BR42" s="45" t="e">
        <f t="shared" ca="1" si="527"/>
        <v>#NAME?</v>
      </c>
      <c r="BS42" s="45" t="e">
        <f t="shared" ca="1" si="527"/>
        <v>#NAME?</v>
      </c>
      <c r="BT42" s="45" t="e">
        <f t="shared" ca="1" si="527"/>
        <v>#NAME?</v>
      </c>
      <c r="BU42" s="45" t="e">
        <f t="shared" ca="1" si="527"/>
        <v>#NAME?</v>
      </c>
      <c r="BV42" s="45" t="e">
        <f t="shared" ca="1" si="527"/>
        <v>#NAME?</v>
      </c>
      <c r="BW42" s="45" t="e">
        <f t="shared" ca="1" si="527"/>
        <v>#NAME?</v>
      </c>
      <c r="BX42" s="45" t="e">
        <f t="shared" ca="1" si="527"/>
        <v>#NAME?</v>
      </c>
      <c r="BY42" s="45" t="e">
        <f t="shared" ca="1" si="527"/>
        <v>#NAME?</v>
      </c>
      <c r="BZ42" s="45" t="e">
        <f t="shared" ca="1" si="527"/>
        <v>#NAME?</v>
      </c>
      <c r="CA42" s="45" t="e">
        <f t="shared" ca="1" si="527"/>
        <v>#NAME?</v>
      </c>
      <c r="CB42" s="45" t="e">
        <f t="shared" ca="1" si="527"/>
        <v>#NAME?</v>
      </c>
      <c r="CC42" s="45" t="e">
        <f t="shared" ca="1" si="527"/>
        <v>#NAME?</v>
      </c>
      <c r="CD42" s="45" t="e">
        <f t="shared" ca="1" si="527"/>
        <v>#NAME?</v>
      </c>
      <c r="CE42" s="45" t="e">
        <f t="shared" ca="1" si="527"/>
        <v>#NAME?</v>
      </c>
      <c r="CF42" s="45" t="e">
        <f t="shared" ca="1" si="527"/>
        <v>#NAME?</v>
      </c>
      <c r="CG42" s="45" t="e">
        <f t="shared" ca="1" si="527"/>
        <v>#NAME?</v>
      </c>
      <c r="CH42" s="45" t="e">
        <f t="shared" ca="1" si="527"/>
        <v>#NAME?</v>
      </c>
      <c r="CI42" s="45" t="e">
        <f t="shared" ref="CI42:CJ42" ca="1" si="528">+CI41/CI10</f>
        <v>#NAME?</v>
      </c>
      <c r="CJ42" s="45" t="e">
        <f t="shared" ca="1" si="528"/>
        <v>#NAME?</v>
      </c>
      <c r="CK42" s="45" t="e">
        <f t="shared" ref="CK42:CL42" ca="1" si="529">+CK41/CK10</f>
        <v>#NAME?</v>
      </c>
      <c r="CL42" s="45" t="e">
        <f t="shared" ca="1" si="529"/>
        <v>#NAME?</v>
      </c>
      <c r="CM42" s="48" t="e">
        <f t="shared" ca="1" si="527"/>
        <v>#NAME?</v>
      </c>
      <c r="CN42" s="48" t="e">
        <f t="shared" ca="1" si="527"/>
        <v>#NAME?</v>
      </c>
      <c r="CO42" s="48" t="e">
        <f t="shared" ca="1" si="527"/>
        <v>#NAME?</v>
      </c>
      <c r="CP42" s="48" t="e">
        <f t="shared" ca="1" si="527"/>
        <v>#NAME?</v>
      </c>
      <c r="CQ42" s="48" t="e">
        <f t="shared" ca="1" si="527"/>
        <v>#NAME?</v>
      </c>
      <c r="CR42" s="48" t="e">
        <f t="shared" ca="1" si="527"/>
        <v>#NAME?</v>
      </c>
      <c r="CS42" s="48" t="e">
        <f t="shared" ca="1" si="527"/>
        <v>#NAME?</v>
      </c>
      <c r="CT42" s="48" t="e">
        <f t="shared" ca="1" si="527"/>
        <v>#NAME?</v>
      </c>
      <c r="CU42" s="48" t="e">
        <f t="shared" ref="CU42:DB42" ca="1" si="530">+CU41/CU10</f>
        <v>#NAME?</v>
      </c>
      <c r="CV42" s="48" t="e">
        <f t="shared" ca="1" si="530"/>
        <v>#NAME?</v>
      </c>
      <c r="CW42" s="48" t="e">
        <f t="shared" ca="1" si="530"/>
        <v>#NAME?</v>
      </c>
      <c r="CX42" s="48" t="e">
        <f t="shared" ca="1" si="530"/>
        <v>#NAME?</v>
      </c>
      <c r="CY42" s="48" t="e">
        <f t="shared" ca="1" si="530"/>
        <v>#NAME?</v>
      </c>
      <c r="CZ42" s="48" t="e">
        <f t="shared" ca="1" si="530"/>
        <v>#NAME?</v>
      </c>
      <c r="DA42" s="48" t="e">
        <f t="shared" ca="1" si="530"/>
        <v>#NAME?</v>
      </c>
      <c r="DB42" s="48" t="e">
        <f t="shared" ca="1" si="530"/>
        <v>#NAME?</v>
      </c>
      <c r="DE42" s="129"/>
      <c r="DF42" s="45">
        <v>0.14786781028391768</v>
      </c>
    </row>
    <row r="43" spans="1:110" s="39" customFormat="1" x14ac:dyDescent="0.2">
      <c r="A43" s="39" t="s">
        <v>451</v>
      </c>
      <c r="C43" s="39" t="e">
        <f t="shared" ref="C43:E43" ca="1" si="531">+IF(B41&lt;0,1-C41/B41,C41/B41-1)</f>
        <v>#NAME?</v>
      </c>
      <c r="D43" s="39" t="e">
        <f t="shared" ca="1" si="531"/>
        <v>#NAME?</v>
      </c>
      <c r="E43" s="39" t="e">
        <f t="shared" ca="1" si="531"/>
        <v>#NAME?</v>
      </c>
      <c r="F43" s="39" t="e">
        <f t="shared" ref="F43:AE43" ca="1" si="532">+IF(E41&lt;0,1-F41/E41,F41/E41-1)</f>
        <v>#NAME?</v>
      </c>
      <c r="G43" s="39" t="e">
        <f t="shared" ca="1" si="532"/>
        <v>#NAME?</v>
      </c>
      <c r="H43" s="39" t="e">
        <f t="shared" ca="1" si="532"/>
        <v>#NAME?</v>
      </c>
      <c r="I43" s="39" t="e">
        <f t="shared" ca="1" si="532"/>
        <v>#NAME?</v>
      </c>
      <c r="J43" s="39" t="e">
        <f t="shared" ca="1" si="532"/>
        <v>#NAME?</v>
      </c>
      <c r="K43" s="39" t="e">
        <f t="shared" ca="1" si="532"/>
        <v>#NAME?</v>
      </c>
      <c r="L43" s="39" t="e">
        <f t="shared" ca="1" si="532"/>
        <v>#NAME?</v>
      </c>
      <c r="M43" s="39" t="e">
        <f t="shared" ca="1" si="532"/>
        <v>#NAME?</v>
      </c>
      <c r="N43" s="39" t="e">
        <f t="shared" ca="1" si="532"/>
        <v>#NAME?</v>
      </c>
      <c r="O43" s="39" t="e">
        <f t="shared" ca="1" si="532"/>
        <v>#NAME?</v>
      </c>
      <c r="P43" s="39" t="e">
        <f t="shared" ca="1" si="532"/>
        <v>#NAME?</v>
      </c>
      <c r="Q43" s="39" t="e">
        <f t="shared" ca="1" si="532"/>
        <v>#NAME?</v>
      </c>
      <c r="R43" s="39" t="e">
        <f t="shared" ca="1" si="532"/>
        <v>#NAME?</v>
      </c>
      <c r="S43" s="39" t="e">
        <f t="shared" ca="1" si="532"/>
        <v>#NAME?</v>
      </c>
      <c r="T43" s="39" t="e">
        <f t="shared" ca="1" si="532"/>
        <v>#NAME?</v>
      </c>
      <c r="U43" s="39" t="e">
        <f t="shared" ca="1" si="532"/>
        <v>#NAME?</v>
      </c>
      <c r="V43" s="39" t="e">
        <f t="shared" ca="1" si="532"/>
        <v>#NAME?</v>
      </c>
      <c r="W43" s="39" t="e">
        <f t="shared" ca="1" si="532"/>
        <v>#NAME?</v>
      </c>
      <c r="X43" s="39" t="e">
        <f t="shared" ca="1" si="532"/>
        <v>#NAME?</v>
      </c>
      <c r="Y43" s="39" t="e">
        <f t="shared" ca="1" si="532"/>
        <v>#NAME?</v>
      </c>
      <c r="Z43" s="39" t="e">
        <f t="shared" ref="Z43:AA43" ca="1" si="533">+IF(Y41&lt;0,1-Z41/Y41,Z41/Y41-1)</f>
        <v>#NAME?</v>
      </c>
      <c r="AA43" s="39" t="e">
        <f t="shared" ca="1" si="533"/>
        <v>#NAME?</v>
      </c>
      <c r="AB43" s="40" t="e">
        <f t="shared" ca="1" si="532"/>
        <v>#NAME?</v>
      </c>
      <c r="AC43" s="40" t="e">
        <f t="shared" ca="1" si="532"/>
        <v>#NAME?</v>
      </c>
      <c r="AD43" s="40" t="e">
        <f t="shared" ca="1" si="532"/>
        <v>#NAME?</v>
      </c>
      <c r="AE43" s="40" t="e">
        <f t="shared" ca="1" si="532"/>
        <v>#NAME?</v>
      </c>
      <c r="AM43" s="39" t="e">
        <f ca="1">+IF(AI41&lt;0,1-AM41/AI41,AM41/AI41-1)</f>
        <v>#NAME?</v>
      </c>
      <c r="AN43" s="39" t="e">
        <f t="shared" ref="AN43" ca="1" si="534">+IF(AJ41&lt;0,1-AN41/AJ41,AN41/AJ41-1)</f>
        <v>#NAME?</v>
      </c>
      <c r="AO43" s="39" t="e">
        <f t="shared" ref="AO43" ca="1" si="535">+IF(AK41&lt;0,1-AO41/AK41,AO41/AK41-1)</f>
        <v>#NAME?</v>
      </c>
      <c r="AP43" s="39" t="e">
        <f t="shared" ref="AP43" ca="1" si="536">+IF(AL41&lt;0,1-AP41/AL41,AP41/AL41-1)</f>
        <v>#NAME?</v>
      </c>
      <c r="AQ43" s="39" t="e">
        <f t="shared" ref="AQ43" ca="1" si="537">+IF(AM41&lt;0,1-AQ41/AM41,AQ41/AM41-1)</f>
        <v>#NAME?</v>
      </c>
      <c r="AR43" s="39" t="e">
        <f t="shared" ref="AR43" ca="1" si="538">+IF(AN41&lt;0,1-AR41/AN41,AR41/AN41-1)</f>
        <v>#NAME?</v>
      </c>
      <c r="AS43" s="39" t="e">
        <f t="shared" ref="AS43" ca="1" si="539">+IF(AO41&lt;0,1-AS41/AO41,AS41/AO41-1)</f>
        <v>#NAME?</v>
      </c>
      <c r="AT43" s="39" t="e">
        <f t="shared" ref="AT43" ca="1" si="540">+IF(AP41&lt;0,1-AT41/AP41,AT41/AP41-1)</f>
        <v>#NAME?</v>
      </c>
      <c r="AU43" s="39" t="e">
        <f t="shared" ref="AU43" ca="1" si="541">+IF(AQ41&lt;0,1-AU41/AQ41,AU41/AQ41-1)</f>
        <v>#NAME?</v>
      </c>
      <c r="AV43" s="39" t="e">
        <f t="shared" ref="AV43" ca="1" si="542">+IF(AR41&lt;0,1-AV41/AR41,AV41/AR41-1)</f>
        <v>#NAME?</v>
      </c>
      <c r="AW43" s="39" t="e">
        <f t="shared" ref="AW43" ca="1" si="543">+IF(AS41&lt;0,1-AW41/AS41,AW41/AS41-1)</f>
        <v>#NAME?</v>
      </c>
      <c r="AX43" s="39" t="e">
        <f t="shared" ref="AX43" ca="1" si="544">+IF(AT41&lt;0,1-AX41/AT41,AX41/AT41-1)</f>
        <v>#NAME?</v>
      </c>
      <c r="AY43" s="39" t="e">
        <f t="shared" ref="AY43" ca="1" si="545">+IF(AU41&lt;0,1-AY41/AU41,AY41/AU41-1)</f>
        <v>#NAME?</v>
      </c>
      <c r="AZ43" s="39" t="e">
        <f t="shared" ref="AZ43" ca="1" si="546">+IF(AV41&lt;0,1-AZ41/AV41,AZ41/AV41-1)</f>
        <v>#NAME?</v>
      </c>
      <c r="BA43" s="39" t="e">
        <f t="shared" ref="BA43" ca="1" si="547">+IF(AW41&lt;0,1-BA41/AW41,BA41/AW41-1)</f>
        <v>#NAME?</v>
      </c>
      <c r="BB43" s="39" t="e">
        <f t="shared" ref="BB43" ca="1" si="548">+IF(AX41&lt;0,1-BB41/AX41,BB41/AX41-1)</f>
        <v>#NAME?</v>
      </c>
      <c r="BC43" s="39" t="e">
        <f t="shared" ref="BC43" ca="1" si="549">+IF(AY41&lt;0,1-BC41/AY41,BC41/AY41-1)</f>
        <v>#NAME?</v>
      </c>
      <c r="BD43" s="39" t="e">
        <f t="shared" ref="BD43" ca="1" si="550">+IF(AZ41&lt;0,1-BD41/AZ41,BD41/AZ41-1)</f>
        <v>#NAME?</v>
      </c>
      <c r="BE43" s="39" t="e">
        <f t="shared" ref="BE43" ca="1" si="551">+IF(BA41&lt;0,1-BE41/BA41,BE41/BA41-1)</f>
        <v>#NAME?</v>
      </c>
      <c r="BF43" s="39" t="e">
        <f t="shared" ref="BF43" ca="1" si="552">+IF(BB41&lt;0,1-BF41/BB41,BF41/BB41-1)</f>
        <v>#NAME?</v>
      </c>
      <c r="BG43" s="39" t="e">
        <f t="shared" ref="BG43" ca="1" si="553">+IF(BC41&lt;0,1-BG41/BC41,BG41/BC41-1)</f>
        <v>#NAME?</v>
      </c>
      <c r="BH43" s="39" t="e">
        <f t="shared" ref="BH43" ca="1" si="554">+IF(BD41&lt;0,1-BH41/BD41,BH41/BD41-1)</f>
        <v>#NAME?</v>
      </c>
      <c r="BI43" s="39" t="e">
        <f t="shared" ref="BI43" ca="1" si="555">+IF(BE41&lt;0,1-BI41/BE41,BI41/BE41-1)</f>
        <v>#NAME?</v>
      </c>
      <c r="BJ43" s="39" t="e">
        <f t="shared" ref="BJ43" ca="1" si="556">+IF(BF41&lt;0,1-BJ41/BF41,BJ41/BF41-1)</f>
        <v>#NAME?</v>
      </c>
      <c r="BK43" s="39" t="e">
        <f t="shared" ref="BK43" ca="1" si="557">+IF(BG41&lt;0,1-BK41/BG41,BK41/BG41-1)</f>
        <v>#NAME?</v>
      </c>
      <c r="BL43" s="39" t="e">
        <f t="shared" ref="BL43" ca="1" si="558">+IF(BH41&lt;0,1-BL41/BH41,BL41/BH41-1)</f>
        <v>#NAME?</v>
      </c>
      <c r="BM43" s="39" t="e">
        <f t="shared" ref="BM43" ca="1" si="559">+IF(BI41&lt;0,1-BM41/BI41,BM41/BI41-1)</f>
        <v>#NAME?</v>
      </c>
      <c r="BN43" s="39" t="e">
        <f t="shared" ref="BN43" ca="1" si="560">+IF(BJ41&lt;0,1-BN41/BJ41,BN41/BJ41-1)</f>
        <v>#NAME?</v>
      </c>
      <c r="BO43" s="39" t="e">
        <f t="shared" ref="BO43" ca="1" si="561">+IF(BK41&lt;0,1-BO41/BK41,BO41/BK41-1)</f>
        <v>#NAME?</v>
      </c>
      <c r="BP43" s="39" t="e">
        <f t="shared" ref="BP43" ca="1" si="562">+IF(BL41&lt;0,1-BP41/BL41,BP41/BL41-1)</f>
        <v>#NAME?</v>
      </c>
      <c r="BQ43" s="39" t="e">
        <f t="shared" ref="BQ43" ca="1" si="563">+IF(BM41&lt;0,1-BQ41/BM41,BQ41/BM41-1)</f>
        <v>#NAME?</v>
      </c>
      <c r="BR43" s="39" t="e">
        <f t="shared" ref="BR43" ca="1" si="564">+IF(BN41&lt;0,1-BR41/BN41,BR41/BN41-1)</f>
        <v>#NAME?</v>
      </c>
      <c r="BS43" s="39" t="e">
        <f t="shared" ref="BS43" ca="1" si="565">+IF(BO41&lt;0,1-BS41/BO41,BS41/BO41-1)</f>
        <v>#NAME?</v>
      </c>
      <c r="BT43" s="39" t="e">
        <f t="shared" ref="BT43" ca="1" si="566">+IF(BP41&lt;0,1-BT41/BP41,BT41/BP41-1)</f>
        <v>#NAME?</v>
      </c>
      <c r="BU43" s="39" t="e">
        <f t="shared" ref="BU43" ca="1" si="567">+IF(BQ41&lt;0,1-BU41/BQ41,BU41/BQ41-1)</f>
        <v>#NAME?</v>
      </c>
      <c r="BV43" s="39" t="e">
        <f t="shared" ref="BV43" ca="1" si="568">+IF(BR41&lt;0,1-BV41/BR41,BV41/BR41-1)</f>
        <v>#NAME?</v>
      </c>
      <c r="BW43" s="39" t="e">
        <f t="shared" ref="BW43" ca="1" si="569">+IF(BS41&lt;0,1-BW41/BS41,BW41/BS41-1)</f>
        <v>#NAME?</v>
      </c>
      <c r="BX43" s="39" t="e">
        <f t="shared" ref="BX43" ca="1" si="570">+IF(BT41&lt;0,1-BX41/BT41,BX41/BT41-1)</f>
        <v>#NAME?</v>
      </c>
      <c r="BY43" s="39" t="e">
        <f t="shared" ref="BY43" ca="1" si="571">+IF(BU41&lt;0,1-BY41/BU41,BY41/BU41-1)</f>
        <v>#NAME?</v>
      </c>
      <c r="BZ43" s="39" t="e">
        <f t="shared" ref="BZ43" ca="1" si="572">+IF(BV41&lt;0,1-BZ41/BV41,BZ41/BV41-1)</f>
        <v>#NAME?</v>
      </c>
      <c r="CA43" s="39" t="e">
        <f t="shared" ref="CA43" ca="1" si="573">+IF(BW41&lt;0,1-CA41/BW41,CA41/BW41-1)</f>
        <v>#NAME?</v>
      </c>
      <c r="CB43" s="39" t="e">
        <f t="shared" ref="CB43" ca="1" si="574">+IF(BX41&lt;0,1-CB41/BX41,CB41/BX41-1)</f>
        <v>#NAME?</v>
      </c>
      <c r="CC43" s="39" t="e">
        <f t="shared" ref="CC43" ca="1" si="575">+IF(BY41&lt;0,1-CC41/BY41,CC41/BY41-1)</f>
        <v>#NAME?</v>
      </c>
      <c r="CD43" s="39" t="e">
        <f t="shared" ref="CD43" ca="1" si="576">+IF(BZ41&lt;0,1-CD41/BZ41,CD41/BZ41-1)</f>
        <v>#NAME?</v>
      </c>
      <c r="CE43" s="39" t="e">
        <f t="shared" ref="CE43" ca="1" si="577">+IF(CA41&lt;0,1-CE41/CA41,CE41/CA41-1)</f>
        <v>#NAME?</v>
      </c>
      <c r="CF43" s="39" t="e">
        <f t="shared" ref="CF43" ca="1" si="578">+IF(CB41&lt;0,1-CF41/CB41,CF41/CB41-1)</f>
        <v>#NAME?</v>
      </c>
      <c r="CG43" s="39" t="e">
        <f t="shared" ref="CG43" ca="1" si="579">+IF(CC41&lt;0,1-CG41/CC41,CG41/CC41-1)</f>
        <v>#NAME?</v>
      </c>
      <c r="CH43" s="39" t="e">
        <f t="shared" ref="CH43:CL43" ca="1" si="580">+IF(CD41&lt;0,1-CH41/CD41,CH41/CD41-1)</f>
        <v>#NAME?</v>
      </c>
      <c r="CI43" s="39" t="e">
        <f t="shared" ca="1" si="580"/>
        <v>#NAME?</v>
      </c>
      <c r="CJ43" s="39" t="e">
        <f t="shared" ca="1" si="580"/>
        <v>#NAME?</v>
      </c>
      <c r="CK43" s="39" t="e">
        <f t="shared" ca="1" si="580"/>
        <v>#NAME?</v>
      </c>
      <c r="CL43" s="39" t="e">
        <f t="shared" ca="1" si="580"/>
        <v>#NAME?</v>
      </c>
      <c r="CM43" s="40" t="e">
        <f t="shared" ref="CM43" ca="1" si="581">+CM41/CI41-1</f>
        <v>#NAME?</v>
      </c>
      <c r="CN43" s="40" t="e">
        <f t="shared" ref="CN43" ca="1" si="582">+CN41/CJ41-1</f>
        <v>#NAME?</v>
      </c>
      <c r="CO43" s="40" t="e">
        <f t="shared" ref="CO43" ca="1" si="583">+CO41/CK41-1</f>
        <v>#NAME?</v>
      </c>
      <c r="CP43" s="40" t="e">
        <f t="shared" ref="CP43" ca="1" si="584">+CP41/CL41-1</f>
        <v>#NAME?</v>
      </c>
      <c r="CQ43" s="40" t="e">
        <f t="shared" ref="CQ43" ca="1" si="585">+CQ41/CM41-1</f>
        <v>#NAME?</v>
      </c>
      <c r="CR43" s="40" t="e">
        <f t="shared" ref="CR43" ca="1" si="586">+CR41/CN41-1</f>
        <v>#NAME?</v>
      </c>
      <c r="CS43" s="40" t="e">
        <f t="shared" ref="CS43" ca="1" si="587">+CS41/CO41-1</f>
        <v>#NAME?</v>
      </c>
      <c r="CT43" s="40" t="e">
        <f t="shared" ref="CT43" ca="1" si="588">+CT41/CP41-1</f>
        <v>#NAME?</v>
      </c>
      <c r="CU43" s="40" t="e">
        <f t="shared" ref="CU43" ca="1" si="589">+CU41/CQ41-1</f>
        <v>#NAME?</v>
      </c>
      <c r="CV43" s="40" t="e">
        <f t="shared" ref="CV43" ca="1" si="590">+CV41/CR41-1</f>
        <v>#NAME?</v>
      </c>
      <c r="CW43" s="40" t="e">
        <f t="shared" ref="CW43" ca="1" si="591">+CW41/CS41-1</f>
        <v>#NAME?</v>
      </c>
      <c r="CX43" s="40" t="e">
        <f t="shared" ref="CX43" ca="1" si="592">+CX41/CT41-1</f>
        <v>#NAME?</v>
      </c>
      <c r="CY43" s="40" t="e">
        <f t="shared" ref="CY43" ca="1" si="593">+CY41/CU41-1</f>
        <v>#NAME?</v>
      </c>
      <c r="CZ43" s="40" t="e">
        <f t="shared" ref="CZ43" ca="1" si="594">+CZ41/CV41-1</f>
        <v>#NAME?</v>
      </c>
      <c r="DA43" s="40" t="e">
        <f t="shared" ref="DA43" ca="1" si="595">+DA41/CW41-1</f>
        <v>#NAME?</v>
      </c>
      <c r="DB43" s="40" t="e">
        <f t="shared" ref="DB43" ca="1" si="596">+DB41/CX41-1</f>
        <v>#NAME?</v>
      </c>
      <c r="DE43" s="122"/>
      <c r="DF43" s="39">
        <v>0.12325630224531858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597">+IF(AJ41&lt;0,1-AK41/AJ41,AK41/AJ41-1)</f>
        <v>#NAME?</v>
      </c>
      <c r="AL44" s="39" t="e">
        <f t="shared" ca="1" si="597"/>
        <v>#NAME?</v>
      </c>
      <c r="AM44" s="39" t="e">
        <f t="shared" ca="1" si="597"/>
        <v>#NAME?</v>
      </c>
      <c r="AN44" s="39" t="e">
        <f t="shared" ref="AN44" ca="1" si="598">+IF(AM41&lt;0,1-AN41/AM41,AN41/AM41-1)</f>
        <v>#NAME?</v>
      </c>
      <c r="AO44" s="39" t="e">
        <f t="shared" ref="AO44" ca="1" si="599">+IF(AN41&lt;0,1-AO41/AN41,AO41/AN41-1)</f>
        <v>#NAME?</v>
      </c>
      <c r="AP44" s="39" t="e">
        <f t="shared" ref="AP44" ca="1" si="600">+IF(AO41&lt;0,1-AP41/AO41,AP41/AO41-1)</f>
        <v>#NAME?</v>
      </c>
      <c r="AQ44" s="39" t="e">
        <f t="shared" ref="AQ44" ca="1" si="601">+IF(AP41&lt;0,1-AQ41/AP41,AQ41/AP41-1)</f>
        <v>#NAME?</v>
      </c>
      <c r="AR44" s="39" t="e">
        <f t="shared" ref="AR44" ca="1" si="602">+IF(AQ41&lt;0,1-AR41/AQ41,AR41/AQ41-1)</f>
        <v>#NAME?</v>
      </c>
      <c r="AS44" s="39" t="e">
        <f t="shared" ref="AS44" ca="1" si="603">+IF(AR41&lt;0,1-AS41/AR41,AS41/AR41-1)</f>
        <v>#NAME?</v>
      </c>
      <c r="AT44" s="39" t="e">
        <f t="shared" ref="AT44" ca="1" si="604">+IF(AS41&lt;0,1-AT41/AS41,AT41/AS41-1)</f>
        <v>#NAME?</v>
      </c>
      <c r="AU44" s="39" t="e">
        <f t="shared" ref="AU44" ca="1" si="605">+IF(AT41&lt;0,1-AU41/AT41,AU41/AT41-1)</f>
        <v>#NAME?</v>
      </c>
      <c r="AV44" s="39" t="e">
        <f t="shared" ref="AV44" ca="1" si="606">+IF(AU41&lt;0,1-AV41/AU41,AV41/AU41-1)</f>
        <v>#NAME?</v>
      </c>
      <c r="AW44" s="39" t="e">
        <f t="shared" ref="AW44" ca="1" si="607">+IF(AV41&lt;0,1-AW41/AV41,AW41/AV41-1)</f>
        <v>#NAME?</v>
      </c>
      <c r="AX44" s="39" t="e">
        <f t="shared" ref="AX44" ca="1" si="608">+IF(AW41&lt;0,1-AX41/AW41,AX41/AW41-1)</f>
        <v>#NAME?</v>
      </c>
      <c r="AY44" s="39" t="e">
        <f t="shared" ref="AY44" ca="1" si="609">+IF(AX41&lt;0,1-AY41/AX41,AY41/AX41-1)</f>
        <v>#NAME?</v>
      </c>
      <c r="AZ44" s="39" t="e">
        <f t="shared" ref="AZ44" ca="1" si="610">+IF(AY41&lt;0,1-AZ41/AY41,AZ41/AY41-1)</f>
        <v>#NAME?</v>
      </c>
      <c r="BA44" s="39" t="e">
        <f t="shared" ref="BA44" ca="1" si="611">+IF(AZ41&lt;0,1-BA41/AZ41,BA41/AZ41-1)</f>
        <v>#NAME?</v>
      </c>
      <c r="BB44" s="39" t="e">
        <f t="shared" ref="BB44" ca="1" si="612">+IF(BA41&lt;0,1-BB41/BA41,BB41/BA41-1)</f>
        <v>#NAME?</v>
      </c>
      <c r="BC44" s="39" t="e">
        <f t="shared" ref="BC44" ca="1" si="613">+IF(BB41&lt;0,1-BC41/BB41,BC41/BB41-1)</f>
        <v>#NAME?</v>
      </c>
      <c r="BD44" s="39" t="e">
        <f t="shared" ref="BD44" ca="1" si="614">+IF(BC41&lt;0,1-BD41/BC41,BD41/BC41-1)</f>
        <v>#NAME?</v>
      </c>
      <c r="BE44" s="39" t="e">
        <f t="shared" ref="BE44" ca="1" si="615">+IF(BD41&lt;0,1-BE41/BD41,BE41/BD41-1)</f>
        <v>#NAME?</v>
      </c>
      <c r="BF44" s="39" t="e">
        <f t="shared" ref="BF44" ca="1" si="616">+IF(BE41&lt;0,1-BF41/BE41,BF41/BE41-1)</f>
        <v>#NAME?</v>
      </c>
      <c r="BG44" s="39" t="e">
        <f t="shared" ref="BG44" ca="1" si="617">+IF(BF41&lt;0,1-BG41/BF41,BG41/BF41-1)</f>
        <v>#NAME?</v>
      </c>
      <c r="BH44" s="39" t="e">
        <f t="shared" ref="BH44" ca="1" si="618">+IF(BG41&lt;0,1-BH41/BG41,BH41/BG41-1)</f>
        <v>#NAME?</v>
      </c>
      <c r="BI44" s="39" t="e">
        <f t="shared" ref="BI44" ca="1" si="619">+IF(BH41&lt;0,1-BI41/BH41,BI41/BH41-1)</f>
        <v>#NAME?</v>
      </c>
      <c r="BJ44" s="39" t="e">
        <f t="shared" ref="BJ44" ca="1" si="620">+IF(BI41&lt;0,1-BJ41/BI41,BJ41/BI41-1)</f>
        <v>#NAME?</v>
      </c>
      <c r="BK44" s="39" t="e">
        <f t="shared" ref="BK44" ca="1" si="621">+IF(BJ41&lt;0,1-BK41/BJ41,BK41/BJ41-1)</f>
        <v>#NAME?</v>
      </c>
      <c r="BL44" s="39" t="e">
        <f t="shared" ref="BL44" ca="1" si="622">+IF(BK41&lt;0,1-BL41/BK41,BL41/BK41-1)</f>
        <v>#NAME?</v>
      </c>
      <c r="BM44" s="39" t="e">
        <f t="shared" ref="BM44" ca="1" si="623">+IF(BL41&lt;0,1-BM41/BL41,BM41/BL41-1)</f>
        <v>#NAME?</v>
      </c>
      <c r="BN44" s="39" t="e">
        <f t="shared" ref="BN44" ca="1" si="624">+IF(BM41&lt;0,1-BN41/BM41,BN41/BM41-1)</f>
        <v>#NAME?</v>
      </c>
      <c r="BO44" s="39" t="e">
        <f t="shared" ref="BO44" ca="1" si="625">+IF(BN41&lt;0,1-BO41/BN41,BO41/BN41-1)</f>
        <v>#NAME?</v>
      </c>
      <c r="BP44" s="39" t="e">
        <f t="shared" ref="BP44" ca="1" si="626">+IF(BO41&lt;0,1-BP41/BO41,BP41/BO41-1)</f>
        <v>#NAME?</v>
      </c>
      <c r="BQ44" s="39" t="e">
        <f t="shared" ref="BQ44" ca="1" si="627">+IF(BP41&lt;0,1-BQ41/BP41,BQ41/BP41-1)</f>
        <v>#NAME?</v>
      </c>
      <c r="BR44" s="39" t="e">
        <f t="shared" ref="BR44" ca="1" si="628">+IF(BQ41&lt;0,1-BR41/BQ41,BR41/BQ41-1)</f>
        <v>#NAME?</v>
      </c>
      <c r="BS44" s="39" t="e">
        <f t="shared" ref="BS44" ca="1" si="629">+IF(BR41&lt;0,1-BS41/BR41,BS41/BR41-1)</f>
        <v>#NAME?</v>
      </c>
      <c r="BT44" s="39" t="e">
        <f t="shared" ref="BT44" ca="1" si="630">+IF(BS41&lt;0,1-BT41/BS41,BT41/BS41-1)</f>
        <v>#NAME?</v>
      </c>
      <c r="BU44" s="39" t="e">
        <f t="shared" ref="BU44" ca="1" si="631">+IF(BT41&lt;0,1-BU41/BT41,BU41/BT41-1)</f>
        <v>#NAME?</v>
      </c>
      <c r="BV44" s="39" t="e">
        <f t="shared" ref="BV44" ca="1" si="632">+IF(BU41&lt;0,1-BV41/BU41,BV41/BU41-1)</f>
        <v>#NAME?</v>
      </c>
      <c r="BW44" s="39" t="e">
        <f t="shared" ref="BW44" ca="1" si="633">+IF(BV41&lt;0,1-BW41/BV41,BW41/BV41-1)</f>
        <v>#NAME?</v>
      </c>
      <c r="BX44" s="39" t="e">
        <f t="shared" ref="BX44" ca="1" si="634">+IF(BW41&lt;0,1-BX41/BW41,BX41/BW41-1)</f>
        <v>#NAME?</v>
      </c>
      <c r="BY44" s="39" t="e">
        <f t="shared" ref="BY44" ca="1" si="635">+IF(BX41&lt;0,1-BY41/BX41,BY41/BX41-1)</f>
        <v>#NAME?</v>
      </c>
      <c r="BZ44" s="39" t="e">
        <f t="shared" ref="BZ44" ca="1" si="636">+IF(BY41&lt;0,1-BZ41/BY41,BZ41/BY41-1)</f>
        <v>#NAME?</v>
      </c>
      <c r="CA44" s="39" t="e">
        <f t="shared" ref="CA44" ca="1" si="637">+IF(BZ41&lt;0,1-CA41/BZ41,CA41/BZ41-1)</f>
        <v>#NAME?</v>
      </c>
      <c r="CB44" s="39" t="e">
        <f t="shared" ref="CB44" ca="1" si="638">+IF(CA41&lt;0,1-CB41/CA41,CB41/CA41-1)</f>
        <v>#NAME?</v>
      </c>
      <c r="CC44" s="39" t="e">
        <f t="shared" ref="CC44" ca="1" si="639">+IF(CB41&lt;0,1-CC41/CB41,CC41/CB41-1)</f>
        <v>#NAME?</v>
      </c>
      <c r="CD44" s="39" t="e">
        <f t="shared" ref="CD44" ca="1" si="640">+IF(CC41&lt;0,1-CD41/CC41,CD41/CC41-1)</f>
        <v>#NAME?</v>
      </c>
      <c r="CE44" s="39" t="e">
        <f t="shared" ref="CE44" ca="1" si="641">+IF(CD41&lt;0,1-CE41/CD41,CE41/CD41-1)</f>
        <v>#NAME?</v>
      </c>
      <c r="CF44" s="39" t="e">
        <f t="shared" ref="CF44" ca="1" si="642">+IF(CE41&lt;0,1-CF41/CE41,CF41/CE41-1)</f>
        <v>#NAME?</v>
      </c>
      <c r="CG44" s="39" t="e">
        <f t="shared" ref="CG44" ca="1" si="643">+IF(CF41&lt;0,1-CG41/CF41,CG41/CF41-1)</f>
        <v>#NAME?</v>
      </c>
      <c r="CH44" s="39" t="e">
        <f t="shared" ref="CH44:CL44" ca="1" si="644">+IF(CG41&lt;0,1-CH41/CG41,CH41/CG41-1)</f>
        <v>#NAME?</v>
      </c>
      <c r="CI44" s="39" t="e">
        <f t="shared" ca="1" si="644"/>
        <v>#NAME?</v>
      </c>
      <c r="CJ44" s="39" t="e">
        <f t="shared" ca="1" si="644"/>
        <v>#NAME?</v>
      </c>
      <c r="CK44" s="39" t="e">
        <f t="shared" ca="1" si="644"/>
        <v>#NAME?</v>
      </c>
      <c r="CL44" s="39" t="e">
        <f t="shared" ca="1" si="644"/>
        <v>#NAME?</v>
      </c>
      <c r="CM44" s="40" t="e">
        <f t="shared" ref="CM44" ca="1" si="645">+CM41/CL41-1</f>
        <v>#NAME?</v>
      </c>
      <c r="CN44" s="40" t="e">
        <f t="shared" ref="CN44" ca="1" si="646">+CN41/CM41-1</f>
        <v>#NAME?</v>
      </c>
      <c r="CO44" s="40" t="e">
        <f t="shared" ref="CO44" ca="1" si="647">+CO41/CN41-1</f>
        <v>#NAME?</v>
      </c>
      <c r="CP44" s="40" t="e">
        <f t="shared" ref="CP44" ca="1" si="648">+CP41/CO41-1</f>
        <v>#NAME?</v>
      </c>
      <c r="CQ44" s="40" t="e">
        <f t="shared" ref="CQ44" ca="1" si="649">+CQ41/CP41-1</f>
        <v>#NAME?</v>
      </c>
      <c r="CR44" s="40" t="e">
        <f t="shared" ref="CR44" ca="1" si="650">+CR41/CQ41-1</f>
        <v>#NAME?</v>
      </c>
      <c r="CS44" s="40" t="e">
        <f t="shared" ref="CS44" ca="1" si="651">+CS41/CR41-1</f>
        <v>#NAME?</v>
      </c>
      <c r="CT44" s="40" t="e">
        <f t="shared" ref="CT44" ca="1" si="652">+CT41/CS41-1</f>
        <v>#NAME?</v>
      </c>
      <c r="CU44" s="40" t="e">
        <f t="shared" ref="CU44" ca="1" si="653">+CU41/CT41-1</f>
        <v>#NAME?</v>
      </c>
      <c r="CV44" s="40" t="e">
        <f t="shared" ref="CV44" ca="1" si="654">+CV41/CU41-1</f>
        <v>#NAME?</v>
      </c>
      <c r="CW44" s="40" t="e">
        <f t="shared" ref="CW44" ca="1" si="655">+CW41/CV41-1</f>
        <v>#NAME?</v>
      </c>
      <c r="CX44" s="40" t="e">
        <f t="shared" ref="CX44" ca="1" si="656">+CX41/CW41-1</f>
        <v>#NAME?</v>
      </c>
      <c r="CY44" s="40" t="e">
        <f t="shared" ref="CY44" ca="1" si="657">+CY41/CX41-1</f>
        <v>#NAME?</v>
      </c>
      <c r="CZ44" s="40" t="e">
        <f t="shared" ref="CZ44" ca="1" si="658">+CZ41/CY41-1</f>
        <v>#NAME?</v>
      </c>
      <c r="DA44" s="40" t="e">
        <f t="shared" ref="DA44" ca="1" si="659">+DA41/CZ41-1</f>
        <v>#NAME?</v>
      </c>
      <c r="DB44" s="40" t="e">
        <f t="shared" ref="DB44" ca="1" si="660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1">+SUM(CM45:CP45)</f>
        <v>#NAME?</v>
      </c>
      <c r="AC45" s="76" t="e">
        <f t="shared" ref="AC45:AC46" ca="1" si="662">+SUM(CQ45:CT45)</f>
        <v>#NAME?</v>
      </c>
      <c r="AD45" s="76" t="e">
        <f t="shared" ref="AD45:AD46" ca="1" si="663">+SUM(CU45:CX45)</f>
        <v>#NAME?</v>
      </c>
      <c r="AE45" s="76" t="e">
        <f t="shared" ref="AE45:AE46" ca="1" si="664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5">+CL45</f>
        <v>#NAME?</v>
      </c>
      <c r="CN45" s="76" t="e">
        <f t="shared" ref="CN45:CN46" ca="1" si="666">+CM45</f>
        <v>#NAME?</v>
      </c>
      <c r="CO45" s="76" t="e">
        <f t="shared" ref="CO45:CO46" ca="1" si="667">+CN45</f>
        <v>#NAME?</v>
      </c>
      <c r="CP45" s="76" t="e">
        <f t="shared" ref="CP45:CP46" ca="1" si="668">+CO45</f>
        <v>#NAME?</v>
      </c>
      <c r="CQ45" s="76" t="e">
        <f t="shared" ref="CQ45:CQ46" ca="1" si="669">+CP45</f>
        <v>#NAME?</v>
      </c>
      <c r="CR45" s="76" t="e">
        <f t="shared" ref="CR45:CR46" ca="1" si="670">+CQ45</f>
        <v>#NAME?</v>
      </c>
      <c r="CS45" s="76" t="e">
        <f t="shared" ref="CS45:CS46" ca="1" si="671">+CR45</f>
        <v>#NAME?</v>
      </c>
      <c r="CT45" s="76" t="e">
        <f t="shared" ref="CT45:CT46" ca="1" si="672">+CS45</f>
        <v>#NAME?</v>
      </c>
      <c r="CU45" s="76" t="e">
        <f t="shared" ref="CU45:CU46" ca="1" si="673">+CT45</f>
        <v>#NAME?</v>
      </c>
      <c r="CV45" s="76" t="e">
        <f t="shared" ref="CV45:CV46" ca="1" si="674">+CU45</f>
        <v>#NAME?</v>
      </c>
      <c r="CW45" s="76" t="e">
        <f t="shared" ref="CW45:CW46" ca="1" si="675">+CV45</f>
        <v>#NAME?</v>
      </c>
      <c r="CX45" s="76" t="e">
        <f t="shared" ref="CX45:CX46" ca="1" si="676">+CW45</f>
        <v>#NAME?</v>
      </c>
      <c r="CY45" s="76" t="e">
        <f t="shared" ref="CY45:CY46" ca="1" si="677">+CX45</f>
        <v>#NAME?</v>
      </c>
      <c r="CZ45" s="76" t="e">
        <f t="shared" ref="CZ45:CZ46" ca="1" si="678">+CY45</f>
        <v>#NAME?</v>
      </c>
      <c r="DA45" s="76" t="e">
        <f t="shared" ref="DA45:DA46" ca="1" si="679">+CZ45</f>
        <v>#NAME?</v>
      </c>
      <c r="DB45" s="76" t="e">
        <f t="shared" ref="DB45:DB46" ca="1" si="680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1"/>
        <v>#NAME?</v>
      </c>
      <c r="AC46" s="76" t="e">
        <f t="shared" ca="1" si="662"/>
        <v>#NAME?</v>
      </c>
      <c r="AD46" s="76" t="e">
        <f t="shared" ca="1" si="663"/>
        <v>#NAME?</v>
      </c>
      <c r="AE46" s="76" t="e">
        <f t="shared" ca="1" si="664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5"/>
        <v>#NAME?</v>
      </c>
      <c r="CN46" s="76" t="e">
        <f t="shared" ca="1" si="666"/>
        <v>#NAME?</v>
      </c>
      <c r="CO46" s="76" t="e">
        <f t="shared" ca="1" si="667"/>
        <v>#NAME?</v>
      </c>
      <c r="CP46" s="76" t="e">
        <f t="shared" ca="1" si="668"/>
        <v>#NAME?</v>
      </c>
      <c r="CQ46" s="76" t="e">
        <f t="shared" ca="1" si="669"/>
        <v>#NAME?</v>
      </c>
      <c r="CR46" s="76" t="e">
        <f t="shared" ca="1" si="670"/>
        <v>#NAME?</v>
      </c>
      <c r="CS46" s="76" t="e">
        <f t="shared" ca="1" si="671"/>
        <v>#NAME?</v>
      </c>
      <c r="CT46" s="76" t="e">
        <f t="shared" ca="1" si="672"/>
        <v>#NAME?</v>
      </c>
      <c r="CU46" s="76" t="e">
        <f t="shared" ca="1" si="673"/>
        <v>#NAME?</v>
      </c>
      <c r="CV46" s="76" t="e">
        <f t="shared" ca="1" si="674"/>
        <v>#NAME?</v>
      </c>
      <c r="CW46" s="76" t="e">
        <f t="shared" ca="1" si="675"/>
        <v>#NAME?</v>
      </c>
      <c r="CX46" s="76" t="e">
        <f t="shared" ca="1" si="676"/>
        <v>#NAME?</v>
      </c>
      <c r="CY46" s="76" t="e">
        <f t="shared" ca="1" si="677"/>
        <v>#NAME?</v>
      </c>
      <c r="CZ46" s="76" t="e">
        <f t="shared" ca="1" si="678"/>
        <v>#NAME?</v>
      </c>
      <c r="DA46" s="76" t="e">
        <f t="shared" ca="1" si="679"/>
        <v>#NAME?</v>
      </c>
      <c r="DB46" s="76" t="e">
        <f t="shared" ca="1" si="680"/>
        <v>#NAME?</v>
      </c>
      <c r="DE46" s="131"/>
      <c r="DF46" s="75">
        <v>-45.52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120.77999999999999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1">E41+E45+E46+E47</f>
        <v>#NAME?</v>
      </c>
      <c r="F48" s="26" t="e">
        <f t="shared" ca="1" si="681"/>
        <v>#NAME?</v>
      </c>
      <c r="G48" s="26" t="e">
        <f t="shared" ca="1" si="681"/>
        <v>#NAME?</v>
      </c>
      <c r="H48" s="26" t="e">
        <f t="shared" ca="1" si="681"/>
        <v>#NAME?</v>
      </c>
      <c r="I48" s="26" t="e">
        <f t="shared" ca="1" si="681"/>
        <v>#NAME?</v>
      </c>
      <c r="J48" s="26" t="e">
        <f t="shared" ca="1" si="681"/>
        <v>#NAME?</v>
      </c>
      <c r="K48" s="26" t="e">
        <f t="shared" ca="1" si="681"/>
        <v>#NAME?</v>
      </c>
      <c r="L48" s="26" t="e">
        <f t="shared" ca="1" si="681"/>
        <v>#NAME?</v>
      </c>
      <c r="M48" s="26" t="e">
        <f t="shared" ca="1" si="681"/>
        <v>#NAME?</v>
      </c>
      <c r="N48" s="26" t="e">
        <f t="shared" ca="1" si="681"/>
        <v>#NAME?</v>
      </c>
      <c r="O48" s="26" t="e">
        <f t="shared" ca="1" si="681"/>
        <v>#NAME?</v>
      </c>
      <c r="P48" s="26" t="e">
        <f t="shared" ca="1" si="681"/>
        <v>#NAME?</v>
      </c>
      <c r="Q48" s="26" t="e">
        <f t="shared" ca="1" si="681"/>
        <v>#NAME?</v>
      </c>
      <c r="R48" s="26" t="e">
        <f t="shared" ca="1" si="681"/>
        <v>#NAME?</v>
      </c>
      <c r="S48" s="26" t="e">
        <f t="shared" ca="1" si="681"/>
        <v>#NAME?</v>
      </c>
      <c r="T48" s="26" t="e">
        <f t="shared" ca="1" si="681"/>
        <v>#NAME?</v>
      </c>
      <c r="U48" s="26" t="e">
        <f t="shared" ca="1" si="681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2">AB41+AB45+AB46+AB47</f>
        <v>#NAME?</v>
      </c>
      <c r="AC48" s="27" t="e">
        <f t="shared" ca="1" si="682"/>
        <v>#NAME?</v>
      </c>
      <c r="AD48" s="27" t="e">
        <f t="shared" ca="1" si="682"/>
        <v>#NAME?</v>
      </c>
      <c r="AE48" s="27" t="e">
        <f t="shared" ref="AE48" ca="1" si="683">AE41+AE45+AE46+AE47</f>
        <v>#NAME?</v>
      </c>
      <c r="AI48" s="26" t="e">
        <f t="shared" ref="AI48" ca="1" si="684">AI41+AI45+AI46+AI47</f>
        <v>#NAME?</v>
      </c>
      <c r="AJ48" s="26" t="e">
        <f t="shared" ref="AJ48" ca="1" si="685">AJ41+AJ45+AJ46+AJ47</f>
        <v>#NAME?</v>
      </c>
      <c r="AK48" s="26" t="e">
        <f t="shared" ref="AK48:AM48" ca="1" si="686">AK41+AK45+AK46+AK47</f>
        <v>#NAME?</v>
      </c>
      <c r="AL48" s="26" t="e">
        <f t="shared" ca="1" si="686"/>
        <v>#NAME?</v>
      </c>
      <c r="AM48" s="26" t="e">
        <f t="shared" ca="1" si="686"/>
        <v>#NAME?</v>
      </c>
      <c r="AN48" s="26" t="e">
        <f t="shared" ref="AN48:AO48" ca="1" si="687">AN41+AN45+AN46+AN47</f>
        <v>#NAME?</v>
      </c>
      <c r="AO48" s="26" t="e">
        <f t="shared" ca="1" si="687"/>
        <v>#NAME?</v>
      </c>
      <c r="AP48" s="26" t="e">
        <f t="shared" ref="AP48:CD48" ca="1" si="688">AP41+AP45+AP46+AP47</f>
        <v>#NAME?</v>
      </c>
      <c r="AQ48" s="26" t="e">
        <f t="shared" ca="1" si="688"/>
        <v>#NAME?</v>
      </c>
      <c r="AR48" s="26" t="e">
        <f t="shared" ca="1" si="688"/>
        <v>#NAME?</v>
      </c>
      <c r="AS48" s="26" t="e">
        <f t="shared" ca="1" si="688"/>
        <v>#NAME?</v>
      </c>
      <c r="AT48" s="26" t="e">
        <f t="shared" ca="1" si="688"/>
        <v>#NAME?</v>
      </c>
      <c r="AU48" s="26" t="e">
        <f t="shared" ca="1" si="688"/>
        <v>#NAME?</v>
      </c>
      <c r="AV48" s="26" t="e">
        <f t="shared" ca="1" si="688"/>
        <v>#NAME?</v>
      </c>
      <c r="AW48" s="26" t="e">
        <f t="shared" ca="1" si="688"/>
        <v>#NAME?</v>
      </c>
      <c r="AX48" s="26" t="e">
        <f t="shared" ca="1" si="688"/>
        <v>#NAME?</v>
      </c>
      <c r="AY48" s="26" t="e">
        <f t="shared" ca="1" si="688"/>
        <v>#NAME?</v>
      </c>
      <c r="AZ48" s="26" t="e">
        <f t="shared" ca="1" si="688"/>
        <v>#NAME?</v>
      </c>
      <c r="BA48" s="26" t="e">
        <f t="shared" ca="1" si="688"/>
        <v>#NAME?</v>
      </c>
      <c r="BB48" s="26" t="e">
        <f t="shared" ca="1" si="688"/>
        <v>#NAME?</v>
      </c>
      <c r="BC48" s="26" t="e">
        <f t="shared" ca="1" si="688"/>
        <v>#NAME?</v>
      </c>
      <c r="BD48" s="26" t="e">
        <f t="shared" ca="1" si="688"/>
        <v>#NAME?</v>
      </c>
      <c r="BE48" s="26" t="e">
        <f t="shared" ca="1" si="688"/>
        <v>#NAME?</v>
      </c>
      <c r="BF48" s="26" t="e">
        <f t="shared" ca="1" si="688"/>
        <v>#NAME?</v>
      </c>
      <c r="BG48" s="26" t="e">
        <f t="shared" ca="1" si="688"/>
        <v>#NAME?</v>
      </c>
      <c r="BH48" s="26" t="e">
        <f t="shared" ca="1" si="688"/>
        <v>#NAME?</v>
      </c>
      <c r="BI48" s="26" t="e">
        <f t="shared" ca="1" si="688"/>
        <v>#NAME?</v>
      </c>
      <c r="BJ48" s="26" t="e">
        <f t="shared" ca="1" si="688"/>
        <v>#NAME?</v>
      </c>
      <c r="BK48" s="26" t="e">
        <f t="shared" ca="1" si="688"/>
        <v>#NAME?</v>
      </c>
      <c r="BL48" s="26" t="e">
        <f t="shared" ca="1" si="688"/>
        <v>#NAME?</v>
      </c>
      <c r="BM48" s="26" t="e">
        <f t="shared" ca="1" si="688"/>
        <v>#NAME?</v>
      </c>
      <c r="BN48" s="26" t="e">
        <f t="shared" ca="1" si="688"/>
        <v>#NAME?</v>
      </c>
      <c r="BO48" s="26" t="e">
        <f t="shared" ca="1" si="688"/>
        <v>#NAME?</v>
      </c>
      <c r="BP48" s="26" t="e">
        <f t="shared" ca="1" si="688"/>
        <v>#NAME?</v>
      </c>
      <c r="BQ48" s="26" t="e">
        <f t="shared" ca="1" si="688"/>
        <v>#NAME?</v>
      </c>
      <c r="BR48" s="26" t="e">
        <f t="shared" ca="1" si="688"/>
        <v>#NAME?</v>
      </c>
      <c r="BS48" s="26" t="e">
        <f t="shared" ca="1" si="688"/>
        <v>#NAME?</v>
      </c>
      <c r="BT48" s="26" t="e">
        <f t="shared" ca="1" si="688"/>
        <v>#NAME?</v>
      </c>
      <c r="BU48" s="26" t="e">
        <f t="shared" ca="1" si="688"/>
        <v>#NAME?</v>
      </c>
      <c r="BV48" s="26" t="e">
        <f t="shared" ca="1" si="688"/>
        <v>#NAME?</v>
      </c>
      <c r="BW48" s="26" t="e">
        <f t="shared" ca="1" si="688"/>
        <v>#NAME?</v>
      </c>
      <c r="BX48" s="26" t="e">
        <f t="shared" ca="1" si="688"/>
        <v>#NAME?</v>
      </c>
      <c r="BY48" s="26" t="e">
        <f t="shared" ca="1" si="688"/>
        <v>#NAME?</v>
      </c>
      <c r="BZ48" s="26" t="e">
        <f t="shared" ca="1" si="688"/>
        <v>#NAME?</v>
      </c>
      <c r="CA48" s="26" t="e">
        <f t="shared" ca="1" si="688"/>
        <v>#NAME?</v>
      </c>
      <c r="CB48" s="26" t="e">
        <f t="shared" ca="1" si="688"/>
        <v>#NAME?</v>
      </c>
      <c r="CC48" s="26" t="e">
        <f t="shared" ca="1" si="688"/>
        <v>#NAME?</v>
      </c>
      <c r="CD48" s="26" t="e">
        <f t="shared" ca="1" si="688"/>
        <v>#NAME?</v>
      </c>
      <c r="CE48" s="26" t="e">
        <f t="shared" ref="CE48:CF48" ca="1" si="689">CE41+CE45+CE46+CE47</f>
        <v>#NAME?</v>
      </c>
      <c r="CF48" s="26" t="e">
        <f t="shared" ca="1" si="689"/>
        <v>#NAME?</v>
      </c>
      <c r="CG48" s="26" t="e">
        <f t="shared" ref="CG48:CH48" ca="1" si="690">CG41+CG45+CG46+CG47</f>
        <v>#NAME?</v>
      </c>
      <c r="CH48" s="26" t="e">
        <f t="shared" ca="1" si="690"/>
        <v>#NAME?</v>
      </c>
      <c r="CI48" s="26" t="e">
        <f t="shared" ref="CI48:CJ48" ca="1" si="691">CI41+CI45+CI46+CI47</f>
        <v>#NAME?</v>
      </c>
      <c r="CJ48" s="26" t="e">
        <f t="shared" ca="1" si="691"/>
        <v>#NAME?</v>
      </c>
      <c r="CK48" s="26" t="e">
        <f t="shared" ref="CK48:CL48" ca="1" si="692">CK41+CK45+CK46+CK47</f>
        <v>#NAME?</v>
      </c>
      <c r="CL48" s="26" t="e">
        <f t="shared" ca="1" si="692"/>
        <v>#NAME?</v>
      </c>
      <c r="CM48" s="27" t="e">
        <f t="shared" ref="CM48:DB48" ca="1" si="693">CM41+CM45+CM46+CM47</f>
        <v>#NAME?</v>
      </c>
      <c r="CN48" s="27" t="e">
        <f t="shared" ca="1" si="693"/>
        <v>#NAME?</v>
      </c>
      <c r="CO48" s="27" t="e">
        <f t="shared" ca="1" si="693"/>
        <v>#NAME?</v>
      </c>
      <c r="CP48" s="27" t="e">
        <f t="shared" ca="1" si="693"/>
        <v>#NAME?</v>
      </c>
      <c r="CQ48" s="27" t="e">
        <f t="shared" ca="1" si="693"/>
        <v>#NAME?</v>
      </c>
      <c r="CR48" s="27" t="e">
        <f t="shared" ca="1" si="693"/>
        <v>#NAME?</v>
      </c>
      <c r="CS48" s="27" t="e">
        <f t="shared" ca="1" si="693"/>
        <v>#NAME?</v>
      </c>
      <c r="CT48" s="27" t="e">
        <f t="shared" ca="1" si="693"/>
        <v>#NAME?</v>
      </c>
      <c r="CU48" s="27" t="e">
        <f t="shared" ca="1" si="693"/>
        <v>#NAME?</v>
      </c>
      <c r="CV48" s="27" t="e">
        <f t="shared" ca="1" si="693"/>
        <v>#NAME?</v>
      </c>
      <c r="CW48" s="27" t="e">
        <f t="shared" ca="1" si="693"/>
        <v>#NAME?</v>
      </c>
      <c r="CX48" s="27" t="e">
        <f t="shared" ca="1" si="693"/>
        <v>#NAME?</v>
      </c>
      <c r="CY48" s="27" t="e">
        <f t="shared" ca="1" si="693"/>
        <v>#NAME?</v>
      </c>
      <c r="CZ48" s="27" t="e">
        <f t="shared" ca="1" si="693"/>
        <v>#NAME?</v>
      </c>
      <c r="DA48" s="27" t="e">
        <f t="shared" ca="1" si="693"/>
        <v>#NAME?</v>
      </c>
      <c r="DB48" s="27" t="e">
        <f t="shared" ca="1" si="693"/>
        <v>#NAME?</v>
      </c>
      <c r="DE48" s="121"/>
      <c r="DF48" s="26">
        <v>3499.0800000000008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4">+AB48</f>
        <v>#NAME?</v>
      </c>
      <c r="AC51" s="21" t="e">
        <f t="shared" ca="1" si="694"/>
        <v>#NAME?</v>
      </c>
      <c r="AD51" s="21" t="e">
        <f t="shared" ca="1" si="694"/>
        <v>#NAME?</v>
      </c>
      <c r="AE51" s="21" t="e">
        <f t="shared" ref="AE51" ca="1" si="695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3499.0800000000008</v>
      </c>
    </row>
    <row r="52" spans="1:110" s="25" customFormat="1" x14ac:dyDescent="0.2">
      <c r="A52" s="36" t="s">
        <v>435</v>
      </c>
      <c r="B52" s="25" t="e">
        <f t="shared" ref="B52:V52" ca="1" si="696">B51-B48</f>
        <v>#NAME?</v>
      </c>
      <c r="C52" s="25" t="e">
        <f ca="1">C51-C48</f>
        <v>#NAME?</v>
      </c>
      <c r="D52" s="25" t="e">
        <f t="shared" ca="1" si="696"/>
        <v>#NAME?</v>
      </c>
      <c r="E52" s="25" t="e">
        <f t="shared" ca="1" si="696"/>
        <v>#NAME?</v>
      </c>
      <c r="F52" s="25" t="e">
        <f t="shared" ca="1" si="696"/>
        <v>#NAME?</v>
      </c>
      <c r="G52" s="25" t="e">
        <f t="shared" ca="1" si="696"/>
        <v>#NAME?</v>
      </c>
      <c r="H52" s="25" t="e">
        <f t="shared" ca="1" si="696"/>
        <v>#NAME?</v>
      </c>
      <c r="I52" s="25" t="e">
        <f t="shared" ca="1" si="696"/>
        <v>#NAME?</v>
      </c>
      <c r="J52" s="25" t="e">
        <f t="shared" ca="1" si="696"/>
        <v>#NAME?</v>
      </c>
      <c r="K52" s="25" t="e">
        <f t="shared" ca="1" si="696"/>
        <v>#NAME?</v>
      </c>
      <c r="L52" s="25" t="e">
        <f t="shared" ca="1" si="696"/>
        <v>#NAME?</v>
      </c>
      <c r="M52" s="25" t="e">
        <f t="shared" ca="1" si="696"/>
        <v>#NAME?</v>
      </c>
      <c r="N52" s="25" t="e">
        <f t="shared" ca="1" si="696"/>
        <v>#NAME?</v>
      </c>
      <c r="O52" s="25" t="e">
        <f t="shared" ca="1" si="696"/>
        <v>#NAME?</v>
      </c>
      <c r="P52" s="25" t="e">
        <f t="shared" ca="1" si="696"/>
        <v>#NAME?</v>
      </c>
      <c r="Q52" s="25" t="e">
        <f t="shared" ca="1" si="696"/>
        <v>#NAME?</v>
      </c>
      <c r="R52" s="25" t="e">
        <f t="shared" ca="1" si="696"/>
        <v>#NAME?</v>
      </c>
      <c r="S52" s="25" t="e">
        <f t="shared" ca="1" si="696"/>
        <v>#NAME?</v>
      </c>
      <c r="T52" s="25" t="e">
        <f t="shared" ca="1" si="696"/>
        <v>#NAME?</v>
      </c>
      <c r="U52" s="25" t="e">
        <f t="shared" ca="1" si="696"/>
        <v>#NAME?</v>
      </c>
      <c r="V52" s="25" t="e">
        <f t="shared" ca="1" si="696"/>
        <v>#NAME?</v>
      </c>
      <c r="W52" s="25" t="e">
        <f t="shared" ref="W52" ca="1" si="697">W51-W48</f>
        <v>#NAME?</v>
      </c>
      <c r="X52" s="25" t="e">
        <f t="shared" ref="X52:Y52" ca="1" si="698">X51-X48</f>
        <v>#NAME?</v>
      </c>
      <c r="Y52" s="25" t="e">
        <f t="shared" ca="1" si="698"/>
        <v>#NAME?</v>
      </c>
      <c r="Z52" s="25" t="e">
        <f t="shared" ref="Z52:AA52" ca="1" si="699">Z51-Z48</f>
        <v>#NAME?</v>
      </c>
      <c r="AA52" s="25" t="e">
        <f t="shared" ca="1" si="699"/>
        <v>#NAME?</v>
      </c>
      <c r="AB52" s="17" t="e">
        <f t="shared" ref="AA52:AD52" ca="1" si="700">AB51-AB48</f>
        <v>#NAME?</v>
      </c>
      <c r="AC52" s="17" t="e">
        <f t="shared" ca="1" si="700"/>
        <v>#NAME?</v>
      </c>
      <c r="AD52" s="17" t="e">
        <f t="shared" ca="1" si="700"/>
        <v>#NAME?</v>
      </c>
      <c r="AE52" s="17" t="e">
        <f t="shared" ref="AE52" ca="1" si="701">AE51-AE48</f>
        <v>#NAME?</v>
      </c>
      <c r="AI52" s="25" t="e">
        <f t="shared" ref="AI52" ca="1" si="702">AI51-AI48</f>
        <v>#NAME?</v>
      </c>
      <c r="AJ52" s="25" t="e">
        <f t="shared" ref="AJ52" ca="1" si="703">AJ51-AJ48</f>
        <v>#NAME?</v>
      </c>
      <c r="AK52" s="25" t="e">
        <f t="shared" ref="AK52:AM52" ca="1" si="704">AK51-AK48</f>
        <v>#NAME?</v>
      </c>
      <c r="AL52" s="25" t="e">
        <f t="shared" ca="1" si="704"/>
        <v>#NAME?</v>
      </c>
      <c r="AM52" s="25" t="e">
        <f t="shared" ca="1" si="704"/>
        <v>#NAME?</v>
      </c>
      <c r="AN52" s="25" t="e">
        <f t="shared" ref="AN52:AO52" ca="1" si="705">AN51-AN48</f>
        <v>#NAME?</v>
      </c>
      <c r="AO52" s="25" t="e">
        <f t="shared" ca="1" si="705"/>
        <v>#NAME?</v>
      </c>
      <c r="AP52" s="25" t="e">
        <f t="shared" ref="AP52:CD52" ca="1" si="706">AP51-AP48</f>
        <v>#NAME?</v>
      </c>
      <c r="AQ52" s="25" t="e">
        <f t="shared" ca="1" si="706"/>
        <v>#NAME?</v>
      </c>
      <c r="AR52" s="25" t="e">
        <f t="shared" ca="1" si="706"/>
        <v>#NAME?</v>
      </c>
      <c r="AS52" s="25" t="e">
        <f t="shared" ca="1" si="706"/>
        <v>#NAME?</v>
      </c>
      <c r="AT52" s="25" t="e">
        <f t="shared" ca="1" si="706"/>
        <v>#NAME?</v>
      </c>
      <c r="AU52" s="25" t="e">
        <f t="shared" ca="1" si="706"/>
        <v>#NAME?</v>
      </c>
      <c r="AV52" s="25" t="e">
        <f t="shared" ca="1" si="706"/>
        <v>#NAME?</v>
      </c>
      <c r="AW52" s="25" t="e">
        <f t="shared" ca="1" si="706"/>
        <v>#NAME?</v>
      </c>
      <c r="AX52" s="25" t="e">
        <f t="shared" ca="1" si="706"/>
        <v>#NAME?</v>
      </c>
      <c r="AY52" s="25" t="e">
        <f t="shared" ca="1" si="706"/>
        <v>#NAME?</v>
      </c>
      <c r="AZ52" s="25" t="e">
        <f t="shared" ca="1" si="706"/>
        <v>#NAME?</v>
      </c>
      <c r="BA52" s="25" t="e">
        <f t="shared" ca="1" si="706"/>
        <v>#NAME?</v>
      </c>
      <c r="BB52" s="25" t="e">
        <f t="shared" ca="1" si="706"/>
        <v>#NAME?</v>
      </c>
      <c r="BC52" s="25" t="e">
        <f t="shared" ca="1" si="706"/>
        <v>#NAME?</v>
      </c>
      <c r="BD52" s="25" t="e">
        <f t="shared" ca="1" si="706"/>
        <v>#NAME?</v>
      </c>
      <c r="BE52" s="25" t="e">
        <f t="shared" ca="1" si="706"/>
        <v>#NAME?</v>
      </c>
      <c r="BF52" s="25" t="e">
        <f t="shared" ca="1" si="706"/>
        <v>#NAME?</v>
      </c>
      <c r="BG52" s="25" t="e">
        <f t="shared" ca="1" si="706"/>
        <v>#NAME?</v>
      </c>
      <c r="BH52" s="25" t="e">
        <f t="shared" ca="1" si="706"/>
        <v>#NAME?</v>
      </c>
      <c r="BI52" s="25" t="e">
        <f t="shared" ca="1" si="706"/>
        <v>#NAME?</v>
      </c>
      <c r="BJ52" s="25" t="e">
        <f t="shared" ca="1" si="706"/>
        <v>#NAME?</v>
      </c>
      <c r="BK52" s="25" t="e">
        <f t="shared" ca="1" si="706"/>
        <v>#NAME?</v>
      </c>
      <c r="BL52" s="25" t="e">
        <f t="shared" ca="1" si="706"/>
        <v>#NAME?</v>
      </c>
      <c r="BM52" s="25" t="e">
        <f t="shared" ca="1" si="706"/>
        <v>#NAME?</v>
      </c>
      <c r="BN52" s="25" t="e">
        <f t="shared" ca="1" si="706"/>
        <v>#NAME?</v>
      </c>
      <c r="BO52" s="25" t="e">
        <f t="shared" ca="1" si="706"/>
        <v>#NAME?</v>
      </c>
      <c r="BP52" s="25" t="e">
        <f t="shared" ca="1" si="706"/>
        <v>#NAME?</v>
      </c>
      <c r="BQ52" s="25" t="e">
        <f t="shared" ca="1" si="706"/>
        <v>#NAME?</v>
      </c>
      <c r="BR52" s="25" t="e">
        <f t="shared" ca="1" si="706"/>
        <v>#NAME?</v>
      </c>
      <c r="BS52" s="25" t="e">
        <f t="shared" ca="1" si="706"/>
        <v>#NAME?</v>
      </c>
      <c r="BT52" s="25" t="e">
        <f t="shared" ca="1" si="706"/>
        <v>#NAME?</v>
      </c>
      <c r="BU52" s="25" t="e">
        <f t="shared" ca="1" si="706"/>
        <v>#NAME?</v>
      </c>
      <c r="BV52" s="25" t="e">
        <f t="shared" ca="1" si="706"/>
        <v>#NAME?</v>
      </c>
      <c r="BW52" s="25" t="e">
        <f t="shared" ca="1" si="706"/>
        <v>#NAME?</v>
      </c>
      <c r="BX52" s="25" t="e">
        <f t="shared" ca="1" si="706"/>
        <v>#NAME?</v>
      </c>
      <c r="BY52" s="25" t="e">
        <f t="shared" ca="1" si="706"/>
        <v>#NAME?</v>
      </c>
      <c r="BZ52" s="25" t="e">
        <f t="shared" ca="1" si="706"/>
        <v>#NAME?</v>
      </c>
      <c r="CA52" s="25" t="e">
        <f t="shared" ca="1" si="706"/>
        <v>#NAME?</v>
      </c>
      <c r="CB52" s="25" t="e">
        <f t="shared" ca="1" si="706"/>
        <v>#NAME?</v>
      </c>
      <c r="CC52" s="25" t="e">
        <f t="shared" ca="1" si="706"/>
        <v>#NAME?</v>
      </c>
      <c r="CD52" s="25" t="e">
        <f t="shared" ca="1" si="706"/>
        <v>#NAME?</v>
      </c>
      <c r="CE52" s="25" t="e">
        <f t="shared" ref="CE52:CF52" ca="1" si="707">CE51-CE48</f>
        <v>#NAME?</v>
      </c>
      <c r="CF52" s="25" t="e">
        <f t="shared" ca="1" si="707"/>
        <v>#NAME?</v>
      </c>
      <c r="CG52" s="25" t="e">
        <f t="shared" ref="CG52:CH52" ca="1" si="708">CG51-CG48</f>
        <v>#NAME?</v>
      </c>
      <c r="CH52" s="25" t="e">
        <f t="shared" ca="1" si="708"/>
        <v>#NAME?</v>
      </c>
      <c r="CI52" s="25" t="e">
        <f t="shared" ref="CI52:CJ52" ca="1" si="709">CI51-CI48</f>
        <v>#NAME?</v>
      </c>
      <c r="CJ52" s="25" t="e">
        <f t="shared" ca="1" si="709"/>
        <v>#NAME?</v>
      </c>
      <c r="CK52" s="25" t="e">
        <f t="shared" ref="CK52:CL52" ca="1" si="710">CK51-CK48</f>
        <v>#NAME?</v>
      </c>
      <c r="CL52" s="25" t="e">
        <f t="shared" ca="1" si="710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1">(B48-B47)/B120</f>
        <v>#NAME?</v>
      </c>
      <c r="C54" s="39" t="e">
        <f t="shared" ca="1" si="711"/>
        <v>#NAME?</v>
      </c>
      <c r="D54" s="39" t="e">
        <f t="shared" ca="1" si="711"/>
        <v>#NAME?</v>
      </c>
      <c r="E54" s="39" t="e">
        <f t="shared" ca="1" si="711"/>
        <v>#NAME?</v>
      </c>
      <c r="F54" s="39" t="e">
        <f t="shared" ca="1" si="711"/>
        <v>#NAME?</v>
      </c>
      <c r="G54" s="39" t="e">
        <f t="shared" ca="1" si="711"/>
        <v>#NAME?</v>
      </c>
      <c r="H54" s="39" t="e">
        <f t="shared" ca="1" si="711"/>
        <v>#NAME?</v>
      </c>
      <c r="I54" s="39" t="e">
        <f t="shared" ca="1" si="711"/>
        <v>#NAME?</v>
      </c>
      <c r="J54" s="39" t="e">
        <f t="shared" ca="1" si="711"/>
        <v>#NAME?</v>
      </c>
      <c r="K54" s="39" t="e">
        <f t="shared" ca="1" si="711"/>
        <v>#NAME?</v>
      </c>
      <c r="L54" s="39" t="e">
        <f t="shared" ca="1" si="711"/>
        <v>#NAME?</v>
      </c>
      <c r="M54" s="39" t="e">
        <f t="shared" ca="1" si="711"/>
        <v>#NAME?</v>
      </c>
      <c r="N54" s="39" t="e">
        <f t="shared" ca="1" si="711"/>
        <v>#NAME?</v>
      </c>
      <c r="O54" s="39" t="e">
        <f t="shared" ca="1" si="711"/>
        <v>#NAME?</v>
      </c>
      <c r="P54" s="39" t="e">
        <f t="shared" ca="1" si="711"/>
        <v>#NAME?</v>
      </c>
      <c r="Q54" s="39" t="e">
        <f t="shared" ca="1" si="711"/>
        <v>#NAME?</v>
      </c>
      <c r="R54" s="39" t="e">
        <f t="shared" ca="1" si="711"/>
        <v>#NAME?</v>
      </c>
      <c r="S54" s="39" t="e">
        <f t="shared" ca="1" si="711"/>
        <v>#NAME?</v>
      </c>
      <c r="T54" s="39" t="e">
        <f t="shared" ca="1" si="711"/>
        <v>#NAME?</v>
      </c>
      <c r="U54" s="39" t="e">
        <f t="shared" ca="1" si="711"/>
        <v>#NAME?</v>
      </c>
      <c r="V54" s="39" t="e">
        <f t="shared" ca="1" si="711"/>
        <v>#NAME?</v>
      </c>
      <c r="W54" s="39" t="e">
        <f t="shared" ca="1" si="711"/>
        <v>#NAME?</v>
      </c>
      <c r="X54" s="39" t="e">
        <f t="shared" ca="1" si="711"/>
        <v>#NAME?</v>
      </c>
      <c r="Y54" s="39" t="e">
        <f t="shared" ca="1" si="711"/>
        <v>#NAME?</v>
      </c>
      <c r="Z54" s="39" t="e">
        <f t="shared" ca="1" si="711"/>
        <v>#NAME?</v>
      </c>
      <c r="AA54" s="39" t="e">
        <f t="shared" ref="AA54" ca="1" si="712">(AA48-AA47)/AA120</f>
        <v>#NAME?</v>
      </c>
      <c r="AB54" s="40" t="e">
        <f t="shared" ca="1" si="711"/>
        <v>#NAME?</v>
      </c>
      <c r="AC54" s="40" t="e">
        <f t="shared" ca="1" si="711"/>
        <v>#NAME?</v>
      </c>
      <c r="AD54" s="40" t="e">
        <f t="shared" ca="1" si="711"/>
        <v>#NAME?</v>
      </c>
      <c r="AE54" s="40" t="e">
        <f t="shared" ca="1" si="711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3">(SUM(AI48:AL48)-SUM(AI47:AL47))/AL120</f>
        <v>#NAME?</v>
      </c>
      <c r="AM54" s="39" t="e">
        <f t="shared" ca="1" si="713"/>
        <v>#NAME?</v>
      </c>
      <c r="AN54" s="39" t="e">
        <f t="shared" ca="1" si="713"/>
        <v>#NAME?</v>
      </c>
      <c r="AO54" s="39" t="e">
        <f t="shared" ca="1" si="713"/>
        <v>#NAME?</v>
      </c>
      <c r="AP54" s="39" t="e">
        <f t="shared" ca="1" si="713"/>
        <v>#NAME?</v>
      </c>
      <c r="AQ54" s="39" t="e">
        <f t="shared" ca="1" si="713"/>
        <v>#NAME?</v>
      </c>
      <c r="AR54" s="39" t="e">
        <f t="shared" ca="1" si="713"/>
        <v>#NAME?</v>
      </c>
      <c r="AS54" s="39" t="e">
        <f t="shared" ca="1" si="713"/>
        <v>#NAME?</v>
      </c>
      <c r="AT54" s="39" t="e">
        <f t="shared" ca="1" si="713"/>
        <v>#NAME?</v>
      </c>
      <c r="AU54" s="39" t="e">
        <f t="shared" ca="1" si="713"/>
        <v>#NAME?</v>
      </c>
      <c r="AV54" s="39" t="e">
        <f t="shared" ca="1" si="713"/>
        <v>#NAME?</v>
      </c>
      <c r="AW54" s="39" t="e">
        <f t="shared" ca="1" si="713"/>
        <v>#NAME?</v>
      </c>
      <c r="AX54" s="39" t="e">
        <f t="shared" ca="1" si="713"/>
        <v>#NAME?</v>
      </c>
      <c r="AY54" s="39" t="e">
        <f t="shared" ca="1" si="713"/>
        <v>#NAME?</v>
      </c>
      <c r="AZ54" s="39" t="e">
        <f t="shared" ca="1" si="713"/>
        <v>#NAME?</v>
      </c>
      <c r="BA54" s="39" t="e">
        <f t="shared" ca="1" si="713"/>
        <v>#NAME?</v>
      </c>
      <c r="BB54" s="39" t="e">
        <f t="shared" ca="1" si="713"/>
        <v>#NAME?</v>
      </c>
      <c r="BC54" s="39" t="e">
        <f t="shared" ca="1" si="713"/>
        <v>#NAME?</v>
      </c>
      <c r="BD54" s="39" t="e">
        <f t="shared" ca="1" si="713"/>
        <v>#NAME?</v>
      </c>
      <c r="BE54" s="39" t="e">
        <f t="shared" ca="1" si="713"/>
        <v>#NAME?</v>
      </c>
      <c r="BF54" s="39" t="e">
        <f t="shared" ca="1" si="713"/>
        <v>#NAME?</v>
      </c>
      <c r="BG54" s="39" t="e">
        <f t="shared" ca="1" si="713"/>
        <v>#NAME?</v>
      </c>
      <c r="BH54" s="39" t="e">
        <f t="shared" ca="1" si="713"/>
        <v>#NAME?</v>
      </c>
      <c r="BI54" s="39" t="e">
        <f t="shared" ca="1" si="713"/>
        <v>#NAME?</v>
      </c>
      <c r="BJ54" s="39" t="e">
        <f t="shared" ca="1" si="713"/>
        <v>#NAME?</v>
      </c>
      <c r="BK54" s="39" t="e">
        <f t="shared" ca="1" si="713"/>
        <v>#NAME?</v>
      </c>
      <c r="BL54" s="39" t="e">
        <f t="shared" ca="1" si="713"/>
        <v>#NAME?</v>
      </c>
      <c r="BM54" s="39" t="e">
        <f t="shared" ca="1" si="713"/>
        <v>#NAME?</v>
      </c>
      <c r="BN54" s="39" t="e">
        <f t="shared" ca="1" si="713"/>
        <v>#NAME?</v>
      </c>
      <c r="BO54" s="39" t="e">
        <f t="shared" ca="1" si="713"/>
        <v>#NAME?</v>
      </c>
      <c r="BP54" s="39" t="e">
        <f t="shared" ca="1" si="713"/>
        <v>#NAME?</v>
      </c>
      <c r="BQ54" s="39" t="e">
        <f t="shared" ca="1" si="713"/>
        <v>#NAME?</v>
      </c>
      <c r="BR54" s="39" t="e">
        <f t="shared" ref="BR54:CW54" ca="1" si="714">(SUM(BO48:BR48)-SUM(BO47:BR47))/BR120</f>
        <v>#NAME?</v>
      </c>
      <c r="BS54" s="39" t="e">
        <f t="shared" ca="1" si="714"/>
        <v>#NAME?</v>
      </c>
      <c r="BT54" s="39" t="e">
        <f t="shared" ca="1" si="714"/>
        <v>#NAME?</v>
      </c>
      <c r="BU54" s="39" t="e">
        <f t="shared" ca="1" si="714"/>
        <v>#NAME?</v>
      </c>
      <c r="BV54" s="39" t="e">
        <f t="shared" ca="1" si="714"/>
        <v>#NAME?</v>
      </c>
      <c r="BW54" s="39" t="e">
        <f t="shared" ca="1" si="714"/>
        <v>#NAME?</v>
      </c>
      <c r="BX54" s="39" t="e">
        <f t="shared" ca="1" si="714"/>
        <v>#NAME?</v>
      </c>
      <c r="BY54" s="39" t="e">
        <f t="shared" ca="1" si="714"/>
        <v>#NAME?</v>
      </c>
      <c r="BZ54" s="39" t="e">
        <f t="shared" ca="1" si="714"/>
        <v>#NAME?</v>
      </c>
      <c r="CA54" s="39" t="e">
        <f t="shared" ca="1" si="714"/>
        <v>#NAME?</v>
      </c>
      <c r="CB54" s="39" t="e">
        <f t="shared" ca="1" si="714"/>
        <v>#NAME?</v>
      </c>
      <c r="CC54" s="39" t="e">
        <f t="shared" ca="1" si="714"/>
        <v>#NAME?</v>
      </c>
      <c r="CD54" s="39" t="e">
        <f t="shared" ca="1" si="714"/>
        <v>#NAME?</v>
      </c>
      <c r="CE54" s="39" t="e">
        <f t="shared" ca="1" si="714"/>
        <v>#NAME?</v>
      </c>
      <c r="CF54" s="39" t="e">
        <f t="shared" ca="1" si="714"/>
        <v>#NAME?</v>
      </c>
      <c r="CG54" s="39" t="e">
        <f t="shared" ca="1" si="714"/>
        <v>#NAME?</v>
      </c>
      <c r="CH54" s="39" t="e">
        <f t="shared" ca="1" si="714"/>
        <v>#NAME?</v>
      </c>
      <c r="CI54" s="39" t="e">
        <f t="shared" ca="1" si="714"/>
        <v>#NAME?</v>
      </c>
      <c r="CJ54" s="39" t="e">
        <f t="shared" ca="1" si="714"/>
        <v>#NAME?</v>
      </c>
      <c r="CK54" s="39" t="e">
        <f t="shared" ca="1" si="714"/>
        <v>#NAME?</v>
      </c>
      <c r="CL54" s="39" t="e">
        <f t="shared" ca="1" si="714"/>
        <v>#NAME?</v>
      </c>
      <c r="CM54" s="40" t="e">
        <f t="shared" ca="1" si="714"/>
        <v>#NAME?</v>
      </c>
      <c r="CN54" s="40" t="e">
        <f t="shared" ca="1" si="714"/>
        <v>#NAME?</v>
      </c>
      <c r="CO54" s="40" t="e">
        <f t="shared" ca="1" si="714"/>
        <v>#NAME?</v>
      </c>
      <c r="CP54" s="40" t="e">
        <f t="shared" ca="1" si="714"/>
        <v>#NAME?</v>
      </c>
      <c r="CQ54" s="40" t="e">
        <f t="shared" ca="1" si="714"/>
        <v>#NAME?</v>
      </c>
      <c r="CR54" s="40" t="e">
        <f t="shared" ca="1" si="714"/>
        <v>#NAME?</v>
      </c>
      <c r="CS54" s="40" t="e">
        <f t="shared" ca="1" si="714"/>
        <v>#NAME?</v>
      </c>
      <c r="CT54" s="40" t="e">
        <f t="shared" ca="1" si="714"/>
        <v>#NAME?</v>
      </c>
      <c r="CU54" s="40" t="e">
        <f t="shared" ca="1" si="714"/>
        <v>#NAME?</v>
      </c>
      <c r="CV54" s="40" t="e">
        <f t="shared" ca="1" si="714"/>
        <v>#NAME?</v>
      </c>
      <c r="CW54" s="40" t="e">
        <f t="shared" ca="1" si="714"/>
        <v>#NAME?</v>
      </c>
      <c r="CX54" s="40" t="e">
        <f t="shared" ref="CX54:DB54" ca="1" si="715">(SUM(CU48:CX48)-SUM(CU47:CX47))/CX120</f>
        <v>#NAME?</v>
      </c>
      <c r="CY54" s="40" t="e">
        <f t="shared" ca="1" si="715"/>
        <v>#NAME?</v>
      </c>
      <c r="CZ54" s="40" t="e">
        <f t="shared" ca="1" si="715"/>
        <v>#NAME?</v>
      </c>
      <c r="DA54" s="40" t="e">
        <f t="shared" ca="1" si="715"/>
        <v>#NAME?</v>
      </c>
      <c r="DB54" s="40" t="e">
        <f t="shared" ca="1" si="715"/>
        <v>#NAME?</v>
      </c>
      <c r="DE54" s="122"/>
      <c r="DF54" s="38">
        <v>0.6550939796043026</v>
      </c>
    </row>
    <row r="55" spans="1:110" s="38" customFormat="1" x14ac:dyDescent="0.2">
      <c r="A55" s="38" t="s">
        <v>351</v>
      </c>
      <c r="B55" s="39" t="e">
        <f t="shared" ref="B55:AE55" ca="1" si="716">+B34/B129</f>
        <v>#NAME?</v>
      </c>
      <c r="C55" s="39" t="e">
        <f t="shared" ca="1" si="716"/>
        <v>#NAME?</v>
      </c>
      <c r="D55" s="39" t="e">
        <f t="shared" ca="1" si="716"/>
        <v>#NAME?</v>
      </c>
      <c r="E55" s="39" t="e">
        <f t="shared" ca="1" si="716"/>
        <v>#NAME?</v>
      </c>
      <c r="F55" s="39" t="e">
        <f t="shared" ca="1" si="716"/>
        <v>#NAME?</v>
      </c>
      <c r="G55" s="39" t="e">
        <f t="shared" ca="1" si="716"/>
        <v>#NAME?</v>
      </c>
      <c r="H55" s="39" t="e">
        <f t="shared" ca="1" si="716"/>
        <v>#NAME?</v>
      </c>
      <c r="I55" s="39" t="e">
        <f t="shared" ca="1" si="716"/>
        <v>#NAME?</v>
      </c>
      <c r="J55" s="39" t="e">
        <f t="shared" ca="1" si="716"/>
        <v>#NAME?</v>
      </c>
      <c r="K55" s="39" t="e">
        <f t="shared" ca="1" si="716"/>
        <v>#NAME?</v>
      </c>
      <c r="L55" s="39" t="e">
        <f t="shared" ca="1" si="716"/>
        <v>#NAME?</v>
      </c>
      <c r="M55" s="39" t="e">
        <f t="shared" ca="1" si="716"/>
        <v>#NAME?</v>
      </c>
      <c r="N55" s="39" t="e">
        <f t="shared" ca="1" si="716"/>
        <v>#NAME?</v>
      </c>
      <c r="O55" s="39" t="e">
        <f t="shared" ca="1" si="716"/>
        <v>#NAME?</v>
      </c>
      <c r="P55" s="39" t="e">
        <f t="shared" ca="1" si="716"/>
        <v>#NAME?</v>
      </c>
      <c r="Q55" s="39" t="e">
        <f t="shared" ca="1" si="716"/>
        <v>#NAME?</v>
      </c>
      <c r="R55" s="39" t="e">
        <f t="shared" ca="1" si="716"/>
        <v>#NAME?</v>
      </c>
      <c r="S55" s="39" t="e">
        <f t="shared" ca="1" si="716"/>
        <v>#NAME?</v>
      </c>
      <c r="T55" s="39" t="e">
        <f t="shared" ca="1" si="716"/>
        <v>#NAME?</v>
      </c>
      <c r="U55" s="39" t="e">
        <f t="shared" ca="1" si="716"/>
        <v>#NAME?</v>
      </c>
      <c r="V55" s="39" t="e">
        <f t="shared" ca="1" si="716"/>
        <v>#NAME?</v>
      </c>
      <c r="W55" s="39" t="e">
        <f t="shared" ca="1" si="716"/>
        <v>#NAME?</v>
      </c>
      <c r="X55" s="39" t="e">
        <f t="shared" ca="1" si="716"/>
        <v>#NAME?</v>
      </c>
      <c r="Y55" s="39" t="e">
        <f t="shared" ca="1" si="716"/>
        <v>#NAME?</v>
      </c>
      <c r="Z55" s="39" t="e">
        <f t="shared" ca="1" si="716"/>
        <v>#NAME?</v>
      </c>
      <c r="AA55" s="39" t="e">
        <f t="shared" ref="AA55" ca="1" si="717">+AA34/AA129</f>
        <v>#NAME?</v>
      </c>
      <c r="AB55" s="40" t="e">
        <f t="shared" ca="1" si="716"/>
        <v>#NAME?</v>
      </c>
      <c r="AC55" s="40" t="e">
        <f t="shared" ca="1" si="716"/>
        <v>#NAME?</v>
      </c>
      <c r="AD55" s="40" t="e">
        <f t="shared" ca="1" si="716"/>
        <v>#NAME?</v>
      </c>
      <c r="AE55" s="40" t="e">
        <f t="shared" ca="1" si="716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18">+SUM(AI34:AL34)/AL129</f>
        <v>#NAME?</v>
      </c>
      <c r="AM55" s="39" t="e">
        <f t="shared" ca="1" si="718"/>
        <v>#NAME?</v>
      </c>
      <c r="AN55" s="39" t="e">
        <f t="shared" ca="1" si="718"/>
        <v>#NAME?</v>
      </c>
      <c r="AO55" s="39" t="e">
        <f t="shared" ca="1" si="718"/>
        <v>#NAME?</v>
      </c>
      <c r="AP55" s="39" t="e">
        <f t="shared" ca="1" si="718"/>
        <v>#NAME?</v>
      </c>
      <c r="AQ55" s="39" t="e">
        <f t="shared" ca="1" si="718"/>
        <v>#NAME?</v>
      </c>
      <c r="AR55" s="39" t="e">
        <f t="shared" ca="1" si="718"/>
        <v>#NAME?</v>
      </c>
      <c r="AS55" s="39" t="e">
        <f t="shared" ca="1" si="718"/>
        <v>#NAME?</v>
      </c>
      <c r="AT55" s="39" t="e">
        <f t="shared" ca="1" si="718"/>
        <v>#NAME?</v>
      </c>
      <c r="AU55" s="39" t="e">
        <f t="shared" ca="1" si="718"/>
        <v>#NAME?</v>
      </c>
      <c r="AV55" s="39" t="e">
        <f t="shared" ca="1" si="718"/>
        <v>#NAME?</v>
      </c>
      <c r="AW55" s="39" t="e">
        <f t="shared" ca="1" si="718"/>
        <v>#NAME?</v>
      </c>
      <c r="AX55" s="39" t="e">
        <f t="shared" ca="1" si="718"/>
        <v>#NAME?</v>
      </c>
      <c r="AY55" s="39" t="e">
        <f t="shared" ca="1" si="718"/>
        <v>#NAME?</v>
      </c>
      <c r="AZ55" s="39" t="e">
        <f t="shared" ca="1" si="718"/>
        <v>#NAME?</v>
      </c>
      <c r="BA55" s="39" t="e">
        <f t="shared" ca="1" si="718"/>
        <v>#NAME?</v>
      </c>
      <c r="BB55" s="39" t="e">
        <f t="shared" ca="1" si="718"/>
        <v>#NAME?</v>
      </c>
      <c r="BC55" s="39" t="e">
        <f t="shared" ca="1" si="718"/>
        <v>#NAME?</v>
      </c>
      <c r="BD55" s="39" t="e">
        <f t="shared" ca="1" si="718"/>
        <v>#NAME?</v>
      </c>
      <c r="BE55" s="39" t="e">
        <f t="shared" ca="1" si="718"/>
        <v>#NAME?</v>
      </c>
      <c r="BF55" s="39" t="e">
        <f t="shared" ca="1" si="718"/>
        <v>#NAME?</v>
      </c>
      <c r="BG55" s="39" t="e">
        <f t="shared" ca="1" si="718"/>
        <v>#NAME?</v>
      </c>
      <c r="BH55" s="39" t="e">
        <f t="shared" ca="1" si="718"/>
        <v>#NAME?</v>
      </c>
      <c r="BI55" s="39" t="e">
        <f t="shared" ca="1" si="718"/>
        <v>#NAME?</v>
      </c>
      <c r="BJ55" s="39" t="e">
        <f t="shared" ca="1" si="718"/>
        <v>#NAME?</v>
      </c>
      <c r="BK55" s="39" t="e">
        <f t="shared" ca="1" si="718"/>
        <v>#NAME?</v>
      </c>
      <c r="BL55" s="39" t="e">
        <f t="shared" ca="1" si="718"/>
        <v>#NAME?</v>
      </c>
      <c r="BM55" s="39" t="e">
        <f t="shared" ca="1" si="718"/>
        <v>#NAME?</v>
      </c>
      <c r="BN55" s="39" t="e">
        <f t="shared" ca="1" si="718"/>
        <v>#NAME?</v>
      </c>
      <c r="BO55" s="39" t="e">
        <f t="shared" ca="1" si="718"/>
        <v>#NAME?</v>
      </c>
      <c r="BP55" s="39" t="e">
        <f t="shared" ca="1" si="718"/>
        <v>#NAME?</v>
      </c>
      <c r="BQ55" s="39" t="e">
        <f t="shared" ca="1" si="718"/>
        <v>#NAME?</v>
      </c>
      <c r="BR55" s="39" t="e">
        <f t="shared" ref="BR55:CW55" ca="1" si="719">+SUM(BO34:BR34)/BR129</f>
        <v>#NAME?</v>
      </c>
      <c r="BS55" s="39" t="e">
        <f t="shared" ca="1" si="719"/>
        <v>#NAME?</v>
      </c>
      <c r="BT55" s="39" t="e">
        <f t="shared" ca="1" si="719"/>
        <v>#NAME?</v>
      </c>
      <c r="BU55" s="39" t="e">
        <f t="shared" ca="1" si="719"/>
        <v>#NAME?</v>
      </c>
      <c r="BV55" s="39" t="e">
        <f t="shared" ca="1" si="719"/>
        <v>#NAME?</v>
      </c>
      <c r="BW55" s="39" t="e">
        <f t="shared" ca="1" si="719"/>
        <v>#NAME?</v>
      </c>
      <c r="BX55" s="39" t="e">
        <f t="shared" ca="1" si="719"/>
        <v>#NAME?</v>
      </c>
      <c r="BY55" s="39" t="e">
        <f t="shared" ca="1" si="719"/>
        <v>#NAME?</v>
      </c>
      <c r="BZ55" s="39" t="e">
        <f t="shared" ca="1" si="719"/>
        <v>#NAME?</v>
      </c>
      <c r="CA55" s="39" t="e">
        <f t="shared" ca="1" si="719"/>
        <v>#NAME?</v>
      </c>
      <c r="CB55" s="39" t="e">
        <f t="shared" ca="1" si="719"/>
        <v>#NAME?</v>
      </c>
      <c r="CC55" s="39" t="e">
        <f t="shared" ca="1" si="719"/>
        <v>#NAME?</v>
      </c>
      <c r="CD55" s="39" t="e">
        <f t="shared" ca="1" si="719"/>
        <v>#NAME?</v>
      </c>
      <c r="CE55" s="39" t="e">
        <f t="shared" ca="1" si="719"/>
        <v>#NAME?</v>
      </c>
      <c r="CF55" s="39" t="e">
        <f t="shared" ca="1" si="719"/>
        <v>#NAME?</v>
      </c>
      <c r="CG55" s="39" t="e">
        <f t="shared" ca="1" si="719"/>
        <v>#NAME?</v>
      </c>
      <c r="CH55" s="39" t="e">
        <f t="shared" ca="1" si="719"/>
        <v>#NAME?</v>
      </c>
      <c r="CI55" s="39" t="e">
        <f t="shared" ca="1" si="719"/>
        <v>#NAME?</v>
      </c>
      <c r="CJ55" s="39" t="e">
        <f t="shared" ca="1" si="719"/>
        <v>#NAME?</v>
      </c>
      <c r="CK55" s="39" t="e">
        <f t="shared" ca="1" si="719"/>
        <v>#NAME?</v>
      </c>
      <c r="CL55" s="39" t="e">
        <f t="shared" ca="1" si="719"/>
        <v>#NAME?</v>
      </c>
      <c r="CM55" s="40" t="e">
        <f t="shared" ca="1" si="719"/>
        <v>#NAME?</v>
      </c>
      <c r="CN55" s="40" t="e">
        <f t="shared" ca="1" si="719"/>
        <v>#NAME?</v>
      </c>
      <c r="CO55" s="40" t="e">
        <f t="shared" ca="1" si="719"/>
        <v>#NAME?</v>
      </c>
      <c r="CP55" s="40" t="e">
        <f t="shared" ca="1" si="719"/>
        <v>#NAME?</v>
      </c>
      <c r="CQ55" s="40" t="e">
        <f t="shared" ca="1" si="719"/>
        <v>#NAME?</v>
      </c>
      <c r="CR55" s="40" t="e">
        <f t="shared" ca="1" si="719"/>
        <v>#NAME?</v>
      </c>
      <c r="CS55" s="40" t="e">
        <f t="shared" ca="1" si="719"/>
        <v>#NAME?</v>
      </c>
      <c r="CT55" s="40" t="e">
        <f t="shared" ca="1" si="719"/>
        <v>#NAME?</v>
      </c>
      <c r="CU55" s="40" t="e">
        <f t="shared" ca="1" si="719"/>
        <v>#NAME?</v>
      </c>
      <c r="CV55" s="40" t="e">
        <f t="shared" ca="1" si="719"/>
        <v>#NAME?</v>
      </c>
      <c r="CW55" s="40" t="e">
        <f t="shared" ca="1" si="719"/>
        <v>#NAME?</v>
      </c>
      <c r="CX55" s="40" t="e">
        <f t="shared" ref="CX55:DB55" ca="1" si="720">+SUM(CU34:CX34)/CX129</f>
        <v>#NAME?</v>
      </c>
      <c r="CY55" s="40" t="e">
        <f t="shared" ca="1" si="720"/>
        <v>#NAME?</v>
      </c>
      <c r="CZ55" s="40" t="e">
        <f t="shared" ca="1" si="720"/>
        <v>#NAME?</v>
      </c>
      <c r="DA55" s="40" t="e">
        <f t="shared" ca="1" si="720"/>
        <v>#NAME?</v>
      </c>
      <c r="DB55" s="40" t="e">
        <f t="shared" ca="1" si="720"/>
        <v>#NAME?</v>
      </c>
      <c r="DE55" s="122"/>
      <c r="DF55" s="38">
        <v>0.87556861935264729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Raw'!C105</f>
        <v>#NAME?</v>
      </c>
      <c r="C63" s="3" t="e">
        <f ca="1">'Annual Raw'!D105</f>
        <v>#NAME?</v>
      </c>
      <c r="D63" s="3" t="e">
        <f ca="1">'Annual Raw'!E105</f>
        <v>#NAME?</v>
      </c>
      <c r="E63" s="3">
        <f t="shared" ref="E63:Y63" ca="1" si="721">+F63</f>
        <v>192.83</v>
      </c>
      <c r="F63" s="3">
        <f t="shared" ca="1" si="721"/>
        <v>192.83</v>
      </c>
      <c r="G63" s="3">
        <f t="shared" ca="1" si="721"/>
        <v>192.83</v>
      </c>
      <c r="H63" s="3">
        <f t="shared" ca="1" si="721"/>
        <v>192.83</v>
      </c>
      <c r="I63" s="3">
        <f t="shared" ca="1" si="721"/>
        <v>192.83</v>
      </c>
      <c r="J63" s="3">
        <f t="shared" ca="1" si="721"/>
        <v>192.83</v>
      </c>
      <c r="K63" s="3">
        <f t="shared" ca="1" si="721"/>
        <v>192.83</v>
      </c>
      <c r="L63" s="3">
        <f t="shared" ca="1" si="721"/>
        <v>192.83</v>
      </c>
      <c r="M63" s="3">
        <f t="shared" ca="1" si="721"/>
        <v>192.83</v>
      </c>
      <c r="N63" s="3">
        <f t="shared" ca="1" si="721"/>
        <v>192.83</v>
      </c>
      <c r="O63" s="3">
        <f t="shared" ca="1" si="721"/>
        <v>192.83</v>
      </c>
      <c r="P63" s="3">
        <f t="shared" ca="1" si="721"/>
        <v>192.83</v>
      </c>
      <c r="Q63" s="3">
        <f t="shared" ca="1" si="721"/>
        <v>192.83</v>
      </c>
      <c r="R63" s="3">
        <f t="shared" ca="1" si="721"/>
        <v>192.83</v>
      </c>
      <c r="S63" s="3">
        <f t="shared" ca="1" si="721"/>
        <v>192.83</v>
      </c>
      <c r="T63" s="3">
        <f t="shared" ca="1" si="721"/>
        <v>192.83</v>
      </c>
      <c r="U63" s="3">
        <f t="shared" ca="1" si="721"/>
        <v>192.83</v>
      </c>
      <c r="V63" s="3">
        <f t="shared" ca="1" si="721"/>
        <v>192.83</v>
      </c>
      <c r="W63" s="3">
        <f t="shared" ca="1" si="721"/>
        <v>192.83</v>
      </c>
      <c r="X63" s="3">
        <f t="shared" ca="1" si="721"/>
        <v>192.83</v>
      </c>
      <c r="Y63" s="3">
        <f t="shared" ca="1" si="721"/>
        <v>192.83</v>
      </c>
      <c r="Z63" s="3">
        <f ca="1">+AA63</f>
        <v>192.83</v>
      </c>
      <c r="AA63" s="3">
        <f ca="1">+AB63</f>
        <v>192.83</v>
      </c>
      <c r="AB63" s="37">
        <f t="shared" ref="AB63:AB64" ca="1" si="722">AA63</f>
        <v>192.83</v>
      </c>
      <c r="AC63" s="37">
        <f t="shared" ref="AC63:AC64" ca="1" si="723">AB63</f>
        <v>192.83</v>
      </c>
      <c r="AD63" s="37">
        <f t="shared" ref="AD63:AD64" ca="1" si="724">AC63</f>
        <v>192.83</v>
      </c>
      <c r="AE63" s="37">
        <f t="shared" ref="AE63:AE64" ca="1" si="725">AD63</f>
        <v>192.83</v>
      </c>
      <c r="AI63" s="3" t="e">
        <f t="shared" ref="AI63:CH63" ca="1" si="726">+AJ63</f>
        <v>#NAME?</v>
      </c>
      <c r="AJ63" s="3" t="e">
        <f t="shared" ca="1" si="726"/>
        <v>#NAME?</v>
      </c>
      <c r="AK63" s="3" t="e">
        <f t="shared" ca="1" si="726"/>
        <v>#NAME?</v>
      </c>
      <c r="AL63" s="3" t="e">
        <f t="shared" ca="1" si="726"/>
        <v>#NAME?</v>
      </c>
      <c r="AM63" s="3" t="e">
        <f t="shared" ca="1" si="726"/>
        <v>#NAME?</v>
      </c>
      <c r="AN63" s="3" t="e">
        <f t="shared" ca="1" si="726"/>
        <v>#NAME?</v>
      </c>
      <c r="AO63" s="3" t="e">
        <f t="shared" ca="1" si="726"/>
        <v>#NAME?</v>
      </c>
      <c r="AP63" s="3" t="e">
        <f t="shared" ca="1" si="726"/>
        <v>#NAME?</v>
      </c>
      <c r="AQ63" s="3" t="e">
        <f t="shared" ca="1" si="726"/>
        <v>#NAME?</v>
      </c>
      <c r="AR63" s="3" t="e">
        <f t="shared" ca="1" si="726"/>
        <v>#NAME?</v>
      </c>
      <c r="AS63" s="3" t="e">
        <f t="shared" ca="1" si="726"/>
        <v>#NAME?</v>
      </c>
      <c r="AT63" s="3" t="e">
        <f t="shared" ca="1" si="726"/>
        <v>#NAME?</v>
      </c>
      <c r="AU63" s="3" t="e">
        <f t="shared" ca="1" si="726"/>
        <v>#NAME?</v>
      </c>
      <c r="AV63" s="3" t="e">
        <f t="shared" ca="1" si="726"/>
        <v>#NAME?</v>
      </c>
      <c r="AW63" s="3" t="e">
        <f t="shared" ca="1" si="726"/>
        <v>#NAME?</v>
      </c>
      <c r="AX63" s="3" t="e">
        <f t="shared" ca="1" si="726"/>
        <v>#NAME?</v>
      </c>
      <c r="AY63" s="3" t="e">
        <f t="shared" ca="1" si="726"/>
        <v>#NAME?</v>
      </c>
      <c r="AZ63" s="3" t="e">
        <f t="shared" ca="1" si="726"/>
        <v>#NAME?</v>
      </c>
      <c r="BA63" s="3" t="e">
        <f t="shared" ca="1" si="726"/>
        <v>#NAME?</v>
      </c>
      <c r="BB63" s="3" t="e">
        <f t="shared" ca="1" si="726"/>
        <v>#NAME?</v>
      </c>
      <c r="BC63" s="3" t="e">
        <f t="shared" ca="1" si="726"/>
        <v>#NAME?</v>
      </c>
      <c r="BD63" s="3" t="e">
        <f t="shared" ca="1" si="726"/>
        <v>#NAME?</v>
      </c>
      <c r="BE63" s="3" t="e">
        <f t="shared" ca="1" si="726"/>
        <v>#NAME?</v>
      </c>
      <c r="BF63" s="3" t="e">
        <f t="shared" ca="1" si="726"/>
        <v>#NAME?</v>
      </c>
      <c r="BG63" s="3" t="e">
        <f t="shared" ca="1" si="726"/>
        <v>#NAME?</v>
      </c>
      <c r="BH63" s="3" t="e">
        <f t="shared" ca="1" si="726"/>
        <v>#NAME?</v>
      </c>
      <c r="BI63" s="3" t="e">
        <f t="shared" ca="1" si="726"/>
        <v>#NAME?</v>
      </c>
      <c r="BJ63" s="3" t="e">
        <f t="shared" ca="1" si="726"/>
        <v>#NAME?</v>
      </c>
      <c r="BK63" s="3" t="e">
        <f t="shared" ca="1" si="726"/>
        <v>#NAME?</v>
      </c>
      <c r="BL63" s="3" t="e">
        <f t="shared" ca="1" si="726"/>
        <v>#NAME?</v>
      </c>
      <c r="BM63" s="3" t="e">
        <f t="shared" ca="1" si="726"/>
        <v>#NAME?</v>
      </c>
      <c r="BN63" s="3" t="e">
        <f t="shared" ca="1" si="726"/>
        <v>#NAME?</v>
      </c>
      <c r="BO63" s="3" t="e">
        <f t="shared" ca="1" si="726"/>
        <v>#NAME?</v>
      </c>
      <c r="BP63" s="3" t="e">
        <f t="shared" ca="1" si="726"/>
        <v>#NAME?</v>
      </c>
      <c r="BQ63" s="3" t="e">
        <f t="shared" ca="1" si="726"/>
        <v>#NAME?</v>
      </c>
      <c r="BR63" s="3" t="e">
        <f t="shared" ca="1" si="726"/>
        <v>#NAME?</v>
      </c>
      <c r="BS63" s="3" t="e">
        <f t="shared" ca="1" si="726"/>
        <v>#NAME?</v>
      </c>
      <c r="BT63" s="3" t="e">
        <f t="shared" ca="1" si="726"/>
        <v>#NAME?</v>
      </c>
      <c r="BU63" s="3" t="e">
        <f t="shared" ca="1" si="726"/>
        <v>#NAME?</v>
      </c>
      <c r="BV63" s="3" t="e">
        <f t="shared" ca="1" si="726"/>
        <v>#NAME?</v>
      </c>
      <c r="BW63" s="3" t="e">
        <f t="shared" ca="1" si="726"/>
        <v>#NAME?</v>
      </c>
      <c r="BX63" s="3" t="e">
        <f t="shared" ca="1" si="726"/>
        <v>#NAME?</v>
      </c>
      <c r="BY63" s="3" t="e">
        <f t="shared" ca="1" si="726"/>
        <v>#NAME?</v>
      </c>
      <c r="BZ63" s="3" t="e">
        <f t="shared" ca="1" si="726"/>
        <v>#NAME?</v>
      </c>
      <c r="CA63" s="3" t="e">
        <f t="shared" ca="1" si="726"/>
        <v>#NAME?</v>
      </c>
      <c r="CB63" s="3" t="e">
        <f t="shared" ca="1" si="726"/>
        <v>#NAME?</v>
      </c>
      <c r="CC63" s="3" t="e">
        <f t="shared" ca="1" si="726"/>
        <v>#NAME?</v>
      </c>
      <c r="CD63" s="3" t="e">
        <f t="shared" ca="1" si="726"/>
        <v>#NAME?</v>
      </c>
      <c r="CE63" s="3" t="e">
        <f t="shared" ca="1" si="726"/>
        <v>#NAME?</v>
      </c>
      <c r="CF63" s="3" t="e">
        <f t="shared" ca="1" si="726"/>
        <v>#NAME?</v>
      </c>
      <c r="CG63" s="3" t="e">
        <f t="shared" ca="1" si="726"/>
        <v>#NAME?</v>
      </c>
      <c r="CH63" s="3" t="e">
        <f t="shared" ca="1" si="726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27">+CL63</f>
        <v>#NAME?</v>
      </c>
      <c r="CN63" s="37" t="e">
        <f t="shared" ref="CN63:CN64" ca="1" si="728">+CM63</f>
        <v>#NAME?</v>
      </c>
      <c r="CO63" s="37" t="e">
        <f t="shared" ref="CO63:CO64" ca="1" si="729">+CN63</f>
        <v>#NAME?</v>
      </c>
      <c r="CP63" s="37" t="e">
        <f t="shared" ref="CP63:CP64" ca="1" si="730">+CO63</f>
        <v>#NAME?</v>
      </c>
      <c r="CQ63" s="37" t="e">
        <f t="shared" ref="CQ63:CQ64" ca="1" si="731">+CP63</f>
        <v>#NAME?</v>
      </c>
      <c r="CR63" s="37" t="e">
        <f t="shared" ref="CR63:CR64" ca="1" si="732">+CQ63</f>
        <v>#NAME?</v>
      </c>
      <c r="CS63" s="37" t="e">
        <f t="shared" ref="CS63:CS64" ca="1" si="733">+CR63</f>
        <v>#NAME?</v>
      </c>
      <c r="CT63" s="37" t="e">
        <f t="shared" ref="CT63:CT64" ca="1" si="734">+CS63</f>
        <v>#NAME?</v>
      </c>
      <c r="CU63" s="37" t="e">
        <f t="shared" ref="CU63:CU64" ca="1" si="735">+CT63</f>
        <v>#NAME?</v>
      </c>
      <c r="CV63" s="37" t="e">
        <f t="shared" ref="CV63:CV64" ca="1" si="736">+CU63</f>
        <v>#NAME?</v>
      </c>
      <c r="CW63" s="37" t="e">
        <f t="shared" ref="CW63:CW64" ca="1" si="737">+CV63</f>
        <v>#NAME?</v>
      </c>
      <c r="CX63" s="37" t="e">
        <f t="shared" ref="CX63:CX64" ca="1" si="738">+CW63</f>
        <v>#NAME?</v>
      </c>
      <c r="CY63" s="37" t="e">
        <f t="shared" ref="CY63:CY64" ca="1" si="739">+CX63</f>
        <v>#NAME?</v>
      </c>
      <c r="CZ63" s="37" t="e">
        <f t="shared" ref="CZ63:CZ64" ca="1" si="740">+CY63</f>
        <v>#NAME?</v>
      </c>
      <c r="DA63" s="37" t="e">
        <f t="shared" ref="DA63:DA64" ca="1" si="741">+CZ63</f>
        <v>#NAME?</v>
      </c>
      <c r="DB63" s="37" t="e">
        <f t="shared" ref="DB63:DB64" ca="1" si="742">+DA63</f>
        <v>#NAME?</v>
      </c>
      <c r="DE63" s="134"/>
      <c r="DF63" s="3">
        <v>192.83</v>
      </c>
    </row>
    <row r="64" spans="1:110" s="3" customFormat="1" x14ac:dyDescent="0.2">
      <c r="A64" s="3" t="s">
        <v>28</v>
      </c>
      <c r="B64" s="3" t="e">
        <f ca="1">'Annual Raw'!C106</f>
        <v>#NAME?</v>
      </c>
      <c r="C64" s="3" t="e">
        <f ca="1">'Annual Raw'!D106</f>
        <v>#NAME?</v>
      </c>
      <c r="D64" s="3" t="e">
        <f ca="1">'Annual Raw'!E106</f>
        <v>#NAME?</v>
      </c>
      <c r="E64" s="3">
        <f t="shared" ref="E64:Y64" ca="1" si="743">+F64</f>
        <v>1</v>
      </c>
      <c r="F64" s="3">
        <f t="shared" ca="1" si="743"/>
        <v>1</v>
      </c>
      <c r="G64" s="3">
        <f t="shared" ca="1" si="743"/>
        <v>1</v>
      </c>
      <c r="H64" s="3">
        <f t="shared" ca="1" si="743"/>
        <v>1</v>
      </c>
      <c r="I64" s="3">
        <f t="shared" ca="1" si="743"/>
        <v>1</v>
      </c>
      <c r="J64" s="3">
        <f t="shared" ca="1" si="743"/>
        <v>1</v>
      </c>
      <c r="K64" s="3">
        <f t="shared" ca="1" si="743"/>
        <v>1</v>
      </c>
      <c r="L64" s="3">
        <f t="shared" ca="1" si="743"/>
        <v>1</v>
      </c>
      <c r="M64" s="3">
        <f t="shared" ca="1" si="743"/>
        <v>1</v>
      </c>
      <c r="N64" s="3">
        <f t="shared" ca="1" si="743"/>
        <v>1</v>
      </c>
      <c r="O64" s="3">
        <f t="shared" ca="1" si="743"/>
        <v>1</v>
      </c>
      <c r="P64" s="3">
        <f t="shared" ca="1" si="743"/>
        <v>1</v>
      </c>
      <c r="Q64" s="3">
        <f t="shared" ca="1" si="743"/>
        <v>1</v>
      </c>
      <c r="R64" s="3">
        <f t="shared" ca="1" si="743"/>
        <v>1</v>
      </c>
      <c r="S64" s="3">
        <f t="shared" ca="1" si="743"/>
        <v>1</v>
      </c>
      <c r="T64" s="3">
        <f t="shared" ca="1" si="743"/>
        <v>1</v>
      </c>
      <c r="U64" s="3">
        <f t="shared" ca="1" si="743"/>
        <v>1</v>
      </c>
      <c r="V64" s="3">
        <f t="shared" ca="1" si="743"/>
        <v>1</v>
      </c>
      <c r="W64" s="3">
        <f t="shared" ca="1" si="743"/>
        <v>1</v>
      </c>
      <c r="X64" s="3">
        <f t="shared" ca="1" si="743"/>
        <v>1</v>
      </c>
      <c r="Y64" s="3">
        <f t="shared" ca="1" si="743"/>
        <v>1</v>
      </c>
      <c r="Z64" s="3">
        <f ca="1">+AA64</f>
        <v>1</v>
      </c>
      <c r="AA64" s="3">
        <f ca="1">+AB64</f>
        <v>1</v>
      </c>
      <c r="AB64" s="37">
        <f t="shared" ca="1" si="722"/>
        <v>1</v>
      </c>
      <c r="AC64" s="37">
        <f t="shared" ca="1" si="723"/>
        <v>1</v>
      </c>
      <c r="AD64" s="37">
        <f t="shared" ca="1" si="724"/>
        <v>1</v>
      </c>
      <c r="AE64" s="37">
        <f t="shared" ca="1" si="725"/>
        <v>1</v>
      </c>
      <c r="AI64" s="3" t="e">
        <f t="shared" ref="AI64:CH64" ca="1" si="744">AJ64</f>
        <v>#NAME?</v>
      </c>
      <c r="AJ64" s="3" t="e">
        <f t="shared" ca="1" si="744"/>
        <v>#NAME?</v>
      </c>
      <c r="AK64" s="3" t="e">
        <f t="shared" ca="1" si="744"/>
        <v>#NAME?</v>
      </c>
      <c r="AL64" s="3" t="e">
        <f t="shared" ca="1" si="744"/>
        <v>#NAME?</v>
      </c>
      <c r="AM64" s="3" t="e">
        <f t="shared" ca="1" si="744"/>
        <v>#NAME?</v>
      </c>
      <c r="AN64" s="3" t="e">
        <f t="shared" ca="1" si="744"/>
        <v>#NAME?</v>
      </c>
      <c r="AO64" s="3" t="e">
        <f t="shared" ca="1" si="744"/>
        <v>#NAME?</v>
      </c>
      <c r="AP64" s="3" t="e">
        <f t="shared" ca="1" si="744"/>
        <v>#NAME?</v>
      </c>
      <c r="AQ64" s="3" t="e">
        <f t="shared" ca="1" si="744"/>
        <v>#NAME?</v>
      </c>
      <c r="AR64" s="3" t="e">
        <f t="shared" ca="1" si="744"/>
        <v>#NAME?</v>
      </c>
      <c r="AS64" s="3" t="e">
        <f t="shared" ca="1" si="744"/>
        <v>#NAME?</v>
      </c>
      <c r="AT64" s="3" t="e">
        <f t="shared" ca="1" si="744"/>
        <v>#NAME?</v>
      </c>
      <c r="AU64" s="3" t="e">
        <f t="shared" ca="1" si="744"/>
        <v>#NAME?</v>
      </c>
      <c r="AV64" s="3" t="e">
        <f t="shared" ca="1" si="744"/>
        <v>#NAME?</v>
      </c>
      <c r="AW64" s="3" t="e">
        <f t="shared" ca="1" si="744"/>
        <v>#NAME?</v>
      </c>
      <c r="AX64" s="3" t="e">
        <f t="shared" ca="1" si="744"/>
        <v>#NAME?</v>
      </c>
      <c r="AY64" s="3" t="e">
        <f t="shared" ca="1" si="744"/>
        <v>#NAME?</v>
      </c>
      <c r="AZ64" s="3" t="e">
        <f t="shared" ca="1" si="744"/>
        <v>#NAME?</v>
      </c>
      <c r="BA64" s="3" t="e">
        <f t="shared" ca="1" si="744"/>
        <v>#NAME?</v>
      </c>
      <c r="BB64" s="3" t="e">
        <f t="shared" ca="1" si="744"/>
        <v>#NAME?</v>
      </c>
      <c r="BC64" s="3" t="e">
        <f t="shared" ca="1" si="744"/>
        <v>#NAME?</v>
      </c>
      <c r="BD64" s="3" t="e">
        <f t="shared" ca="1" si="744"/>
        <v>#NAME?</v>
      </c>
      <c r="BE64" s="3" t="e">
        <f t="shared" ca="1" si="744"/>
        <v>#NAME?</v>
      </c>
      <c r="BF64" s="3" t="e">
        <f t="shared" ca="1" si="744"/>
        <v>#NAME?</v>
      </c>
      <c r="BG64" s="3" t="e">
        <f t="shared" ca="1" si="744"/>
        <v>#NAME?</v>
      </c>
      <c r="BH64" s="3" t="e">
        <f t="shared" ca="1" si="744"/>
        <v>#NAME?</v>
      </c>
      <c r="BI64" s="3" t="e">
        <f t="shared" ca="1" si="744"/>
        <v>#NAME?</v>
      </c>
      <c r="BJ64" s="3" t="e">
        <f t="shared" ca="1" si="744"/>
        <v>#NAME?</v>
      </c>
      <c r="BK64" s="3" t="e">
        <f t="shared" ca="1" si="744"/>
        <v>#NAME?</v>
      </c>
      <c r="BL64" s="3" t="e">
        <f t="shared" ca="1" si="744"/>
        <v>#NAME?</v>
      </c>
      <c r="BM64" s="3" t="e">
        <f t="shared" ca="1" si="744"/>
        <v>#NAME?</v>
      </c>
      <c r="BN64" s="3" t="e">
        <f t="shared" ca="1" si="744"/>
        <v>#NAME?</v>
      </c>
      <c r="BO64" s="3" t="e">
        <f t="shared" ca="1" si="744"/>
        <v>#NAME?</v>
      </c>
      <c r="BP64" s="3" t="e">
        <f t="shared" ca="1" si="744"/>
        <v>#NAME?</v>
      </c>
      <c r="BQ64" s="3" t="e">
        <f t="shared" ca="1" si="744"/>
        <v>#NAME?</v>
      </c>
      <c r="BR64" s="3" t="e">
        <f t="shared" ca="1" si="744"/>
        <v>#NAME?</v>
      </c>
      <c r="BS64" s="3" t="e">
        <f t="shared" ca="1" si="744"/>
        <v>#NAME?</v>
      </c>
      <c r="BT64" s="3" t="e">
        <f t="shared" ca="1" si="744"/>
        <v>#NAME?</v>
      </c>
      <c r="BU64" s="3" t="e">
        <f t="shared" ca="1" si="744"/>
        <v>#NAME?</v>
      </c>
      <c r="BV64" s="3" t="e">
        <f t="shared" ca="1" si="744"/>
        <v>#NAME?</v>
      </c>
      <c r="BW64" s="3" t="e">
        <f t="shared" ca="1" si="744"/>
        <v>#NAME?</v>
      </c>
      <c r="BX64" s="3" t="e">
        <f t="shared" ca="1" si="744"/>
        <v>#NAME?</v>
      </c>
      <c r="BY64" s="3" t="e">
        <f t="shared" ca="1" si="744"/>
        <v>#NAME?</v>
      </c>
      <c r="BZ64" s="3" t="e">
        <f t="shared" ca="1" si="744"/>
        <v>#NAME?</v>
      </c>
      <c r="CA64" s="3" t="e">
        <f t="shared" ca="1" si="744"/>
        <v>#NAME?</v>
      </c>
      <c r="CB64" s="3" t="e">
        <f t="shared" ca="1" si="744"/>
        <v>#NAME?</v>
      </c>
      <c r="CC64" s="3" t="e">
        <f t="shared" ca="1" si="744"/>
        <v>#NAME?</v>
      </c>
      <c r="CD64" s="3" t="e">
        <f t="shared" ca="1" si="744"/>
        <v>#NAME?</v>
      </c>
      <c r="CE64" s="3" t="e">
        <f t="shared" ca="1" si="744"/>
        <v>#NAME?</v>
      </c>
      <c r="CF64" s="3" t="e">
        <f t="shared" ca="1" si="744"/>
        <v>#NAME?</v>
      </c>
      <c r="CG64" s="3" t="e">
        <f t="shared" ca="1" si="744"/>
        <v>#NAME?</v>
      </c>
      <c r="CH64" s="3" t="e">
        <f t="shared" ca="1" si="744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27"/>
        <v>#NAME?</v>
      </c>
      <c r="CN64" s="37" t="e">
        <f t="shared" ca="1" si="728"/>
        <v>#NAME?</v>
      </c>
      <c r="CO64" s="37" t="e">
        <f t="shared" ca="1" si="729"/>
        <v>#NAME?</v>
      </c>
      <c r="CP64" s="37" t="e">
        <f t="shared" ca="1" si="730"/>
        <v>#NAME?</v>
      </c>
      <c r="CQ64" s="37" t="e">
        <f t="shared" ca="1" si="731"/>
        <v>#NAME?</v>
      </c>
      <c r="CR64" s="37" t="e">
        <f t="shared" ca="1" si="732"/>
        <v>#NAME?</v>
      </c>
      <c r="CS64" s="37" t="e">
        <f t="shared" ca="1" si="733"/>
        <v>#NAME?</v>
      </c>
      <c r="CT64" s="37" t="e">
        <f t="shared" ca="1" si="734"/>
        <v>#NAME?</v>
      </c>
      <c r="CU64" s="37" t="e">
        <f t="shared" ca="1" si="735"/>
        <v>#NAME?</v>
      </c>
      <c r="CV64" s="37" t="e">
        <f t="shared" ca="1" si="736"/>
        <v>#NAME?</v>
      </c>
      <c r="CW64" s="37" t="e">
        <f t="shared" ca="1" si="737"/>
        <v>#NAME?</v>
      </c>
      <c r="CX64" s="37" t="e">
        <f t="shared" ca="1" si="738"/>
        <v>#NAME?</v>
      </c>
      <c r="CY64" s="37" t="e">
        <f t="shared" ca="1" si="739"/>
        <v>#NAME?</v>
      </c>
      <c r="CZ64" s="37" t="e">
        <f t="shared" ca="1" si="740"/>
        <v>#NAME?</v>
      </c>
      <c r="DA64" s="37" t="e">
        <f t="shared" ca="1" si="741"/>
        <v>#NAME?</v>
      </c>
      <c r="DB64" s="37" t="e">
        <f t="shared" ca="1" si="742"/>
        <v>#NAME?</v>
      </c>
      <c r="DE64" s="134"/>
      <c r="DF64" s="3">
        <v>1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5">C63/C64</f>
        <v>#NAME?</v>
      </c>
      <c r="D65" s="3" t="e">
        <f t="shared" ca="1" si="745"/>
        <v>#NAME?</v>
      </c>
      <c r="E65" s="3">
        <f t="shared" ca="1" si="745"/>
        <v>192.83</v>
      </c>
      <c r="F65" s="3">
        <f t="shared" ca="1" si="745"/>
        <v>192.83</v>
      </c>
      <c r="G65" s="3">
        <f t="shared" ca="1" si="745"/>
        <v>192.83</v>
      </c>
      <c r="H65" s="3">
        <f t="shared" ca="1" si="745"/>
        <v>192.83</v>
      </c>
      <c r="I65" s="3">
        <f t="shared" ca="1" si="745"/>
        <v>192.83</v>
      </c>
      <c r="J65" s="3">
        <f t="shared" ca="1" si="745"/>
        <v>192.83</v>
      </c>
      <c r="K65" s="3">
        <f t="shared" ca="1" si="745"/>
        <v>192.83</v>
      </c>
      <c r="L65" s="3">
        <f t="shared" ca="1" si="745"/>
        <v>192.83</v>
      </c>
      <c r="M65" s="3">
        <f t="shared" ca="1" si="745"/>
        <v>192.83</v>
      </c>
      <c r="N65" s="3">
        <f t="shared" ca="1" si="745"/>
        <v>192.83</v>
      </c>
      <c r="O65" s="3">
        <f t="shared" ca="1" si="745"/>
        <v>192.83</v>
      </c>
      <c r="P65" s="3">
        <f t="shared" ca="1" si="745"/>
        <v>192.83</v>
      </c>
      <c r="Q65" s="3">
        <f t="shared" ca="1" si="745"/>
        <v>192.83</v>
      </c>
      <c r="R65" s="3">
        <f t="shared" ca="1" si="745"/>
        <v>192.83</v>
      </c>
      <c r="S65" s="3">
        <f t="shared" ca="1" si="745"/>
        <v>192.83</v>
      </c>
      <c r="T65" s="3">
        <f t="shared" ca="1" si="745"/>
        <v>192.83</v>
      </c>
      <c r="U65" s="3">
        <f t="shared" ca="1" si="745"/>
        <v>192.83</v>
      </c>
      <c r="V65" s="3">
        <f ca="1">V63/V64</f>
        <v>192.83</v>
      </c>
      <c r="W65" s="3">
        <f t="shared" ca="1" si="745"/>
        <v>192.83</v>
      </c>
      <c r="X65" s="3">
        <f t="shared" ref="X65:Y65" ca="1" si="746">X63/X64</f>
        <v>192.83</v>
      </c>
      <c r="Y65" s="3">
        <f t="shared" ca="1" si="746"/>
        <v>192.83</v>
      </c>
      <c r="Z65" s="3">
        <f t="shared" ref="Z65:AA65" ca="1" si="747">Z63/Z64</f>
        <v>192.83</v>
      </c>
      <c r="AA65" s="3">
        <f t="shared" ca="1" si="747"/>
        <v>192.83</v>
      </c>
      <c r="AB65" s="37">
        <f t="shared" ref="AA65:AD65" ca="1" si="748">AB63/AB64</f>
        <v>192.83</v>
      </c>
      <c r="AC65" s="37">
        <f t="shared" ca="1" si="748"/>
        <v>192.83</v>
      </c>
      <c r="AD65" s="37">
        <f t="shared" ca="1" si="748"/>
        <v>192.83</v>
      </c>
      <c r="AE65" s="37">
        <f t="shared" ref="AE65" ca="1" si="749">AE63/AE64</f>
        <v>192.83</v>
      </c>
      <c r="AI65" s="3" t="e">
        <f t="shared" ref="AI65" ca="1" si="750">AI63/AI64</f>
        <v>#NAME?</v>
      </c>
      <c r="AJ65" s="3" t="e">
        <f t="shared" ref="AJ65" ca="1" si="751">AJ63/AJ64</f>
        <v>#NAME?</v>
      </c>
      <c r="AK65" s="3" t="e">
        <f t="shared" ref="AK65:AM65" ca="1" si="752">AK63/AK64</f>
        <v>#NAME?</v>
      </c>
      <c r="AL65" s="3" t="e">
        <f t="shared" ca="1" si="752"/>
        <v>#NAME?</v>
      </c>
      <c r="AM65" s="3" t="e">
        <f t="shared" ca="1" si="752"/>
        <v>#NAME?</v>
      </c>
      <c r="AN65" s="3" t="e">
        <f t="shared" ref="AN65:AO65" ca="1" si="753">AN63/AN64</f>
        <v>#NAME?</v>
      </c>
      <c r="AO65" s="3" t="e">
        <f t="shared" ca="1" si="753"/>
        <v>#NAME?</v>
      </c>
      <c r="AP65" s="3" t="e">
        <f t="shared" ref="AP65:CD65" ca="1" si="754">AP63/AP64</f>
        <v>#NAME?</v>
      </c>
      <c r="AQ65" s="3" t="e">
        <f t="shared" ca="1" si="754"/>
        <v>#NAME?</v>
      </c>
      <c r="AR65" s="3" t="e">
        <f t="shared" ca="1" si="754"/>
        <v>#NAME?</v>
      </c>
      <c r="AS65" s="3" t="e">
        <f t="shared" ca="1" si="754"/>
        <v>#NAME?</v>
      </c>
      <c r="AT65" s="3" t="e">
        <f t="shared" ca="1" si="754"/>
        <v>#NAME?</v>
      </c>
      <c r="AU65" s="3" t="e">
        <f t="shared" ca="1" si="754"/>
        <v>#NAME?</v>
      </c>
      <c r="AV65" s="3" t="e">
        <f t="shared" ca="1" si="754"/>
        <v>#NAME?</v>
      </c>
      <c r="AW65" s="3" t="e">
        <f t="shared" ca="1" si="754"/>
        <v>#NAME?</v>
      </c>
      <c r="AX65" s="3" t="e">
        <f t="shared" ca="1" si="754"/>
        <v>#NAME?</v>
      </c>
      <c r="AY65" s="3" t="e">
        <f t="shared" ca="1" si="754"/>
        <v>#NAME?</v>
      </c>
      <c r="AZ65" s="3" t="e">
        <f t="shared" ca="1" si="754"/>
        <v>#NAME?</v>
      </c>
      <c r="BA65" s="3" t="e">
        <f t="shared" ca="1" si="754"/>
        <v>#NAME?</v>
      </c>
      <c r="BB65" s="3" t="e">
        <f t="shared" ca="1" si="754"/>
        <v>#NAME?</v>
      </c>
      <c r="BC65" s="3" t="e">
        <f t="shared" ca="1" si="754"/>
        <v>#NAME?</v>
      </c>
      <c r="BD65" s="3" t="e">
        <f t="shared" ca="1" si="754"/>
        <v>#NAME?</v>
      </c>
      <c r="BE65" s="3" t="e">
        <f t="shared" ca="1" si="754"/>
        <v>#NAME?</v>
      </c>
      <c r="BF65" s="3" t="e">
        <f t="shared" ca="1" si="754"/>
        <v>#NAME?</v>
      </c>
      <c r="BG65" s="3" t="e">
        <f t="shared" ca="1" si="754"/>
        <v>#NAME?</v>
      </c>
      <c r="BH65" s="3" t="e">
        <f t="shared" ca="1" si="754"/>
        <v>#NAME?</v>
      </c>
      <c r="BI65" s="3" t="e">
        <f t="shared" ca="1" si="754"/>
        <v>#NAME?</v>
      </c>
      <c r="BJ65" s="3" t="e">
        <f t="shared" ca="1" si="754"/>
        <v>#NAME?</v>
      </c>
      <c r="BK65" s="3" t="e">
        <f t="shared" ca="1" si="754"/>
        <v>#NAME?</v>
      </c>
      <c r="BL65" s="3" t="e">
        <f t="shared" ca="1" si="754"/>
        <v>#NAME?</v>
      </c>
      <c r="BM65" s="3" t="e">
        <f t="shared" ca="1" si="754"/>
        <v>#NAME?</v>
      </c>
      <c r="BN65" s="3" t="e">
        <f t="shared" ca="1" si="754"/>
        <v>#NAME?</v>
      </c>
      <c r="BO65" s="3" t="e">
        <f t="shared" ca="1" si="754"/>
        <v>#NAME?</v>
      </c>
      <c r="BP65" s="3" t="e">
        <f t="shared" ca="1" si="754"/>
        <v>#NAME?</v>
      </c>
      <c r="BQ65" s="3" t="e">
        <f t="shared" ca="1" si="754"/>
        <v>#NAME?</v>
      </c>
      <c r="BR65" s="3" t="e">
        <f t="shared" ca="1" si="754"/>
        <v>#NAME?</v>
      </c>
      <c r="BS65" s="3" t="e">
        <f t="shared" ca="1" si="754"/>
        <v>#NAME?</v>
      </c>
      <c r="BT65" s="3" t="e">
        <f t="shared" ca="1" si="754"/>
        <v>#NAME?</v>
      </c>
      <c r="BU65" s="3" t="e">
        <f t="shared" ca="1" si="754"/>
        <v>#NAME?</v>
      </c>
      <c r="BV65" s="3" t="e">
        <f t="shared" ca="1" si="754"/>
        <v>#NAME?</v>
      </c>
      <c r="BW65" s="3" t="e">
        <f t="shared" ca="1" si="754"/>
        <v>#NAME?</v>
      </c>
      <c r="BX65" s="3" t="e">
        <f t="shared" ca="1" si="754"/>
        <v>#NAME?</v>
      </c>
      <c r="BY65" s="3" t="e">
        <f t="shared" ca="1" si="754"/>
        <v>#NAME?</v>
      </c>
      <c r="BZ65" s="3" t="e">
        <f t="shared" ca="1" si="754"/>
        <v>#NAME?</v>
      </c>
      <c r="CA65" s="3" t="e">
        <f t="shared" ca="1" si="754"/>
        <v>#NAME?</v>
      </c>
      <c r="CB65" s="3" t="e">
        <f t="shared" ca="1" si="754"/>
        <v>#NAME?</v>
      </c>
      <c r="CC65" s="3" t="e">
        <f t="shared" ca="1" si="754"/>
        <v>#NAME?</v>
      </c>
      <c r="CD65" s="3" t="e">
        <f t="shared" ca="1" si="754"/>
        <v>#NAME?</v>
      </c>
      <c r="CE65" s="3" t="e">
        <f t="shared" ref="CE65:CF65" ca="1" si="755">CE63/CE64</f>
        <v>#NAME?</v>
      </c>
      <c r="CF65" s="3" t="e">
        <f t="shared" ca="1" si="755"/>
        <v>#NAME?</v>
      </c>
      <c r="CG65" s="3" t="e">
        <f t="shared" ref="CG65:CH65" ca="1" si="756">CG63/CG64</f>
        <v>#NAME?</v>
      </c>
      <c r="CH65" s="3" t="e">
        <f t="shared" ca="1" si="756"/>
        <v>#NAME?</v>
      </c>
      <c r="CI65" s="3" t="e">
        <f t="shared" ref="CI65:CJ65" ca="1" si="757">CI63/CI64</f>
        <v>#NAME?</v>
      </c>
      <c r="CJ65" s="3" t="e">
        <f t="shared" ca="1" si="757"/>
        <v>#NAME?</v>
      </c>
      <c r="CK65" s="3" t="e">
        <f t="shared" ref="CK65:CL65" ca="1" si="758">CK63/CK64</f>
        <v>#NAME?</v>
      </c>
      <c r="CL65" s="3" t="e">
        <f t="shared" ca="1" si="758"/>
        <v>#NAME?</v>
      </c>
      <c r="CM65" s="37" t="e">
        <f t="shared" ref="CM65:DB65" ca="1" si="759">CM63/CM64</f>
        <v>#NAME?</v>
      </c>
      <c r="CN65" s="37" t="e">
        <f t="shared" ca="1" si="759"/>
        <v>#NAME?</v>
      </c>
      <c r="CO65" s="37" t="e">
        <f t="shared" ca="1" si="759"/>
        <v>#NAME?</v>
      </c>
      <c r="CP65" s="37" t="e">
        <f t="shared" ca="1" si="759"/>
        <v>#NAME?</v>
      </c>
      <c r="CQ65" s="37" t="e">
        <f t="shared" ca="1" si="759"/>
        <v>#NAME?</v>
      </c>
      <c r="CR65" s="37" t="e">
        <f t="shared" ca="1" si="759"/>
        <v>#NAME?</v>
      </c>
      <c r="CS65" s="37" t="e">
        <f t="shared" ca="1" si="759"/>
        <v>#NAME?</v>
      </c>
      <c r="CT65" s="37" t="e">
        <f t="shared" ca="1" si="759"/>
        <v>#NAME?</v>
      </c>
      <c r="CU65" s="37" t="e">
        <f t="shared" ca="1" si="759"/>
        <v>#NAME?</v>
      </c>
      <c r="CV65" s="37" t="e">
        <f t="shared" ca="1" si="759"/>
        <v>#NAME?</v>
      </c>
      <c r="CW65" s="37" t="e">
        <f t="shared" ca="1" si="759"/>
        <v>#NAME?</v>
      </c>
      <c r="CX65" s="37" t="e">
        <f t="shared" ca="1" si="759"/>
        <v>#NAME?</v>
      </c>
      <c r="CY65" s="37" t="e">
        <f t="shared" ca="1" si="759"/>
        <v>#NAME?</v>
      </c>
      <c r="CZ65" s="37" t="e">
        <f t="shared" ca="1" si="759"/>
        <v>#NAME?</v>
      </c>
      <c r="DA65" s="37" t="e">
        <f t="shared" ca="1" si="759"/>
        <v>#NAME?</v>
      </c>
      <c r="DB65" s="37" t="e">
        <f t="shared" ca="1" si="759"/>
        <v>#NAME?</v>
      </c>
      <c r="DE65" s="134"/>
      <c r="DF65" s="3">
        <v>192.83</v>
      </c>
    </row>
    <row r="66" spans="1:110" s="53" customFormat="1" x14ac:dyDescent="0.2">
      <c r="A66" s="53" t="s">
        <v>30</v>
      </c>
      <c r="B66" s="53" t="e">
        <f t="shared" ref="B66:AE66" ca="1" si="760">(B48-B47)/B65</f>
        <v>#NAME?</v>
      </c>
      <c r="C66" s="53" t="e">
        <f t="shared" ca="1" si="760"/>
        <v>#NAME?</v>
      </c>
      <c r="D66" s="53" t="e">
        <f t="shared" ca="1" si="760"/>
        <v>#NAME?</v>
      </c>
      <c r="E66" s="53">
        <f t="shared" ca="1" si="760"/>
        <v>1.3643349063942349</v>
      </c>
      <c r="F66" s="53">
        <f t="shared" ca="1" si="760"/>
        <v>1.3064139397396661</v>
      </c>
      <c r="G66" s="53">
        <f t="shared" ca="1" si="760"/>
        <v>1.6054115023595925</v>
      </c>
      <c r="H66" s="53">
        <f t="shared" ca="1" si="760"/>
        <v>1.6340636830368718</v>
      </c>
      <c r="I66" s="53">
        <f t="shared" ca="1" si="760"/>
        <v>2.1459949178032436</v>
      </c>
      <c r="J66" s="53">
        <f t="shared" ca="1" si="760"/>
        <v>2.7697049214333833</v>
      </c>
      <c r="K66" s="53">
        <f t="shared" ca="1" si="760"/>
        <v>3.3967888813981189</v>
      </c>
      <c r="L66" s="53">
        <f t="shared" ca="1" si="760"/>
        <v>4.2455261110822944</v>
      </c>
      <c r="M66" s="53">
        <f t="shared" ca="1" si="760"/>
        <v>4.9865166208577527</v>
      </c>
      <c r="N66" s="53">
        <f t="shared" ca="1" si="760"/>
        <v>5.5381942643779452</v>
      </c>
      <c r="O66" s="53">
        <f t="shared" ca="1" si="760"/>
        <v>5.7217237981641889</v>
      </c>
      <c r="P66" s="53">
        <f t="shared" ca="1" si="760"/>
        <v>6.1074003007830751</v>
      </c>
      <c r="Q66" s="53">
        <f t="shared" ca="1" si="760"/>
        <v>5.5183840688689525</v>
      </c>
      <c r="R66" s="53">
        <f t="shared" ca="1" si="760"/>
        <v>5.2488720634755976</v>
      </c>
      <c r="S66" s="53">
        <f t="shared" ca="1" si="760"/>
        <v>6.3537312658818621</v>
      </c>
      <c r="T66" s="53">
        <f t="shared" ca="1" si="760"/>
        <v>8.3334024788674039</v>
      </c>
      <c r="U66" s="53">
        <f t="shared" ca="1" si="760"/>
        <v>10.208162630296119</v>
      </c>
      <c r="V66" s="53">
        <f t="shared" ca="1" si="760"/>
        <v>10.799305087382674</v>
      </c>
      <c r="W66" s="53">
        <f t="shared" ca="1" si="760"/>
        <v>12.212363221490431</v>
      </c>
      <c r="X66" s="53">
        <f t="shared" ca="1" si="760"/>
        <v>12.397033656588725</v>
      </c>
      <c r="Y66" s="53">
        <f t="shared" ca="1" si="760"/>
        <v>20.372711714982103</v>
      </c>
      <c r="Z66" s="53">
        <f t="shared" ca="1" si="760"/>
        <v>15.683088731006585</v>
      </c>
      <c r="AA66" s="53">
        <f t="shared" ref="AA66" ca="1" si="761">(AA48-AA47)/AA65</f>
        <v>15.683088731006585</v>
      </c>
      <c r="AB66" s="54">
        <f t="shared" ca="1" si="760"/>
        <v>21.834559237196203</v>
      </c>
      <c r="AC66" s="54">
        <f t="shared" ca="1" si="760"/>
        <v>23.905734647193935</v>
      </c>
      <c r="AD66" s="54">
        <f t="shared" ca="1" si="760"/>
        <v>28.498540988791806</v>
      </c>
      <c r="AE66" s="54">
        <f t="shared" ca="1" si="760"/>
        <v>33.849306292372077</v>
      </c>
      <c r="AI66" s="53" t="e">
        <f t="shared" ref="AI66:BN66" ca="1" si="762">(AI48-AI47)/AI65</f>
        <v>#NAME?</v>
      </c>
      <c r="AJ66" s="53" t="e">
        <f t="shared" ca="1" si="762"/>
        <v>#NAME?</v>
      </c>
      <c r="AK66" s="53" t="e">
        <f t="shared" ca="1" si="762"/>
        <v>#NAME?</v>
      </c>
      <c r="AL66" s="53" t="e">
        <f t="shared" ca="1" si="762"/>
        <v>#NAME?</v>
      </c>
      <c r="AM66" s="53" t="e">
        <f t="shared" ca="1" si="762"/>
        <v>#NAME?</v>
      </c>
      <c r="AN66" s="53" t="e">
        <f t="shared" ca="1" si="762"/>
        <v>#NAME?</v>
      </c>
      <c r="AO66" s="53" t="e">
        <f t="shared" ca="1" si="762"/>
        <v>#NAME?</v>
      </c>
      <c r="AP66" s="53" t="e">
        <f t="shared" ca="1" si="762"/>
        <v>#NAME?</v>
      </c>
      <c r="AQ66" s="53" t="e">
        <f t="shared" ca="1" si="762"/>
        <v>#NAME?</v>
      </c>
      <c r="AR66" s="53" t="e">
        <f t="shared" ca="1" si="762"/>
        <v>#NAME?</v>
      </c>
      <c r="AS66" s="53" t="e">
        <f t="shared" ca="1" si="762"/>
        <v>#NAME?</v>
      </c>
      <c r="AT66" s="53" t="e">
        <f t="shared" ca="1" si="762"/>
        <v>#NAME?</v>
      </c>
      <c r="AU66" s="53" t="e">
        <f t="shared" ca="1" si="762"/>
        <v>#NAME?</v>
      </c>
      <c r="AV66" s="53" t="e">
        <f t="shared" ca="1" si="762"/>
        <v>#NAME?</v>
      </c>
      <c r="AW66" s="53" t="e">
        <f t="shared" ca="1" si="762"/>
        <v>#NAME?</v>
      </c>
      <c r="AX66" s="53" t="e">
        <f t="shared" ca="1" si="762"/>
        <v>#NAME?</v>
      </c>
      <c r="AY66" s="53" t="e">
        <f t="shared" ca="1" si="762"/>
        <v>#NAME?</v>
      </c>
      <c r="AZ66" s="53" t="e">
        <f t="shared" ca="1" si="762"/>
        <v>#NAME?</v>
      </c>
      <c r="BA66" s="53" t="e">
        <f t="shared" ca="1" si="762"/>
        <v>#NAME?</v>
      </c>
      <c r="BB66" s="53" t="e">
        <f t="shared" ca="1" si="762"/>
        <v>#NAME?</v>
      </c>
      <c r="BC66" s="53" t="e">
        <f t="shared" ca="1" si="762"/>
        <v>#NAME?</v>
      </c>
      <c r="BD66" s="53" t="e">
        <f t="shared" ca="1" si="762"/>
        <v>#NAME?</v>
      </c>
      <c r="BE66" s="53" t="e">
        <f t="shared" ca="1" si="762"/>
        <v>#NAME?</v>
      </c>
      <c r="BF66" s="53" t="e">
        <f t="shared" ca="1" si="762"/>
        <v>#NAME?</v>
      </c>
      <c r="BG66" s="53" t="e">
        <f t="shared" ca="1" si="762"/>
        <v>#NAME?</v>
      </c>
      <c r="BH66" s="53" t="e">
        <f t="shared" ca="1" si="762"/>
        <v>#NAME?</v>
      </c>
      <c r="BI66" s="53" t="e">
        <f t="shared" ca="1" si="762"/>
        <v>#NAME?</v>
      </c>
      <c r="BJ66" s="53" t="e">
        <f t="shared" ca="1" si="762"/>
        <v>#NAME?</v>
      </c>
      <c r="BK66" s="53" t="e">
        <f t="shared" ca="1" si="762"/>
        <v>#NAME?</v>
      </c>
      <c r="BL66" s="53" t="e">
        <f t="shared" ca="1" si="762"/>
        <v>#NAME?</v>
      </c>
      <c r="BM66" s="53" t="e">
        <f t="shared" ca="1" si="762"/>
        <v>#NAME?</v>
      </c>
      <c r="BN66" s="53" t="e">
        <f t="shared" ca="1" si="762"/>
        <v>#NAME?</v>
      </c>
      <c r="BO66" s="53" t="e">
        <f t="shared" ref="BO66:CT66" ca="1" si="763">(BO48-BO47)/BO65</f>
        <v>#NAME?</v>
      </c>
      <c r="BP66" s="53" t="e">
        <f t="shared" ca="1" si="763"/>
        <v>#NAME?</v>
      </c>
      <c r="BQ66" s="53" t="e">
        <f t="shared" ca="1" si="763"/>
        <v>#NAME?</v>
      </c>
      <c r="BR66" s="53" t="e">
        <f t="shared" ca="1" si="763"/>
        <v>#NAME?</v>
      </c>
      <c r="BS66" s="53" t="e">
        <f t="shared" ca="1" si="763"/>
        <v>#NAME?</v>
      </c>
      <c r="BT66" s="53" t="e">
        <f t="shared" ca="1" si="763"/>
        <v>#NAME?</v>
      </c>
      <c r="BU66" s="53" t="e">
        <f t="shared" ca="1" si="763"/>
        <v>#NAME?</v>
      </c>
      <c r="BV66" s="53" t="e">
        <f t="shared" ca="1" si="763"/>
        <v>#NAME?</v>
      </c>
      <c r="BW66" s="53" t="e">
        <f t="shared" ca="1" si="763"/>
        <v>#NAME?</v>
      </c>
      <c r="BX66" s="53" t="e">
        <f t="shared" ca="1" si="763"/>
        <v>#NAME?</v>
      </c>
      <c r="BY66" s="53" t="e">
        <f t="shared" ca="1" si="763"/>
        <v>#NAME?</v>
      </c>
      <c r="BZ66" s="53" t="e">
        <f t="shared" ca="1" si="763"/>
        <v>#NAME?</v>
      </c>
      <c r="CA66" s="53" t="e">
        <f t="shared" ca="1" si="763"/>
        <v>#NAME?</v>
      </c>
      <c r="CB66" s="53" t="e">
        <f t="shared" ca="1" si="763"/>
        <v>#NAME?</v>
      </c>
      <c r="CC66" s="53" t="e">
        <f t="shared" ca="1" si="763"/>
        <v>#NAME?</v>
      </c>
      <c r="CD66" s="53" t="e">
        <f t="shared" ca="1" si="763"/>
        <v>#NAME?</v>
      </c>
      <c r="CE66" s="53" t="e">
        <f t="shared" ca="1" si="763"/>
        <v>#NAME?</v>
      </c>
      <c r="CF66" s="53" t="e">
        <f t="shared" ca="1" si="763"/>
        <v>#NAME?</v>
      </c>
      <c r="CG66" s="53" t="e">
        <f t="shared" ca="1" si="763"/>
        <v>#NAME?</v>
      </c>
      <c r="CH66" s="53" t="e">
        <f t="shared" ca="1" si="763"/>
        <v>#NAME?</v>
      </c>
      <c r="CI66" s="53" t="e">
        <f t="shared" ca="1" si="763"/>
        <v>#NAME?</v>
      </c>
      <c r="CJ66" s="53" t="e">
        <f t="shared" ca="1" si="763"/>
        <v>#NAME?</v>
      </c>
      <c r="CK66" s="53" t="e">
        <f t="shared" ref="CK66:CL66" ca="1" si="764">(CK48-CK47)/CK65</f>
        <v>#NAME?</v>
      </c>
      <c r="CL66" s="53" t="e">
        <f t="shared" ca="1" si="764"/>
        <v>#NAME?</v>
      </c>
      <c r="CM66" s="54" t="e">
        <f t="shared" ca="1" si="763"/>
        <v>#NAME?</v>
      </c>
      <c r="CN66" s="54" t="e">
        <f t="shared" ca="1" si="763"/>
        <v>#NAME?</v>
      </c>
      <c r="CO66" s="54" t="e">
        <f t="shared" ca="1" si="763"/>
        <v>#NAME?</v>
      </c>
      <c r="CP66" s="54" t="e">
        <f t="shared" ca="1" si="763"/>
        <v>#NAME?</v>
      </c>
      <c r="CQ66" s="54" t="e">
        <f t="shared" ca="1" si="763"/>
        <v>#NAME?</v>
      </c>
      <c r="CR66" s="54" t="e">
        <f t="shared" ca="1" si="763"/>
        <v>#NAME?</v>
      </c>
      <c r="CS66" s="54" t="e">
        <f t="shared" ca="1" si="763"/>
        <v>#NAME?</v>
      </c>
      <c r="CT66" s="54" t="e">
        <f t="shared" ca="1" si="763"/>
        <v>#NAME?</v>
      </c>
      <c r="CU66" s="54" t="e">
        <f t="shared" ref="CU66:DB66" ca="1" si="765">(CU48-CU47)/CU65</f>
        <v>#NAME?</v>
      </c>
      <c r="CV66" s="54" t="e">
        <f t="shared" ca="1" si="765"/>
        <v>#NAME?</v>
      </c>
      <c r="CW66" s="54" t="e">
        <f t="shared" ca="1" si="765"/>
        <v>#NAME?</v>
      </c>
      <c r="CX66" s="54" t="e">
        <f t="shared" ca="1" si="765"/>
        <v>#NAME?</v>
      </c>
      <c r="CY66" s="54" t="e">
        <f t="shared" ca="1" si="765"/>
        <v>#NAME?</v>
      </c>
      <c r="CZ66" s="54" t="e">
        <f t="shared" ca="1" si="765"/>
        <v>#NAME?</v>
      </c>
      <c r="DA66" s="54" t="e">
        <f t="shared" ca="1" si="765"/>
        <v>#NAME?</v>
      </c>
      <c r="DB66" s="54" t="e">
        <f t="shared" ca="1" si="765"/>
        <v>#NAME?</v>
      </c>
      <c r="DE66" s="132"/>
      <c r="DF66" s="53">
        <v>17.519576829331537</v>
      </c>
    </row>
    <row r="67" spans="1:110" s="3" customFormat="1" x14ac:dyDescent="0.2">
      <c r="A67" s="3" t="s">
        <v>31</v>
      </c>
      <c r="B67" s="3" t="e">
        <f ca="1">'Annual Raw'!C111</f>
        <v>#NAME?</v>
      </c>
      <c r="C67" s="3" t="e">
        <f ca="1">'Annual Raw'!D111</f>
        <v>#NAME?</v>
      </c>
      <c r="D67" s="3" t="e">
        <f ca="1">'Annual Raw'!E111</f>
        <v>#NAME?</v>
      </c>
      <c r="E67" s="3" t="e">
        <f ca="1">'Annual Raw'!F111</f>
        <v>#NAME?</v>
      </c>
      <c r="F67" s="3" t="e">
        <f ca="1">'Annual Raw'!G111</f>
        <v>#NAME?</v>
      </c>
      <c r="G67" s="3" t="e">
        <f ca="1">'Annual Raw'!H111</f>
        <v>#NAME?</v>
      </c>
      <c r="H67" s="3" t="e">
        <f ca="1">'Annual Raw'!I111</f>
        <v>#NAME?</v>
      </c>
      <c r="I67" s="3" t="e">
        <f ca="1">'Annual Raw'!J111</f>
        <v>#NAME?</v>
      </c>
      <c r="J67" s="3" t="e">
        <f ca="1">'Annual Raw'!K111</f>
        <v>#NAME?</v>
      </c>
      <c r="K67" s="3" t="e">
        <f ca="1">'Annual Raw'!L111</f>
        <v>#NAME?</v>
      </c>
      <c r="L67" s="3" t="e">
        <f ca="1">'Annual Raw'!M111</f>
        <v>#NAME?</v>
      </c>
      <c r="M67" s="3" t="e">
        <f ca="1">'Annual Raw'!N111</f>
        <v>#NAME?</v>
      </c>
      <c r="N67" s="3" t="e">
        <f ca="1">'Annual Raw'!O111</f>
        <v>#NAME?</v>
      </c>
      <c r="O67" s="3" t="e">
        <f ca="1">'Annual Raw'!P111</f>
        <v>#NAME?</v>
      </c>
      <c r="P67" s="3" t="e">
        <f ca="1">'Annual Raw'!Q111</f>
        <v>#NAME?</v>
      </c>
      <c r="Q67" s="3" t="e">
        <f ca="1">'Annual Raw'!R111</f>
        <v>#NAME?</v>
      </c>
      <c r="R67" s="3" t="e">
        <f ca="1">'Annual Raw'!S111</f>
        <v>#NAME?</v>
      </c>
      <c r="S67" s="3" t="e">
        <f ca="1">'Annual Raw'!T111</f>
        <v>#NAME?</v>
      </c>
      <c r="T67" s="3" t="e">
        <f ca="1">'Annual Raw'!U111</f>
        <v>#NAME?</v>
      </c>
      <c r="U67" s="3" t="e">
        <f ca="1">'Annual Raw'!V111</f>
        <v>#NAME?</v>
      </c>
      <c r="V67" s="3" t="e">
        <f ca="1">'Annual Raw'!W111</f>
        <v>#NAME?</v>
      </c>
      <c r="W67" s="3" t="e">
        <f ca="1">'Annual Raw'!X111</f>
        <v>#NAME?</v>
      </c>
      <c r="X67" s="3" t="e">
        <f ca="1">'Annual Raw'!Y111</f>
        <v>#NAME?</v>
      </c>
      <c r="Y67" s="3" t="e">
        <f ca="1">'Annual Raw'!Z111</f>
        <v>#NAME?</v>
      </c>
      <c r="Z67" s="3" t="e">
        <f ca="1">'Annual Raw'!AA111</f>
        <v>#NAME?</v>
      </c>
      <c r="AA67" s="3" t="e">
        <f ca="1">'Annual Raw'!AB111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66">C67/C66</f>
        <v>#NAME?</v>
      </c>
      <c r="D68" s="3" t="e">
        <f t="shared" ca="1" si="766"/>
        <v>#NAME?</v>
      </c>
      <c r="E68" s="3">
        <f t="shared" ca="1" si="766"/>
        <v>0.73295786490054249</v>
      </c>
      <c r="F68" s="3">
        <f t="shared" ca="1" si="766"/>
        <v>0.93768136020051218</v>
      </c>
      <c r="G68" s="3">
        <f t="shared" ca="1" si="766"/>
        <v>0.77861657161592657</v>
      </c>
      <c r="H68" s="3">
        <f t="shared" ca="1" si="766"/>
        <v>0.78026334789500995</v>
      </c>
      <c r="I68" s="3">
        <f t="shared" ca="1" si="766"/>
        <v>0.76887414145837263</v>
      </c>
      <c r="J68" s="3">
        <f t="shared" ca="1" si="766"/>
        <v>0.76722974478460526</v>
      </c>
      <c r="K68" s="3">
        <f t="shared" ca="1" si="766"/>
        <v>0.71390954359279146</v>
      </c>
      <c r="L68" s="3">
        <f t="shared" ca="1" si="766"/>
        <v>0.57118951492723347</v>
      </c>
      <c r="M68" s="3">
        <f t="shared" ca="1" si="766"/>
        <v>0.48631142426290858</v>
      </c>
      <c r="N68" s="3">
        <f t="shared" ca="1" si="766"/>
        <v>0.43786835279465913</v>
      </c>
      <c r="O68" s="3">
        <f t="shared" ca="1" si="766"/>
        <v>0.42382332414893209</v>
      </c>
      <c r="P68" s="3">
        <f t="shared" ca="1" si="766"/>
        <v>0.51576773174604507</v>
      </c>
      <c r="Q68" s="3">
        <f t="shared" ca="1" si="766"/>
        <v>0.4394402364417212</v>
      </c>
      <c r="R68" s="3">
        <f t="shared" ca="1" si="766"/>
        <v>0.60012893473234952</v>
      </c>
      <c r="S68" s="3">
        <f t="shared" ca="1" si="766"/>
        <v>0.67676768501212081</v>
      </c>
      <c r="T68" s="3">
        <f t="shared" ca="1" si="766"/>
        <v>0.68999427479728359</v>
      </c>
      <c r="U68" s="3">
        <f t="shared" ca="1" si="766"/>
        <v>1.6751300522240959</v>
      </c>
      <c r="V68" s="3">
        <f ca="1">V67/V66</f>
        <v>0.92598550731597173</v>
      </c>
      <c r="W68" s="3">
        <f t="shared" ref="W68" ca="1" si="767">W67/W66</f>
        <v>0.81884233367729553</v>
      </c>
      <c r="X68" s="3">
        <f t="shared" ref="X68:Y68" ca="1" si="768">X67/X66</f>
        <v>0.88730903736425404</v>
      </c>
      <c r="Y68" s="3">
        <f t="shared" ca="1" si="768"/>
        <v>0.79027280340692463</v>
      </c>
      <c r="Z68" s="3">
        <f t="shared" ref="Z68:AA68" ca="1" si="769">Z67/Z66</f>
        <v>0.86079982276128664</v>
      </c>
      <c r="AA68" s="3">
        <f t="shared" ca="1" si="769"/>
        <v>0.86079982276128664</v>
      </c>
      <c r="AB68" s="37">
        <f t="shared" ref="AA68:AD68" ca="1" si="770">AB67/AB66</f>
        <v>0</v>
      </c>
      <c r="AC68" s="37">
        <f t="shared" ca="1" si="770"/>
        <v>0</v>
      </c>
      <c r="AD68" s="37">
        <f t="shared" ca="1" si="770"/>
        <v>0</v>
      </c>
      <c r="AE68" s="37">
        <f t="shared" ref="AE68" ca="1" si="771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2">+C66</f>
        <v>#NAME?</v>
      </c>
      <c r="D69" s="3" t="e">
        <f t="shared" ca="1" si="772"/>
        <v>#NAME?</v>
      </c>
      <c r="E69" s="3">
        <f t="shared" ca="1" si="772"/>
        <v>1.3643349063942349</v>
      </c>
      <c r="F69" s="3">
        <f t="shared" ca="1" si="772"/>
        <v>1.3064139397396661</v>
      </c>
      <c r="G69" s="3">
        <f t="shared" ca="1" si="772"/>
        <v>1.6054115023595925</v>
      </c>
      <c r="H69" s="3">
        <f t="shared" ca="1" si="772"/>
        <v>1.6340636830368718</v>
      </c>
      <c r="I69" s="3">
        <f t="shared" ca="1" si="772"/>
        <v>2.1459949178032436</v>
      </c>
      <c r="J69" s="3">
        <f t="shared" ca="1" si="772"/>
        <v>2.7697049214333833</v>
      </c>
      <c r="K69" s="3">
        <f t="shared" ca="1" si="772"/>
        <v>3.3967888813981189</v>
      </c>
      <c r="L69" s="3">
        <f t="shared" ca="1" si="772"/>
        <v>4.2455261110822944</v>
      </c>
      <c r="M69" s="3">
        <f t="shared" ca="1" si="772"/>
        <v>4.9865166208577527</v>
      </c>
      <c r="N69" s="3">
        <f t="shared" ca="1" si="772"/>
        <v>5.5381942643779452</v>
      </c>
      <c r="O69" s="3">
        <f t="shared" ca="1" si="772"/>
        <v>5.7217237981641889</v>
      </c>
      <c r="P69" s="3">
        <f t="shared" ca="1" si="772"/>
        <v>6.1074003007830751</v>
      </c>
      <c r="Q69" s="3">
        <f t="shared" ca="1" si="772"/>
        <v>5.5183840688689525</v>
      </c>
      <c r="R69" s="3">
        <f t="shared" ca="1" si="772"/>
        <v>5.2488720634755976</v>
      </c>
      <c r="S69" s="3">
        <f t="shared" ca="1" si="772"/>
        <v>6.3537312658818621</v>
      </c>
      <c r="T69" s="3">
        <f ca="1">+T66</f>
        <v>8.3334024788674039</v>
      </c>
      <c r="U69" s="3">
        <f t="shared" ca="1" si="772"/>
        <v>10.208162630296119</v>
      </c>
      <c r="V69" s="3">
        <f ca="1">+V66</f>
        <v>10.799305087382674</v>
      </c>
      <c r="W69" s="3">
        <f t="shared" ref="W69" ca="1" si="773">+W66</f>
        <v>12.212363221490431</v>
      </c>
      <c r="X69" s="3">
        <f t="shared" ref="X69:Y69" ca="1" si="774">+X66</f>
        <v>12.397033656588725</v>
      </c>
      <c r="Y69" s="3">
        <f t="shared" ca="1" si="774"/>
        <v>20.372711714982103</v>
      </c>
      <c r="Z69" s="3">
        <f t="shared" ref="Z69:AA69" ca="1" si="775">+Z66</f>
        <v>15.683088731006585</v>
      </c>
      <c r="AA69" s="3">
        <f t="shared" ca="1" si="775"/>
        <v>15.683088731006585</v>
      </c>
      <c r="AB69" s="37">
        <f t="shared" ref="AA69:AD69" ca="1" si="776">+AB66</f>
        <v>21.834559237196203</v>
      </c>
      <c r="AC69" s="37">
        <f t="shared" ca="1" si="776"/>
        <v>23.905734647193935</v>
      </c>
      <c r="AD69" s="37">
        <f t="shared" ca="1" si="776"/>
        <v>28.498540988791806</v>
      </c>
      <c r="AE69" s="37">
        <f t="shared" ref="AE69" ca="1" si="777">+AE66</f>
        <v>33.849306292372077</v>
      </c>
      <c r="AL69" s="3" t="e">
        <f ca="1">SUM(AI66:AL66)</f>
        <v>#NAME?</v>
      </c>
      <c r="AM69" s="3" t="e">
        <f t="shared" ref="AM69" ca="1" si="778">SUM(AJ66:AM66)</f>
        <v>#NAME?</v>
      </c>
      <c r="AN69" s="3" t="e">
        <f t="shared" ref="AN69" ca="1" si="779">SUM(AK66:AN66)</f>
        <v>#NAME?</v>
      </c>
      <c r="AO69" s="3" t="e">
        <f t="shared" ref="AO69" ca="1" si="780">SUM(AL66:AO66)</f>
        <v>#NAME?</v>
      </c>
      <c r="AP69" s="3" t="e">
        <f t="shared" ref="AP69" ca="1" si="781">SUM(AM66:AP66)</f>
        <v>#NAME?</v>
      </c>
      <c r="AQ69" s="3" t="e">
        <f t="shared" ref="AQ69" ca="1" si="782">SUM(AN66:AQ66)</f>
        <v>#NAME?</v>
      </c>
      <c r="AR69" s="3" t="e">
        <f t="shared" ref="AR69" ca="1" si="783">SUM(AO66:AR66)</f>
        <v>#NAME?</v>
      </c>
      <c r="AS69" s="3" t="e">
        <f t="shared" ref="AS69" ca="1" si="784">SUM(AP66:AS66)</f>
        <v>#NAME?</v>
      </c>
      <c r="AT69" s="3" t="e">
        <f t="shared" ref="AT69" ca="1" si="785">SUM(AQ66:AT66)</f>
        <v>#NAME?</v>
      </c>
      <c r="AU69" s="3" t="e">
        <f t="shared" ref="AU69" ca="1" si="786">SUM(AR66:AU66)</f>
        <v>#NAME?</v>
      </c>
      <c r="AV69" s="3" t="e">
        <f t="shared" ref="AV69" ca="1" si="787">SUM(AS66:AV66)</f>
        <v>#NAME?</v>
      </c>
      <c r="AW69" s="3" t="e">
        <f t="shared" ref="AW69" ca="1" si="788">SUM(AT66:AW66)</f>
        <v>#NAME?</v>
      </c>
      <c r="AX69" s="3" t="e">
        <f t="shared" ref="AX69" ca="1" si="789">SUM(AU66:AX66)</f>
        <v>#NAME?</v>
      </c>
      <c r="AY69" s="3" t="e">
        <f t="shared" ref="AY69" ca="1" si="790">SUM(AV66:AY66)</f>
        <v>#NAME?</v>
      </c>
      <c r="AZ69" s="3" t="e">
        <f t="shared" ref="AZ69" ca="1" si="791">SUM(AW66:AZ66)</f>
        <v>#NAME?</v>
      </c>
      <c r="BA69" s="3" t="e">
        <f t="shared" ref="BA69" ca="1" si="792">SUM(AX66:BA66)</f>
        <v>#NAME?</v>
      </c>
      <c r="BB69" s="3" t="e">
        <f t="shared" ref="BB69" ca="1" si="793">SUM(AY66:BB66)</f>
        <v>#NAME?</v>
      </c>
      <c r="BC69" s="3" t="e">
        <f t="shared" ref="BC69" ca="1" si="794">SUM(AZ66:BC66)</f>
        <v>#NAME?</v>
      </c>
      <c r="BD69" s="3" t="e">
        <f t="shared" ref="BD69" ca="1" si="795">SUM(BA66:BD66)</f>
        <v>#NAME?</v>
      </c>
      <c r="BE69" s="3" t="e">
        <f t="shared" ref="BE69" ca="1" si="796">SUM(BB66:BE66)</f>
        <v>#NAME?</v>
      </c>
      <c r="BF69" s="3" t="e">
        <f t="shared" ref="BF69" ca="1" si="797">SUM(BC66:BF66)</f>
        <v>#NAME?</v>
      </c>
      <c r="BG69" s="3" t="e">
        <f t="shared" ref="BG69" ca="1" si="798">SUM(BD66:BG66)</f>
        <v>#NAME?</v>
      </c>
      <c r="BH69" s="3" t="e">
        <f t="shared" ref="BH69" ca="1" si="799">SUM(BE66:BH66)</f>
        <v>#NAME?</v>
      </c>
      <c r="BI69" s="3" t="e">
        <f t="shared" ref="BI69" ca="1" si="800">SUM(BF66:BI66)</f>
        <v>#NAME?</v>
      </c>
      <c r="BJ69" s="3" t="e">
        <f t="shared" ref="BJ69" ca="1" si="801">SUM(BG66:BJ66)</f>
        <v>#NAME?</v>
      </c>
      <c r="BK69" s="3" t="e">
        <f t="shared" ref="BK69" ca="1" si="802">SUM(BH66:BK66)</f>
        <v>#NAME?</v>
      </c>
      <c r="BL69" s="3" t="e">
        <f t="shared" ref="BL69" ca="1" si="803">SUM(BI66:BL66)</f>
        <v>#NAME?</v>
      </c>
      <c r="BM69" s="3" t="e">
        <f t="shared" ref="BM69" ca="1" si="804">SUM(BJ66:BM66)</f>
        <v>#NAME?</v>
      </c>
      <c r="BN69" s="3" t="e">
        <f t="shared" ref="BN69" ca="1" si="805">SUM(BK66:BN66)</f>
        <v>#NAME?</v>
      </c>
      <c r="BO69" s="3" t="e">
        <f t="shared" ref="BO69" ca="1" si="806">SUM(BL66:BO66)</f>
        <v>#NAME?</v>
      </c>
      <c r="BP69" s="3" t="e">
        <f t="shared" ref="BP69" ca="1" si="807">SUM(BM66:BP66)</f>
        <v>#NAME?</v>
      </c>
      <c r="BQ69" s="3" t="e">
        <f t="shared" ref="BQ69" ca="1" si="808">SUM(BN66:BQ66)</f>
        <v>#NAME?</v>
      </c>
      <c r="BR69" s="3" t="e">
        <f t="shared" ref="BR69" ca="1" si="809">SUM(BO66:BR66)</f>
        <v>#NAME?</v>
      </c>
      <c r="BS69" s="3" t="e">
        <f t="shared" ref="BS69" ca="1" si="810">SUM(BP66:BS66)</f>
        <v>#NAME?</v>
      </c>
      <c r="BT69" s="3" t="e">
        <f t="shared" ref="BT69" ca="1" si="811">SUM(BQ66:BT66)</f>
        <v>#NAME?</v>
      </c>
      <c r="BU69" s="3" t="e">
        <f t="shared" ref="BU69" ca="1" si="812">SUM(BR66:BU66)</f>
        <v>#NAME?</v>
      </c>
      <c r="BV69" s="3" t="e">
        <f t="shared" ref="BV69" ca="1" si="813">SUM(BS66:BV66)</f>
        <v>#NAME?</v>
      </c>
      <c r="BW69" s="3" t="e">
        <f t="shared" ref="BW69" ca="1" si="814">SUM(BT66:BW66)</f>
        <v>#NAME?</v>
      </c>
      <c r="BX69" s="3" t="e">
        <f t="shared" ref="BX69" ca="1" si="815">SUM(BU66:BX66)</f>
        <v>#NAME?</v>
      </c>
      <c r="BY69" s="3" t="e">
        <f t="shared" ref="BY69" ca="1" si="816">SUM(BV66:BY66)</f>
        <v>#NAME?</v>
      </c>
      <c r="BZ69" s="3" t="e">
        <f t="shared" ref="BZ69" ca="1" si="817">SUM(BW66:BZ66)</f>
        <v>#NAME?</v>
      </c>
      <c r="CA69" s="3" t="e">
        <f t="shared" ref="CA69" ca="1" si="818">SUM(BX66:CA66)</f>
        <v>#NAME?</v>
      </c>
      <c r="CB69" s="3" t="e">
        <f t="shared" ref="CB69" ca="1" si="819">SUM(BY66:CB66)</f>
        <v>#NAME?</v>
      </c>
      <c r="CC69" s="3" t="e">
        <f t="shared" ref="CC69" ca="1" si="820">SUM(BZ66:CC66)</f>
        <v>#NAME?</v>
      </c>
      <c r="CD69" s="3" t="e">
        <f t="shared" ref="CD69" ca="1" si="821">SUM(CA66:CD66)</f>
        <v>#NAME?</v>
      </c>
      <c r="CE69" s="3" t="e">
        <f t="shared" ref="CE69" ca="1" si="822">SUM(CB66:CE66)</f>
        <v>#NAME?</v>
      </c>
      <c r="CF69" s="3" t="e">
        <f t="shared" ref="CF69" ca="1" si="823">SUM(CC66:CF66)</f>
        <v>#NAME?</v>
      </c>
      <c r="CG69" s="3" t="e">
        <f t="shared" ref="CG69" ca="1" si="824">SUM(CD66:CG66)</f>
        <v>#NAME?</v>
      </c>
      <c r="CH69" s="3" t="e">
        <f t="shared" ref="CH69:CL69" ca="1" si="825">SUM(CE66:CH66)</f>
        <v>#NAME?</v>
      </c>
      <c r="CI69" s="3" t="e">
        <f t="shared" ca="1" si="825"/>
        <v>#NAME?</v>
      </c>
      <c r="CJ69" s="3" t="e">
        <f t="shared" ca="1" si="825"/>
        <v>#NAME?</v>
      </c>
      <c r="CK69" s="3" t="e">
        <f t="shared" ca="1" si="825"/>
        <v>#NAME?</v>
      </c>
      <c r="CL69" s="3" t="e">
        <f t="shared" ca="1" si="825"/>
        <v>#NAME?</v>
      </c>
      <c r="CM69" s="37" t="e">
        <f t="shared" ref="CM69" ca="1" si="826">SUM(CJ66:CM66)</f>
        <v>#NAME?</v>
      </c>
      <c r="CN69" s="37" t="e">
        <f t="shared" ref="CN69" ca="1" si="827">SUM(CK66:CN66)</f>
        <v>#NAME?</v>
      </c>
      <c r="CO69" s="37" t="e">
        <f t="shared" ref="CO69" ca="1" si="828">SUM(CL66:CO66)</f>
        <v>#NAME?</v>
      </c>
      <c r="CP69" s="37" t="e">
        <f t="shared" ref="CP69" ca="1" si="829">SUM(CM66:CP66)</f>
        <v>#NAME?</v>
      </c>
      <c r="CQ69" s="37" t="e">
        <f t="shared" ref="CQ69" ca="1" si="830">SUM(CN66:CQ66)</f>
        <v>#NAME?</v>
      </c>
      <c r="CR69" s="37" t="e">
        <f t="shared" ref="CR69" ca="1" si="831">SUM(CO66:CR66)</f>
        <v>#NAME?</v>
      </c>
      <c r="CS69" s="37" t="e">
        <f t="shared" ref="CS69" ca="1" si="832">SUM(CP66:CS66)</f>
        <v>#NAME?</v>
      </c>
      <c r="CT69" s="37" t="e">
        <f t="shared" ref="CT69" ca="1" si="833">SUM(CQ66:CT66)</f>
        <v>#NAME?</v>
      </c>
      <c r="CU69" s="37" t="e">
        <f t="shared" ref="CU69" ca="1" si="834">SUM(CR66:CU66)</f>
        <v>#NAME?</v>
      </c>
      <c r="CV69" s="37" t="e">
        <f t="shared" ref="CV69" ca="1" si="835">SUM(CS66:CV66)</f>
        <v>#NAME?</v>
      </c>
      <c r="CW69" s="37" t="e">
        <f t="shared" ref="CW69" ca="1" si="836">SUM(CT66:CW66)</f>
        <v>#NAME?</v>
      </c>
      <c r="CX69" s="37" t="e">
        <f t="shared" ref="CX69" ca="1" si="837">SUM(CU66:CX66)</f>
        <v>#NAME?</v>
      </c>
      <c r="CY69" s="37" t="e">
        <f t="shared" ref="CY69" ca="1" si="838">SUM(CV66:CY66)</f>
        <v>#NAME?</v>
      </c>
      <c r="CZ69" s="37" t="e">
        <f t="shared" ref="CZ69" ca="1" si="839">SUM(CW66:CZ66)</f>
        <v>#NAME?</v>
      </c>
      <c r="DA69" s="37" t="e">
        <f t="shared" ref="DA69" ca="1" si="840">SUM(CX66:DA66)</f>
        <v>#NAME?</v>
      </c>
      <c r="DB69" s="37" t="e">
        <f t="shared" ref="DB69" ca="1" si="841">SUM(CY66:DB66)</f>
        <v>#NAME?</v>
      </c>
      <c r="DE69" s="134"/>
      <c r="DF69" s="3">
        <v>17.519576829331537</v>
      </c>
    </row>
    <row r="70" spans="1:110" s="97" customFormat="1" x14ac:dyDescent="0.2">
      <c r="A70" s="97" t="s">
        <v>425</v>
      </c>
      <c r="C70" s="101" t="e">
        <f t="shared" ref="C70:AA70" ca="1" si="842">+C69/B69-1</f>
        <v>#NAME?</v>
      </c>
      <c r="D70" s="101" t="e">
        <f t="shared" ca="1" si="842"/>
        <v>#NAME?</v>
      </c>
      <c r="E70" s="101">
        <f t="shared" ca="1" si="842"/>
        <v>-0.93642403867121438</v>
      </c>
      <c r="F70" s="101">
        <f t="shared" ca="1" si="842"/>
        <v>-4.2453628052108283E-2</v>
      </c>
      <c r="G70" s="101">
        <f t="shared" ca="1" si="842"/>
        <v>0.22886893160333899</v>
      </c>
      <c r="H70" s="101">
        <f t="shared" ca="1" si="842"/>
        <v>1.7847250150610616E-2</v>
      </c>
      <c r="I70" s="101">
        <f t="shared" ca="1" si="842"/>
        <v>0.3132871993183024</v>
      </c>
      <c r="J70" s="101">
        <f t="shared" ca="1" si="842"/>
        <v>0.29063908700613461</v>
      </c>
      <c r="K70" s="101">
        <f t="shared" ca="1" si="842"/>
        <v>0.22640821955871226</v>
      </c>
      <c r="L70" s="101">
        <f t="shared" ca="1" si="842"/>
        <v>0.24986458073156292</v>
      </c>
      <c r="M70" s="101">
        <f t="shared" ca="1" si="842"/>
        <v>0.17453443704920724</v>
      </c>
      <c r="N70" s="101">
        <f t="shared" ca="1" si="842"/>
        <v>0.11063387239352984</v>
      </c>
      <c r="O70" s="101">
        <f t="shared" ca="1" si="842"/>
        <v>3.3138876143568696E-2</v>
      </c>
      <c r="P70" s="101">
        <f t="shared" ca="1" si="842"/>
        <v>6.7405648406626995E-2</v>
      </c>
      <c r="Q70" s="101">
        <f t="shared" ca="1" si="842"/>
        <v>-9.6443036792364878E-2</v>
      </c>
      <c r="R70" s="101">
        <f t="shared" ca="1" si="842"/>
        <v>-4.883893582430443E-2</v>
      </c>
      <c r="S70" s="101">
        <f t="shared" ca="1" si="842"/>
        <v>0.21049459560930317</v>
      </c>
      <c r="T70" s="101">
        <f t="shared" ca="1" si="842"/>
        <v>0.31157616369706109</v>
      </c>
      <c r="U70" s="101">
        <f t="shared" ca="1" si="842"/>
        <v>0.22496935149633068</v>
      </c>
      <c r="V70" s="101">
        <f t="shared" ca="1" si="842"/>
        <v>5.7908800877852773E-2</v>
      </c>
      <c r="W70" s="101">
        <f t="shared" ca="1" si="842"/>
        <v>0.13084713531787329</v>
      </c>
      <c r="X70" s="101">
        <f t="shared" ca="1" si="842"/>
        <v>1.5121597003708853E-2</v>
      </c>
      <c r="Y70" s="101">
        <f t="shared" ca="1" si="842"/>
        <v>0.64335374730183914</v>
      </c>
      <c r="Z70" s="101">
        <f t="shared" ca="1" si="842"/>
        <v>-0.23019139766881236</v>
      </c>
      <c r="AA70" s="101">
        <f t="shared" ca="1" si="842"/>
        <v>-0.23019139766881236</v>
      </c>
      <c r="AB70" s="174">
        <f t="shared" ref="AB70" ca="1" si="843">+AB69/AA69-1</f>
        <v>0.24629489912338842</v>
      </c>
      <c r="AC70" s="174">
        <f t="shared" ref="AC70" ca="1" si="844">+AC69/AB69-1</f>
        <v>9.485766978384369E-2</v>
      </c>
      <c r="AD70" s="174">
        <f t="shared" ref="AD70" ca="1" si="845">+AD69/AC69-1</f>
        <v>0.19212153106271423</v>
      </c>
      <c r="AE70" s="174">
        <f t="shared" ref="AE70" ca="1" si="846">+AE69/AD69-1</f>
        <v>0.18775576285412909</v>
      </c>
      <c r="AL70" s="176"/>
      <c r="AM70" s="176"/>
      <c r="AN70" s="176"/>
      <c r="AO70" s="176"/>
      <c r="AP70" s="176" t="e">
        <f t="shared" ref="AP70:CL70" ca="1" si="847">+IF(AL69&lt;0,1-AP69/AL69,AP69/AL69-1)</f>
        <v>#NAME?</v>
      </c>
      <c r="AQ70" s="176" t="e">
        <f t="shared" ca="1" si="847"/>
        <v>#NAME?</v>
      </c>
      <c r="AR70" s="176" t="e">
        <f t="shared" ca="1" si="847"/>
        <v>#NAME?</v>
      </c>
      <c r="AS70" s="176" t="e">
        <f t="shared" ca="1" si="847"/>
        <v>#NAME?</v>
      </c>
      <c r="AT70" s="176" t="e">
        <f t="shared" ca="1" si="847"/>
        <v>#NAME?</v>
      </c>
      <c r="AU70" s="176" t="e">
        <f t="shared" ca="1" si="847"/>
        <v>#NAME?</v>
      </c>
      <c r="AV70" s="176" t="e">
        <f t="shared" ca="1" si="847"/>
        <v>#NAME?</v>
      </c>
      <c r="AW70" s="176" t="e">
        <f t="shared" ca="1" si="847"/>
        <v>#NAME?</v>
      </c>
      <c r="AX70" s="176" t="e">
        <f t="shared" ca="1" si="847"/>
        <v>#NAME?</v>
      </c>
      <c r="AY70" s="176" t="e">
        <f t="shared" ca="1" si="847"/>
        <v>#NAME?</v>
      </c>
      <c r="AZ70" s="176" t="e">
        <f t="shared" ca="1" si="847"/>
        <v>#NAME?</v>
      </c>
      <c r="BA70" s="176" t="e">
        <f t="shared" ca="1" si="847"/>
        <v>#NAME?</v>
      </c>
      <c r="BB70" s="176" t="e">
        <f t="shared" ca="1" si="847"/>
        <v>#NAME?</v>
      </c>
      <c r="BC70" s="176" t="e">
        <f t="shared" ca="1" si="847"/>
        <v>#NAME?</v>
      </c>
      <c r="BD70" s="176" t="e">
        <f t="shared" ca="1" si="847"/>
        <v>#NAME?</v>
      </c>
      <c r="BE70" s="176" t="e">
        <f t="shared" ca="1" si="847"/>
        <v>#NAME?</v>
      </c>
      <c r="BF70" s="176" t="e">
        <f t="shared" ca="1" si="847"/>
        <v>#NAME?</v>
      </c>
      <c r="BG70" s="176" t="e">
        <f t="shared" ca="1" si="847"/>
        <v>#NAME?</v>
      </c>
      <c r="BH70" s="176" t="e">
        <f t="shared" ca="1" si="847"/>
        <v>#NAME?</v>
      </c>
      <c r="BI70" s="176" t="e">
        <f t="shared" ca="1" si="847"/>
        <v>#NAME?</v>
      </c>
      <c r="BJ70" s="176" t="e">
        <f t="shared" ca="1" si="847"/>
        <v>#NAME?</v>
      </c>
      <c r="BK70" s="176" t="e">
        <f t="shared" ca="1" si="847"/>
        <v>#NAME?</v>
      </c>
      <c r="BL70" s="176" t="e">
        <f t="shared" ca="1" si="847"/>
        <v>#NAME?</v>
      </c>
      <c r="BM70" s="176" t="e">
        <f t="shared" ca="1" si="847"/>
        <v>#NAME?</v>
      </c>
      <c r="BN70" s="176" t="e">
        <f t="shared" ca="1" si="847"/>
        <v>#NAME?</v>
      </c>
      <c r="BO70" s="176" t="e">
        <f t="shared" ca="1" si="847"/>
        <v>#NAME?</v>
      </c>
      <c r="BP70" s="176" t="e">
        <f t="shared" ca="1" si="847"/>
        <v>#NAME?</v>
      </c>
      <c r="BQ70" s="176" t="e">
        <f t="shared" ca="1" si="847"/>
        <v>#NAME?</v>
      </c>
      <c r="BR70" s="176" t="e">
        <f t="shared" ca="1" si="847"/>
        <v>#NAME?</v>
      </c>
      <c r="BS70" s="176" t="e">
        <f t="shared" ca="1" si="847"/>
        <v>#NAME?</v>
      </c>
      <c r="BT70" s="176" t="e">
        <f t="shared" ca="1" si="847"/>
        <v>#NAME?</v>
      </c>
      <c r="BU70" s="176" t="e">
        <f t="shared" ca="1" si="847"/>
        <v>#NAME?</v>
      </c>
      <c r="BV70" s="176" t="e">
        <f t="shared" ca="1" si="847"/>
        <v>#NAME?</v>
      </c>
      <c r="BW70" s="176" t="e">
        <f t="shared" ca="1" si="847"/>
        <v>#NAME?</v>
      </c>
      <c r="BX70" s="176" t="e">
        <f t="shared" ca="1" si="847"/>
        <v>#NAME?</v>
      </c>
      <c r="BY70" s="176" t="e">
        <f t="shared" ca="1" si="847"/>
        <v>#NAME?</v>
      </c>
      <c r="BZ70" s="176" t="e">
        <f t="shared" ca="1" si="847"/>
        <v>#NAME?</v>
      </c>
      <c r="CA70" s="176" t="e">
        <f t="shared" ca="1" si="847"/>
        <v>#NAME?</v>
      </c>
      <c r="CB70" s="176" t="e">
        <f t="shared" ca="1" si="847"/>
        <v>#NAME?</v>
      </c>
      <c r="CC70" s="176" t="e">
        <f t="shared" ca="1" si="847"/>
        <v>#NAME?</v>
      </c>
      <c r="CD70" s="176" t="e">
        <f t="shared" ca="1" si="847"/>
        <v>#NAME?</v>
      </c>
      <c r="CE70" s="176" t="e">
        <f t="shared" ca="1" si="847"/>
        <v>#NAME?</v>
      </c>
      <c r="CF70" s="176" t="e">
        <f t="shared" ca="1" si="847"/>
        <v>#NAME?</v>
      </c>
      <c r="CG70" s="176" t="e">
        <f t="shared" ca="1" si="847"/>
        <v>#NAME?</v>
      </c>
      <c r="CH70" s="176" t="e">
        <f t="shared" ca="1" si="847"/>
        <v>#NAME?</v>
      </c>
      <c r="CI70" s="176" t="e">
        <f t="shared" ca="1" si="847"/>
        <v>#NAME?</v>
      </c>
      <c r="CJ70" s="176" t="e">
        <f t="shared" ca="1" si="847"/>
        <v>#NAME?</v>
      </c>
      <c r="CK70" s="176" t="e">
        <f t="shared" ca="1" si="847"/>
        <v>#NAME?</v>
      </c>
      <c r="CL70" s="176" t="e">
        <f t="shared" ca="1" si="847"/>
        <v>#NAME?</v>
      </c>
      <c r="CM70" s="102" t="e">
        <f t="shared" ref="CM70:DB70" ca="1" si="848">+IF(CI69&lt;0,1-CM69/CI69,CM69/CI69-1)</f>
        <v>#NAME?</v>
      </c>
      <c r="CN70" s="102" t="e">
        <f t="shared" ca="1" si="848"/>
        <v>#NAME?</v>
      </c>
      <c r="CO70" s="102" t="e">
        <f t="shared" ca="1" si="848"/>
        <v>#NAME?</v>
      </c>
      <c r="CP70" s="102" t="e">
        <f t="shared" ca="1" si="848"/>
        <v>#NAME?</v>
      </c>
      <c r="CQ70" s="102" t="e">
        <f t="shared" ca="1" si="848"/>
        <v>#NAME?</v>
      </c>
      <c r="CR70" s="102" t="e">
        <f t="shared" ca="1" si="848"/>
        <v>#NAME?</v>
      </c>
      <c r="CS70" s="102" t="e">
        <f t="shared" ca="1" si="848"/>
        <v>#NAME?</v>
      </c>
      <c r="CT70" s="102" t="e">
        <f t="shared" ca="1" si="848"/>
        <v>#NAME?</v>
      </c>
      <c r="CU70" s="102" t="e">
        <f t="shared" ca="1" si="848"/>
        <v>#NAME?</v>
      </c>
      <c r="CV70" s="102" t="e">
        <f t="shared" ca="1" si="848"/>
        <v>#NAME?</v>
      </c>
      <c r="CW70" s="102" t="e">
        <f t="shared" ca="1" si="848"/>
        <v>#NAME?</v>
      </c>
      <c r="CX70" s="102" t="e">
        <f t="shared" ca="1" si="848"/>
        <v>#NAME?</v>
      </c>
      <c r="CY70" s="102" t="e">
        <f t="shared" ca="1" si="848"/>
        <v>#NAME?</v>
      </c>
      <c r="CZ70" s="102" t="e">
        <f t="shared" ca="1" si="848"/>
        <v>#NAME?</v>
      </c>
      <c r="DA70" s="102" t="e">
        <f t="shared" ca="1" si="848"/>
        <v>#NAME?</v>
      </c>
      <c r="DB70" s="102" t="e">
        <f t="shared" ca="1" si="848"/>
        <v>#NAME?</v>
      </c>
      <c r="DE70" s="135"/>
      <c r="DF70" s="97">
        <v>0.11709989848454305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19.7</v>
      </c>
      <c r="CQ71" s="145"/>
      <c r="CR71" s="145"/>
      <c r="CS71" s="145"/>
      <c r="CT71" s="145">
        <v>22.7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 t="e">
        <f ca="1">+CP69/CP71-1</f>
        <v>#NAME?</v>
      </c>
      <c r="CQ72" s="145"/>
      <c r="CR72" s="145"/>
      <c r="CS72" s="145"/>
      <c r="CT72" s="145" t="e">
        <f ca="1">+CT69/CT71-1</f>
        <v>#NAME?</v>
      </c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Raw'!C113</f>
        <v>#NAME?</v>
      </c>
      <c r="C73" s="3" t="e">
        <f ca="1">'Annual Raw'!D113</f>
        <v>#NAME?</v>
      </c>
      <c r="D73" s="3" t="e">
        <f ca="1">'Annual Raw'!E113</f>
        <v>#NAME?</v>
      </c>
      <c r="E73" s="3" t="e">
        <f ca="1">'Annual Raw'!F113</f>
        <v>#NAME?</v>
      </c>
      <c r="F73" s="3" t="e">
        <f ca="1">'Annual Raw'!G113</f>
        <v>#NAME?</v>
      </c>
      <c r="G73" s="3" t="e">
        <f ca="1">'Annual Raw'!H113</f>
        <v>#NAME?</v>
      </c>
      <c r="H73" s="3" t="e">
        <f ca="1">'Annual Raw'!I113</f>
        <v>#NAME?</v>
      </c>
      <c r="I73" s="3" t="e">
        <f ca="1">'Annual Raw'!J113</f>
        <v>#NAME?</v>
      </c>
      <c r="J73" s="3" t="e">
        <f ca="1">'Annual Raw'!K113</f>
        <v>#NAME?</v>
      </c>
      <c r="K73" s="3" t="e">
        <f ca="1">'Annual Raw'!L113</f>
        <v>#NAME?</v>
      </c>
      <c r="L73" s="3" t="e">
        <f ca="1">'Annual Raw'!M113</f>
        <v>#NAME?</v>
      </c>
      <c r="M73" s="3" t="e">
        <f ca="1">'Annual Raw'!N113</f>
        <v>#NAME?</v>
      </c>
      <c r="N73" s="3" t="e">
        <f ca="1">'Annual Raw'!O113</f>
        <v>#NAME?</v>
      </c>
      <c r="O73" s="3" t="e">
        <f ca="1">'Annual Raw'!P113</f>
        <v>#NAME?</v>
      </c>
      <c r="P73" s="3" t="e">
        <f ca="1">'Annual Raw'!Q113</f>
        <v>#NAME?</v>
      </c>
      <c r="Q73" s="3" t="e">
        <f ca="1">'Annual Raw'!R113</f>
        <v>#NAME?</v>
      </c>
      <c r="R73" s="3" t="e">
        <f ca="1">'Annual Raw'!S113</f>
        <v>#NAME?</v>
      </c>
      <c r="S73" s="3" t="e">
        <f ca="1">'Annual Raw'!T113</f>
        <v>#NAME?</v>
      </c>
      <c r="T73" s="3" t="e">
        <f ca="1">'Annual Raw'!U113</f>
        <v>#NAME?</v>
      </c>
      <c r="U73" s="3" t="e">
        <f ca="1">'Annual Raw'!V113</f>
        <v>#NAME?</v>
      </c>
      <c r="V73" s="3" t="e">
        <f ca="1">'Annual Raw'!W113</f>
        <v>#NAME?</v>
      </c>
      <c r="W73" s="3" t="e">
        <f ca="1">'Annual Raw'!X113</f>
        <v>#NAME?</v>
      </c>
      <c r="X73" s="3" t="e">
        <f ca="1">'Annual Raw'!Y113</f>
        <v>#NAME?</v>
      </c>
      <c r="Y73" s="3" t="e">
        <f ca="1">'Annual Raw'!Z113</f>
        <v>#NAME?</v>
      </c>
      <c r="Z73" s="3" t="e">
        <f ca="1">'Annual Raw'!AA113</f>
        <v>#NAME?</v>
      </c>
      <c r="AA73" s="3" t="e">
        <f ca="1">'Annual Raw'!AB113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Raw'!C114</f>
        <v>#NAME?</v>
      </c>
      <c r="C74" s="3" t="e">
        <f ca="1">'Annual Raw'!D114</f>
        <v>#NAME?</v>
      </c>
      <c r="D74" s="3" t="e">
        <f ca="1">'Annual Raw'!E114</f>
        <v>#NAME?</v>
      </c>
      <c r="E74" s="3" t="e">
        <f ca="1">'Annual Raw'!F114</f>
        <v>#NAME?</v>
      </c>
      <c r="F74" s="3" t="e">
        <f ca="1">'Annual Raw'!G114</f>
        <v>#NAME?</v>
      </c>
      <c r="G74" s="3" t="e">
        <f ca="1">'Annual Raw'!H114</f>
        <v>#NAME?</v>
      </c>
      <c r="H74" s="3" t="e">
        <f ca="1">'Annual Raw'!I114</f>
        <v>#NAME?</v>
      </c>
      <c r="I74" s="3" t="e">
        <f ca="1">'Annual Raw'!J114</f>
        <v>#NAME?</v>
      </c>
      <c r="J74" s="3" t="e">
        <f ca="1">'Annual Raw'!K114</f>
        <v>#NAME?</v>
      </c>
      <c r="K74" s="3" t="e">
        <f ca="1">'Annual Raw'!L114</f>
        <v>#NAME?</v>
      </c>
      <c r="L74" s="3" t="e">
        <f ca="1">'Annual Raw'!M114</f>
        <v>#NAME?</v>
      </c>
      <c r="M74" s="3" t="e">
        <f ca="1">'Annual Raw'!N114</f>
        <v>#NAME?</v>
      </c>
      <c r="N74" s="3" t="e">
        <f ca="1">'Annual Raw'!O114</f>
        <v>#NAME?</v>
      </c>
      <c r="O74" s="3" t="e">
        <f ca="1">'Annual Raw'!P114</f>
        <v>#NAME?</v>
      </c>
      <c r="P74" s="3" t="e">
        <f ca="1">'Annual Raw'!Q114</f>
        <v>#NAME?</v>
      </c>
      <c r="Q74" s="3" t="e">
        <f ca="1">'Annual Raw'!R114</f>
        <v>#NAME?</v>
      </c>
      <c r="R74" s="3" t="e">
        <f ca="1">'Annual Raw'!S114</f>
        <v>#NAME?</v>
      </c>
      <c r="S74" s="3" t="e">
        <f ca="1">'Annual Raw'!T114</f>
        <v>#NAME?</v>
      </c>
      <c r="T74" s="3" t="e">
        <f ca="1">'Annual Raw'!U114</f>
        <v>#NAME?</v>
      </c>
      <c r="U74" s="3" t="e">
        <f ca="1">'Annual Raw'!V114</f>
        <v>#NAME?</v>
      </c>
      <c r="V74" s="3" t="e">
        <f ca="1">'Annual Raw'!W114</f>
        <v>#NAME?</v>
      </c>
      <c r="W74" s="3" t="e">
        <f ca="1">'Annual Raw'!X114</f>
        <v>#NAME?</v>
      </c>
      <c r="X74" s="3" t="e">
        <f ca="1">'Annual Raw'!Y114</f>
        <v>#NAME?</v>
      </c>
      <c r="Y74" s="3" t="e">
        <f ca="1">'Annual Raw'!Z114</f>
        <v>#NAME?</v>
      </c>
      <c r="Z74" s="3" t="e">
        <f ca="1">'Annual Raw'!AA114</f>
        <v>#NAME?</v>
      </c>
      <c r="AA74" s="3" t="e">
        <f ca="1">'Annual Raw'!AB114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Raw'!C107</f>
        <v>#NAME?</v>
      </c>
      <c r="C77" s="13" t="e">
        <f ca="1">'Annual Raw'!D107</f>
        <v>#NAME?</v>
      </c>
      <c r="D77" s="13" t="e">
        <f ca="1">'Annual Raw'!E107</f>
        <v>#NAME?</v>
      </c>
      <c r="E77" s="13" t="e">
        <f ca="1">'Annual Raw'!F107</f>
        <v>#NAME?</v>
      </c>
      <c r="F77" s="13" t="e">
        <f ca="1">'Annual Raw'!G107</f>
        <v>#NAME?</v>
      </c>
      <c r="G77" s="13" t="e">
        <f ca="1">'Annual Raw'!H107</f>
        <v>#NAME?</v>
      </c>
      <c r="H77" s="13" t="e">
        <f ca="1">'Annual Raw'!I107</f>
        <v>#NAME?</v>
      </c>
      <c r="I77" s="13" t="e">
        <f ca="1">'Annual Raw'!J107</f>
        <v>#NAME?</v>
      </c>
      <c r="J77" s="13" t="e">
        <f ca="1">'Annual Raw'!K107</f>
        <v>#NAME?</v>
      </c>
      <c r="K77" s="13" t="e">
        <f ca="1">'Annual Raw'!L107</f>
        <v>#NAME?</v>
      </c>
      <c r="L77" s="13" t="e">
        <f ca="1">'Annual Raw'!M107</f>
        <v>#NAME?</v>
      </c>
      <c r="M77" s="13" t="e">
        <f ca="1">'Annual Raw'!N107</f>
        <v>#NAME?</v>
      </c>
      <c r="N77" s="13" t="e">
        <f ca="1">'Annual Raw'!O107</f>
        <v>#NAME?</v>
      </c>
      <c r="O77" s="13" t="e">
        <f ca="1">'Annual Raw'!P107</f>
        <v>#NAME?</v>
      </c>
      <c r="P77" s="13" t="e">
        <f ca="1">'Annual Raw'!Q107</f>
        <v>#NAME?</v>
      </c>
      <c r="Q77" s="13" t="e">
        <f ca="1">'Annual Raw'!R107</f>
        <v>#NAME?</v>
      </c>
      <c r="R77" s="13" t="e">
        <f ca="1">'Annual Raw'!S107</f>
        <v>#NAME?</v>
      </c>
      <c r="S77" s="13" t="e">
        <f ca="1">'Annual Raw'!T107</f>
        <v>#NAME?</v>
      </c>
      <c r="T77" s="13" t="e">
        <f ca="1">'Annual Raw'!U107</f>
        <v>#NAME?</v>
      </c>
      <c r="U77" s="13" t="e">
        <f ca="1">'Annual Raw'!V107</f>
        <v>#NAME?</v>
      </c>
      <c r="V77" s="13" t="e">
        <f ca="1">'Annual Raw'!W107</f>
        <v>#NAME?</v>
      </c>
      <c r="W77" s="13" t="e">
        <f ca="1">'Annual Raw'!X107</f>
        <v>#NAME?</v>
      </c>
      <c r="X77" s="13" t="e">
        <f ca="1">'Annual Raw'!Y107</f>
        <v>#NAME?</v>
      </c>
      <c r="Y77" s="13" t="e">
        <f ca="1">'Annual Raw'!Z107</f>
        <v>#NAME?</v>
      </c>
      <c r="Z77" s="13" t="e">
        <f ca="1">'Annual Raw'!AA107</f>
        <v>#NAME?</v>
      </c>
      <c r="AA77" s="13" t="e">
        <f ca="1">'Annual Raw'!AB107</f>
        <v>#NAME?</v>
      </c>
      <c r="AB77" s="37">
        <f>+CP77</f>
        <v>1227</v>
      </c>
      <c r="AC77" s="37">
        <f>+CT77</f>
        <v>1227</v>
      </c>
      <c r="AD77" s="37">
        <f>+CX77</f>
        <v>1227</v>
      </c>
      <c r="AE77" s="37">
        <f>+DB77</f>
        <v>1227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>
        <v>1227</v>
      </c>
      <c r="CN77" s="37">
        <f t="shared" ref="CN77" si="849">+CM77</f>
        <v>1227</v>
      </c>
      <c r="CO77" s="37">
        <f t="shared" ref="CO77" si="850">+CN77</f>
        <v>1227</v>
      </c>
      <c r="CP77" s="37">
        <f t="shared" ref="CP77" si="851">+CO77</f>
        <v>1227</v>
      </c>
      <c r="CQ77" s="37">
        <f t="shared" ref="CQ77" si="852">+CP77</f>
        <v>1227</v>
      </c>
      <c r="CR77" s="37">
        <f t="shared" ref="CR77" si="853">+CQ77</f>
        <v>1227</v>
      </c>
      <c r="CS77" s="37">
        <f t="shared" ref="CS77" si="854">+CR77</f>
        <v>1227</v>
      </c>
      <c r="CT77" s="37">
        <f t="shared" ref="CT77" si="855">+CS77</f>
        <v>1227</v>
      </c>
      <c r="CU77" s="37">
        <f t="shared" ref="CU77" si="856">+CT77</f>
        <v>1227</v>
      </c>
      <c r="CV77" s="37">
        <f t="shared" ref="CV77" si="857">+CU77</f>
        <v>1227</v>
      </c>
      <c r="CW77" s="37">
        <f t="shared" ref="CW77" si="858">+CV77</f>
        <v>1227</v>
      </c>
      <c r="CX77" s="37">
        <f t="shared" ref="CX77" si="859">+CW77</f>
        <v>1227</v>
      </c>
      <c r="CY77" s="37">
        <f t="shared" ref="CY77" si="860">+CX77</f>
        <v>1227</v>
      </c>
      <c r="CZ77" s="37">
        <f t="shared" ref="CZ77" si="861">+CY77</f>
        <v>1227</v>
      </c>
      <c r="DA77" s="37">
        <f t="shared" ref="DA77" si="862">+CZ77</f>
        <v>1227</v>
      </c>
      <c r="DB77" s="37">
        <f t="shared" ref="DB77" si="863">+DA77</f>
        <v>1227</v>
      </c>
      <c r="DE77" s="134"/>
      <c r="DF77" s="13">
        <v>1174.8</v>
      </c>
    </row>
    <row r="78" spans="1:110" s="13" customFormat="1" x14ac:dyDescent="0.2">
      <c r="A78" s="13" t="s">
        <v>458</v>
      </c>
      <c r="B78" s="13" t="e">
        <f ca="1">'Annual Raw'!C108</f>
        <v>#NAME?</v>
      </c>
      <c r="C78" s="13" t="e">
        <f ca="1">'Annual Raw'!D108</f>
        <v>#NAME?</v>
      </c>
      <c r="D78" s="13" t="e">
        <f ca="1">'Annual Raw'!E108</f>
        <v>#NAME?</v>
      </c>
      <c r="E78" s="13" t="e">
        <f ca="1">'Annual Raw'!F108</f>
        <v>#NAME?</v>
      </c>
      <c r="F78" s="13" t="e">
        <f ca="1">'Annual Raw'!G108</f>
        <v>#NAME?</v>
      </c>
      <c r="G78" s="13" t="e">
        <f ca="1">'Annual Raw'!H108</f>
        <v>#NAME?</v>
      </c>
      <c r="H78" s="13" t="e">
        <f ca="1">'Annual Raw'!I108</f>
        <v>#NAME?</v>
      </c>
      <c r="I78" s="13" t="e">
        <f ca="1">'Annual Raw'!J108</f>
        <v>#NAME?</v>
      </c>
      <c r="J78" s="13" t="e">
        <f ca="1">'Annual Raw'!K108</f>
        <v>#NAME?</v>
      </c>
      <c r="K78" s="13" t="e">
        <f ca="1">'Annual Raw'!L108</f>
        <v>#NAME?</v>
      </c>
      <c r="L78" s="13" t="e">
        <f ca="1">'Annual Raw'!M108</f>
        <v>#NAME?</v>
      </c>
      <c r="M78" s="13" t="e">
        <f ca="1">'Annual Raw'!N108</f>
        <v>#NAME?</v>
      </c>
      <c r="N78" s="13" t="e">
        <f ca="1">'Annual Raw'!O108</f>
        <v>#NAME?</v>
      </c>
      <c r="O78" s="13" t="e">
        <f ca="1">'Annual Raw'!P108</f>
        <v>#NAME?</v>
      </c>
      <c r="P78" s="13" t="e">
        <f ca="1">'Annual Raw'!Q108</f>
        <v>#NAME?</v>
      </c>
      <c r="Q78" s="13" t="e">
        <f ca="1">'Annual Raw'!R108</f>
        <v>#NAME?</v>
      </c>
      <c r="R78" s="13" t="e">
        <f ca="1">'Annual Raw'!S108</f>
        <v>#NAME?</v>
      </c>
      <c r="S78" s="13" t="e">
        <f ca="1">'Annual Raw'!T108</f>
        <v>#NAME?</v>
      </c>
      <c r="T78" s="13" t="e">
        <f ca="1">'Annual Raw'!U108</f>
        <v>#NAME?</v>
      </c>
      <c r="U78" s="13" t="e">
        <f ca="1">'Annual Raw'!V108</f>
        <v>#NAME?</v>
      </c>
      <c r="V78" s="13" t="e">
        <f ca="1">'Annual Raw'!W108</f>
        <v>#NAME?</v>
      </c>
      <c r="W78" s="13" t="e">
        <f ca="1">'Annual Raw'!X108</f>
        <v>#NAME?</v>
      </c>
      <c r="X78" s="13" t="e">
        <f ca="1">'Annual Raw'!Y108</f>
        <v>#NAME?</v>
      </c>
      <c r="Y78" s="13" t="e">
        <f ca="1">'Annual Raw'!Z108</f>
        <v>#NAME?</v>
      </c>
      <c r="Z78" s="13" t="e">
        <f ca="1">'Annual Raw'!AA108</f>
        <v>#NAME?</v>
      </c>
      <c r="AA78" s="13" t="e">
        <f ca="1">'Annual Raw'!AB108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4">+CM69*CM86</f>
        <v>#NAME?</v>
      </c>
      <c r="CN78" s="37" t="e">
        <f t="shared" ca="1" si="864"/>
        <v>#NAME?</v>
      </c>
      <c r="CO78" s="37" t="e">
        <f t="shared" ca="1" si="864"/>
        <v>#NAME?</v>
      </c>
      <c r="CP78" s="37" t="e">
        <f t="shared" ca="1" si="864"/>
        <v>#NAME?</v>
      </c>
      <c r="CQ78" s="37" t="e">
        <f t="shared" ca="1" si="864"/>
        <v>#NAME?</v>
      </c>
      <c r="CR78" s="37" t="e">
        <f t="shared" ca="1" si="864"/>
        <v>#NAME?</v>
      </c>
      <c r="CS78" s="37" t="e">
        <f t="shared" ca="1" si="864"/>
        <v>#NAME?</v>
      </c>
      <c r="CT78" s="37" t="e">
        <f t="shared" ca="1" si="864"/>
        <v>#NAME?</v>
      </c>
      <c r="CU78" s="37" t="e">
        <f t="shared" ca="1" si="864"/>
        <v>#NAME?</v>
      </c>
      <c r="CV78" s="37" t="e">
        <f t="shared" ca="1" si="864"/>
        <v>#NAME?</v>
      </c>
      <c r="CW78" s="37" t="e">
        <f t="shared" ca="1" si="864"/>
        <v>#NAME?</v>
      </c>
      <c r="CX78" s="37" t="e">
        <f t="shared" ca="1" si="864"/>
        <v>#NAME?</v>
      </c>
      <c r="CY78" s="37" t="e">
        <f t="shared" ca="1" si="864"/>
        <v>#NAME?</v>
      </c>
      <c r="CZ78" s="37" t="e">
        <f t="shared" ca="1" si="864"/>
        <v>#NAME?</v>
      </c>
      <c r="DA78" s="37" t="e">
        <f t="shared" ca="1" si="864"/>
        <v>#NAME?</v>
      </c>
      <c r="DB78" s="37" t="e">
        <f t="shared" ca="1" si="864"/>
        <v>#NAME?</v>
      </c>
      <c r="DE78" s="134"/>
      <c r="DF78" s="13">
        <v>1339.85</v>
      </c>
    </row>
    <row r="79" spans="1:110" s="13" customFormat="1" x14ac:dyDescent="0.2">
      <c r="A79" s="13" t="s">
        <v>459</v>
      </c>
      <c r="B79" s="13" t="e">
        <f ca="1">'Annual Raw'!C109</f>
        <v>#NAME?</v>
      </c>
      <c r="C79" s="13" t="e">
        <f ca="1">'Annual Raw'!D109</f>
        <v>#NAME?</v>
      </c>
      <c r="D79" s="13" t="e">
        <f ca="1">'Annual Raw'!E109</f>
        <v>#NAME?</v>
      </c>
      <c r="E79" s="13" t="e">
        <f ca="1">'Annual Raw'!F109</f>
        <v>#NAME?</v>
      </c>
      <c r="F79" s="13" t="e">
        <f ca="1">'Annual Raw'!G109</f>
        <v>#NAME?</v>
      </c>
      <c r="G79" s="13" t="e">
        <f ca="1">'Annual Raw'!H109</f>
        <v>#NAME?</v>
      </c>
      <c r="H79" s="13" t="e">
        <f ca="1">'Annual Raw'!I109</f>
        <v>#NAME?</v>
      </c>
      <c r="I79" s="13" t="e">
        <f ca="1">'Annual Raw'!J109</f>
        <v>#NAME?</v>
      </c>
      <c r="J79" s="13" t="e">
        <f ca="1">'Annual Raw'!K109</f>
        <v>#NAME?</v>
      </c>
      <c r="K79" s="13" t="e">
        <f ca="1">'Annual Raw'!L109</f>
        <v>#NAME?</v>
      </c>
      <c r="L79" s="13" t="e">
        <f ca="1">'Annual Raw'!M109</f>
        <v>#NAME?</v>
      </c>
      <c r="M79" s="13" t="e">
        <f ca="1">'Annual Raw'!N109</f>
        <v>#NAME?</v>
      </c>
      <c r="N79" s="13" t="e">
        <f ca="1">'Annual Raw'!O109</f>
        <v>#NAME?</v>
      </c>
      <c r="O79" s="13" t="e">
        <f ca="1">'Annual Raw'!P109</f>
        <v>#NAME?</v>
      </c>
      <c r="P79" s="13" t="e">
        <f ca="1">'Annual Raw'!Q109</f>
        <v>#NAME?</v>
      </c>
      <c r="Q79" s="13" t="e">
        <f ca="1">'Annual Raw'!R109</f>
        <v>#NAME?</v>
      </c>
      <c r="R79" s="13" t="e">
        <f ca="1">'Annual Raw'!S109</f>
        <v>#NAME?</v>
      </c>
      <c r="S79" s="13" t="e">
        <f ca="1">'Annual Raw'!T109</f>
        <v>#NAME?</v>
      </c>
      <c r="T79" s="13" t="e">
        <f ca="1">'Annual Raw'!U109</f>
        <v>#NAME?</v>
      </c>
      <c r="U79" s="13" t="e">
        <f ca="1">'Annual Raw'!V109</f>
        <v>#NAME?</v>
      </c>
      <c r="V79" s="13" t="e">
        <f ca="1">'Annual Raw'!W109</f>
        <v>#NAME?</v>
      </c>
      <c r="W79" s="13" t="e">
        <f ca="1">'Annual Raw'!X109</f>
        <v>#NAME?</v>
      </c>
      <c r="X79" s="13" t="e">
        <f ca="1">'Annual Raw'!Y109</f>
        <v>#NAME?</v>
      </c>
      <c r="Y79" s="13" t="e">
        <f ca="1">'Annual Raw'!Z109</f>
        <v>#NAME?</v>
      </c>
      <c r="Z79" s="13" t="e">
        <f ca="1">'Annual Raw'!AA109</f>
        <v>#NAME?</v>
      </c>
      <c r="AA79" s="13" t="e">
        <f ca="1">'Annual Raw'!AB109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65">+CM87*CM69</f>
        <v>#NAME?</v>
      </c>
      <c r="CN79" s="37" t="e">
        <f t="shared" ca="1" si="865"/>
        <v>#NAME?</v>
      </c>
      <c r="CO79" s="37" t="e">
        <f t="shared" ca="1" si="865"/>
        <v>#NAME?</v>
      </c>
      <c r="CP79" s="37" t="e">
        <f t="shared" ca="1" si="865"/>
        <v>#NAME?</v>
      </c>
      <c r="CQ79" s="37" t="e">
        <f t="shared" ca="1" si="865"/>
        <v>#NAME?</v>
      </c>
      <c r="CR79" s="37" t="e">
        <f t="shared" ca="1" si="865"/>
        <v>#NAME?</v>
      </c>
      <c r="CS79" s="37" t="e">
        <f t="shared" ca="1" si="865"/>
        <v>#NAME?</v>
      </c>
      <c r="CT79" s="37" t="e">
        <f t="shared" ca="1" si="865"/>
        <v>#NAME?</v>
      </c>
      <c r="CU79" s="37" t="e">
        <f t="shared" ca="1" si="865"/>
        <v>#NAME?</v>
      </c>
      <c r="CV79" s="37" t="e">
        <f t="shared" ca="1" si="865"/>
        <v>#NAME?</v>
      </c>
      <c r="CW79" s="37" t="e">
        <f t="shared" ca="1" si="865"/>
        <v>#NAME?</v>
      </c>
      <c r="CX79" s="37" t="e">
        <f t="shared" ca="1" si="865"/>
        <v>#NAME?</v>
      </c>
      <c r="CY79" s="37" t="e">
        <f t="shared" ca="1" si="865"/>
        <v>#NAME?</v>
      </c>
      <c r="CZ79" s="37" t="e">
        <f t="shared" ca="1" si="865"/>
        <v>#NAME?</v>
      </c>
      <c r="DA79" s="37" t="e">
        <f t="shared" ca="1" si="865"/>
        <v>#NAME?</v>
      </c>
      <c r="DB79" s="37" t="e">
        <f t="shared" ca="1" si="865"/>
        <v>#NAME?</v>
      </c>
      <c r="DE79" s="134"/>
      <c r="DF79" s="13">
        <v>1075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66">+AB78/AB77-1</f>
        <v>#NAME?</v>
      </c>
      <c r="AC81" s="48" t="e">
        <f t="shared" ca="1" si="866"/>
        <v>#NAME?</v>
      </c>
      <c r="AD81" s="48" t="e">
        <f t="shared" ca="1" si="866"/>
        <v>#NAME?</v>
      </c>
      <c r="AE81" s="48" t="e">
        <f t="shared" ref="AE81" ca="1" si="867">+AE78/AE77-1</f>
        <v>#NAME?</v>
      </c>
      <c r="CM81" s="48" t="e">
        <f t="shared" ref="CM81:DB81" ca="1" si="868">+CM78/CM77-1</f>
        <v>#NAME?</v>
      </c>
      <c r="CN81" s="48" t="e">
        <f t="shared" ca="1" si="868"/>
        <v>#NAME?</v>
      </c>
      <c r="CO81" s="48" t="e">
        <f t="shared" ca="1" si="868"/>
        <v>#NAME?</v>
      </c>
      <c r="CP81" s="48" t="e">
        <f t="shared" ca="1" si="868"/>
        <v>#NAME?</v>
      </c>
      <c r="CQ81" s="48" t="e">
        <f t="shared" ca="1" si="868"/>
        <v>#NAME?</v>
      </c>
      <c r="CR81" s="48" t="e">
        <f t="shared" ca="1" si="868"/>
        <v>#NAME?</v>
      </c>
      <c r="CS81" s="48" t="e">
        <f t="shared" ca="1" si="868"/>
        <v>#NAME?</v>
      </c>
      <c r="CT81" s="48" t="e">
        <f t="shared" ca="1" si="868"/>
        <v>#NAME?</v>
      </c>
      <c r="CU81" s="48" t="e">
        <f t="shared" ca="1" si="868"/>
        <v>#NAME?</v>
      </c>
      <c r="CV81" s="48" t="e">
        <f t="shared" ca="1" si="868"/>
        <v>#NAME?</v>
      </c>
      <c r="CW81" s="48" t="e">
        <f t="shared" ca="1" si="868"/>
        <v>#NAME?</v>
      </c>
      <c r="CX81" s="48" t="e">
        <f t="shared" ca="1" si="868"/>
        <v>#NAME?</v>
      </c>
      <c r="CY81" s="48" t="e">
        <f t="shared" ca="1" si="868"/>
        <v>#NAME?</v>
      </c>
      <c r="CZ81" s="48" t="e">
        <f t="shared" ca="1" si="868"/>
        <v>#NAME?</v>
      </c>
      <c r="DA81" s="48" t="e">
        <f t="shared" ca="1" si="868"/>
        <v>#NAME?</v>
      </c>
      <c r="DB81" s="48" t="e">
        <f t="shared" ca="1" si="868"/>
        <v>#NAME?</v>
      </c>
      <c r="DE81" s="129"/>
      <c r="DF81" s="51">
        <v>0.14049199863806594</v>
      </c>
    </row>
    <row r="82" spans="1:110" s="51" customFormat="1" x14ac:dyDescent="0.2">
      <c r="A82" s="51" t="s">
        <v>347</v>
      </c>
      <c r="AB82" s="48" t="e">
        <f t="shared" ref="AB82:AD82" ca="1" si="869">+AB79/AB77-1</f>
        <v>#NAME?</v>
      </c>
      <c r="AC82" s="48" t="e">
        <f t="shared" ca="1" si="869"/>
        <v>#NAME?</v>
      </c>
      <c r="AD82" s="48" t="e">
        <f t="shared" ca="1" si="869"/>
        <v>#NAME?</v>
      </c>
      <c r="AE82" s="48" t="e">
        <f t="shared" ref="AE82" ca="1" si="870">+AE79/AE77-1</f>
        <v>#NAME?</v>
      </c>
      <c r="CM82" s="48" t="e">
        <f t="shared" ref="CM82:DB82" ca="1" si="871">+CM79/CM77-1</f>
        <v>#NAME?</v>
      </c>
      <c r="CN82" s="48" t="e">
        <f t="shared" ca="1" si="871"/>
        <v>#NAME?</v>
      </c>
      <c r="CO82" s="48" t="e">
        <f t="shared" ca="1" si="871"/>
        <v>#NAME?</v>
      </c>
      <c r="CP82" s="48" t="e">
        <f t="shared" ca="1" si="871"/>
        <v>#NAME?</v>
      </c>
      <c r="CQ82" s="48" t="e">
        <f t="shared" ca="1" si="871"/>
        <v>#NAME?</v>
      </c>
      <c r="CR82" s="48" t="e">
        <f t="shared" ca="1" si="871"/>
        <v>#NAME?</v>
      </c>
      <c r="CS82" s="48" t="e">
        <f t="shared" ca="1" si="871"/>
        <v>#NAME?</v>
      </c>
      <c r="CT82" s="48" t="e">
        <f t="shared" ca="1" si="871"/>
        <v>#NAME?</v>
      </c>
      <c r="CU82" s="48" t="e">
        <f t="shared" ca="1" si="871"/>
        <v>#NAME?</v>
      </c>
      <c r="CV82" s="48" t="e">
        <f t="shared" ca="1" si="871"/>
        <v>#NAME?</v>
      </c>
      <c r="CW82" s="48" t="e">
        <f t="shared" ca="1" si="871"/>
        <v>#NAME?</v>
      </c>
      <c r="CX82" s="48" t="e">
        <f t="shared" ca="1" si="871"/>
        <v>#NAME?</v>
      </c>
      <c r="CY82" s="48" t="e">
        <f t="shared" ca="1" si="871"/>
        <v>#NAME?</v>
      </c>
      <c r="CZ82" s="48" t="e">
        <f t="shared" ca="1" si="871"/>
        <v>#NAME?</v>
      </c>
      <c r="DA82" s="48" t="e">
        <f t="shared" ca="1" si="871"/>
        <v>#NAME?</v>
      </c>
      <c r="DB82" s="48" t="e">
        <f t="shared" ca="1" si="871"/>
        <v>#NAME?</v>
      </c>
      <c r="DE82" s="129"/>
      <c r="DF82" s="51">
        <v>-8.4950629894450125E-2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2">+B77/B69</f>
        <v>#NAME?</v>
      </c>
      <c r="C85" s="13" t="e">
        <f t="shared" ca="1" si="872"/>
        <v>#NAME?</v>
      </c>
      <c r="D85" s="13" t="e">
        <f t="shared" ca="1" si="872"/>
        <v>#NAME?</v>
      </c>
      <c r="E85" s="13">
        <f t="shared" ref="E85:AE85" ca="1" si="873">+E77/E69</f>
        <v>25.268722392446204</v>
      </c>
      <c r="F85" s="13">
        <f t="shared" ca="1" si="873"/>
        <v>22.378052706499567</v>
      </c>
      <c r="G85" s="13">
        <f t="shared" ca="1" si="873"/>
        <v>29.157633373873221</v>
      </c>
      <c r="H85" s="13">
        <f t="shared" ca="1" si="873"/>
        <v>34.773736537854276</v>
      </c>
      <c r="I85" s="13">
        <f t="shared" ca="1" si="873"/>
        <v>34.946494690103435</v>
      </c>
      <c r="J85" s="13">
        <f t="shared" ca="1" si="873"/>
        <v>26.225717923196129</v>
      </c>
      <c r="K85" s="13">
        <f t="shared" ca="1" si="873"/>
        <v>37.505274672108314</v>
      </c>
      <c r="L85" s="13">
        <f t="shared" ca="1" si="873"/>
        <v>44.696462825811068</v>
      </c>
      <c r="M85" s="13">
        <f t="shared" ca="1" si="873"/>
        <v>41.839828454058527</v>
      </c>
      <c r="N85" s="13">
        <f t="shared" ca="1" si="873"/>
        <v>45.054396449205512</v>
      </c>
      <c r="O85" s="13">
        <f t="shared" ca="1" si="873"/>
        <v>46.290682553565581</v>
      </c>
      <c r="P85" s="13">
        <f t="shared" ca="1" si="873"/>
        <v>52.230078968149499</v>
      </c>
      <c r="Q85" s="13">
        <f t="shared" ca="1" si="873"/>
        <v>52.769976929076876</v>
      </c>
      <c r="R85" s="13">
        <f t="shared" ca="1" si="873"/>
        <v>57.439007153160659</v>
      </c>
      <c r="S85" s="13">
        <f t="shared" ca="1" si="873"/>
        <v>61.73537777814056</v>
      </c>
      <c r="T85" s="13">
        <f t="shared" ca="1" si="873"/>
        <v>66.642947032540249</v>
      </c>
      <c r="U85" s="13">
        <f t="shared" ca="1" si="873"/>
        <v>72.441782795005153</v>
      </c>
      <c r="V85" s="13">
        <f t="shared" ca="1" si="873"/>
        <v>85.155247727414562</v>
      </c>
      <c r="W85" s="13">
        <f t="shared" ca="1" si="873"/>
        <v>80.690975376978315</v>
      </c>
      <c r="X85" s="13">
        <f t="shared" ca="1" si="873"/>
        <v>79.046328915884288</v>
      </c>
      <c r="Y85" s="13">
        <f t="shared" ca="1" si="873"/>
        <v>64.382690844018171</v>
      </c>
      <c r="Z85" s="13">
        <f t="shared" ref="Z85:AA85" ca="1" si="874">+Z77/Z69</f>
        <v>71.766794112103497</v>
      </c>
      <c r="AA85" s="13">
        <f t="shared" ca="1" si="874"/>
        <v>71.766794112103497</v>
      </c>
      <c r="AB85" s="37">
        <f t="shared" ca="1" si="873"/>
        <v>56.195318012636939</v>
      </c>
      <c r="AC85" s="37">
        <f t="shared" ca="1" si="873"/>
        <v>51.326596655921044</v>
      </c>
      <c r="AD85" s="37">
        <f t="shared" ca="1" si="873"/>
        <v>43.054835701328251</v>
      </c>
      <c r="AE85" s="37">
        <f t="shared" ca="1" si="873"/>
        <v>36.248896488508059</v>
      </c>
      <c r="AL85" s="13" t="e">
        <f t="shared" ref="AL85:BQ85" ca="1" si="875">+AL77/AL69</f>
        <v>#NAME?</v>
      </c>
      <c r="AM85" s="13" t="e">
        <f t="shared" ca="1" si="875"/>
        <v>#NAME?</v>
      </c>
      <c r="AN85" s="13" t="e">
        <f t="shared" ca="1" si="875"/>
        <v>#NAME?</v>
      </c>
      <c r="AO85" s="13" t="e">
        <f t="shared" ca="1" si="875"/>
        <v>#NAME?</v>
      </c>
      <c r="AP85" s="13" t="e">
        <f t="shared" ca="1" si="875"/>
        <v>#NAME?</v>
      </c>
      <c r="AQ85" s="13" t="e">
        <f t="shared" ca="1" si="875"/>
        <v>#NAME?</v>
      </c>
      <c r="AR85" s="13" t="e">
        <f t="shared" ca="1" si="875"/>
        <v>#NAME?</v>
      </c>
      <c r="AS85" s="13" t="e">
        <f t="shared" ca="1" si="875"/>
        <v>#NAME?</v>
      </c>
      <c r="AT85" s="13" t="e">
        <f t="shared" ca="1" si="875"/>
        <v>#NAME?</v>
      </c>
      <c r="AU85" s="13" t="e">
        <f t="shared" ca="1" si="875"/>
        <v>#NAME?</v>
      </c>
      <c r="AV85" s="13" t="e">
        <f t="shared" ca="1" si="875"/>
        <v>#NAME?</v>
      </c>
      <c r="AW85" s="13" t="e">
        <f t="shared" ca="1" si="875"/>
        <v>#NAME?</v>
      </c>
      <c r="AX85" s="13" t="e">
        <f t="shared" ca="1" si="875"/>
        <v>#NAME?</v>
      </c>
      <c r="AY85" s="13" t="e">
        <f t="shared" ca="1" si="875"/>
        <v>#NAME?</v>
      </c>
      <c r="AZ85" s="13" t="e">
        <f t="shared" ca="1" si="875"/>
        <v>#NAME?</v>
      </c>
      <c r="BA85" s="13" t="e">
        <f t="shared" ca="1" si="875"/>
        <v>#NAME?</v>
      </c>
      <c r="BB85" s="13" t="e">
        <f t="shared" ca="1" si="875"/>
        <v>#NAME?</v>
      </c>
      <c r="BC85" s="13" t="e">
        <f t="shared" ca="1" si="875"/>
        <v>#NAME?</v>
      </c>
      <c r="BD85" s="13" t="e">
        <f t="shared" ca="1" si="875"/>
        <v>#NAME?</v>
      </c>
      <c r="BE85" s="13" t="e">
        <f t="shared" ca="1" si="875"/>
        <v>#NAME?</v>
      </c>
      <c r="BF85" s="13" t="e">
        <f t="shared" ca="1" si="875"/>
        <v>#NAME?</v>
      </c>
      <c r="BG85" s="13" t="e">
        <f t="shared" ca="1" si="875"/>
        <v>#NAME?</v>
      </c>
      <c r="BH85" s="13" t="e">
        <f t="shared" ca="1" si="875"/>
        <v>#NAME?</v>
      </c>
      <c r="BI85" s="13" t="e">
        <f t="shared" ca="1" si="875"/>
        <v>#NAME?</v>
      </c>
      <c r="BJ85" s="13" t="e">
        <f t="shared" ca="1" si="875"/>
        <v>#NAME?</v>
      </c>
      <c r="BK85" s="13" t="e">
        <f t="shared" ca="1" si="875"/>
        <v>#NAME?</v>
      </c>
      <c r="BL85" s="13" t="e">
        <f t="shared" ca="1" si="875"/>
        <v>#NAME?</v>
      </c>
      <c r="BM85" s="13" t="e">
        <f t="shared" ca="1" si="875"/>
        <v>#NAME?</v>
      </c>
      <c r="BN85" s="13" t="e">
        <f t="shared" ca="1" si="875"/>
        <v>#NAME?</v>
      </c>
      <c r="BO85" s="13" t="e">
        <f t="shared" ca="1" si="875"/>
        <v>#NAME?</v>
      </c>
      <c r="BP85" s="13" t="e">
        <f t="shared" ca="1" si="875"/>
        <v>#NAME?</v>
      </c>
      <c r="BQ85" s="13" t="e">
        <f t="shared" ca="1" si="875"/>
        <v>#NAME?</v>
      </c>
      <c r="BR85" s="13" t="e">
        <f t="shared" ref="BR85:DB85" ca="1" si="876">+BR77/BR69</f>
        <v>#NAME?</v>
      </c>
      <c r="BS85" s="13" t="e">
        <f t="shared" ca="1" si="876"/>
        <v>#NAME?</v>
      </c>
      <c r="BT85" s="13" t="e">
        <f t="shared" ca="1" si="876"/>
        <v>#NAME?</v>
      </c>
      <c r="BU85" s="13" t="e">
        <f t="shared" ca="1" si="876"/>
        <v>#NAME?</v>
      </c>
      <c r="BV85" s="13" t="e">
        <f t="shared" ca="1" si="876"/>
        <v>#NAME?</v>
      </c>
      <c r="BW85" s="13" t="e">
        <f t="shared" ca="1" si="876"/>
        <v>#NAME?</v>
      </c>
      <c r="BX85" s="13" t="e">
        <f t="shared" ca="1" si="876"/>
        <v>#NAME?</v>
      </c>
      <c r="BY85" s="13" t="e">
        <f t="shared" ca="1" si="876"/>
        <v>#NAME?</v>
      </c>
      <c r="BZ85" s="13" t="e">
        <f t="shared" ca="1" si="876"/>
        <v>#NAME?</v>
      </c>
      <c r="CA85" s="13" t="e">
        <f t="shared" ca="1" si="876"/>
        <v>#NAME?</v>
      </c>
      <c r="CB85" s="13" t="e">
        <f t="shared" ca="1" si="876"/>
        <v>#NAME?</v>
      </c>
      <c r="CC85" s="13" t="e">
        <f t="shared" ca="1" si="876"/>
        <v>#NAME?</v>
      </c>
      <c r="CD85" s="13" t="e">
        <f t="shared" ca="1" si="876"/>
        <v>#NAME?</v>
      </c>
      <c r="CE85" s="13" t="e">
        <f t="shared" ca="1" si="876"/>
        <v>#NAME?</v>
      </c>
      <c r="CF85" s="13" t="e">
        <f t="shared" ca="1" si="876"/>
        <v>#NAME?</v>
      </c>
      <c r="CG85" s="13" t="e">
        <f t="shared" ca="1" si="876"/>
        <v>#NAME?</v>
      </c>
      <c r="CH85" s="13" t="e">
        <f t="shared" ca="1" si="876"/>
        <v>#NAME?</v>
      </c>
      <c r="CI85" s="13" t="e">
        <f t="shared" ref="CI85:CJ85" ca="1" si="877">+CI77/CI69</f>
        <v>#NAME?</v>
      </c>
      <c r="CJ85" s="13" t="e">
        <f t="shared" ca="1" si="877"/>
        <v>#NAME?</v>
      </c>
      <c r="CK85" s="13" t="e">
        <f t="shared" ref="CK85:CL85" ca="1" si="878">+CK77/CK69</f>
        <v>#NAME?</v>
      </c>
      <c r="CL85" s="13" t="e">
        <f t="shared" ca="1" si="878"/>
        <v>#NAME?</v>
      </c>
      <c r="CM85" s="37" t="e">
        <f t="shared" ca="1" si="876"/>
        <v>#NAME?</v>
      </c>
      <c r="CN85" s="37" t="e">
        <f t="shared" ca="1" si="876"/>
        <v>#NAME?</v>
      </c>
      <c r="CO85" s="37" t="e">
        <f t="shared" ca="1" si="876"/>
        <v>#NAME?</v>
      </c>
      <c r="CP85" s="37" t="e">
        <f t="shared" ca="1" si="876"/>
        <v>#NAME?</v>
      </c>
      <c r="CQ85" s="37" t="e">
        <f t="shared" ca="1" si="876"/>
        <v>#NAME?</v>
      </c>
      <c r="CR85" s="37" t="e">
        <f t="shared" ca="1" si="876"/>
        <v>#NAME?</v>
      </c>
      <c r="CS85" s="37" t="e">
        <f t="shared" ca="1" si="876"/>
        <v>#NAME?</v>
      </c>
      <c r="CT85" s="37" t="e">
        <f t="shared" ca="1" si="876"/>
        <v>#NAME?</v>
      </c>
      <c r="CU85" s="37" t="e">
        <f t="shared" ca="1" si="876"/>
        <v>#NAME?</v>
      </c>
      <c r="CV85" s="37" t="e">
        <f t="shared" ca="1" si="876"/>
        <v>#NAME?</v>
      </c>
      <c r="CW85" s="37" t="e">
        <f t="shared" ca="1" si="876"/>
        <v>#NAME?</v>
      </c>
      <c r="CX85" s="37" t="e">
        <f t="shared" ca="1" si="876"/>
        <v>#NAME?</v>
      </c>
      <c r="CY85" s="37" t="e">
        <f t="shared" ca="1" si="876"/>
        <v>#NAME?</v>
      </c>
      <c r="CZ85" s="37" t="e">
        <f t="shared" ca="1" si="876"/>
        <v>#NAME?</v>
      </c>
      <c r="DA85" s="37" t="e">
        <f t="shared" ca="1" si="876"/>
        <v>#NAME?</v>
      </c>
      <c r="DB85" s="37" t="e">
        <f t="shared" ca="1" si="876"/>
        <v>#NAME?</v>
      </c>
      <c r="DE85" s="134"/>
      <c r="DF85" s="13">
        <v>67.0564141728088</v>
      </c>
    </row>
    <row r="86" spans="1:110" s="13" customFormat="1" x14ac:dyDescent="0.2">
      <c r="A86" s="13" t="s">
        <v>461</v>
      </c>
      <c r="B86" s="13" t="e">
        <f t="shared" ref="B86:D86" ca="1" si="879">+B78/B69</f>
        <v>#NAME?</v>
      </c>
      <c r="C86" s="13" t="e">
        <f t="shared" ca="1" si="879"/>
        <v>#NAME?</v>
      </c>
      <c r="D86" s="13" t="e">
        <f t="shared" ca="1" si="879"/>
        <v>#NAME?</v>
      </c>
      <c r="E86" s="13">
        <f t="shared" ref="E86:AE86" ca="1" si="880">+E78/E69</f>
        <v>26.19957888086989</v>
      </c>
      <c r="F86" s="13">
        <f t="shared" ca="1" si="880"/>
        <v>27.556350177321171</v>
      </c>
      <c r="G86" s="13">
        <f t="shared" ca="1" si="880"/>
        <v>31.393820167554161</v>
      </c>
      <c r="H86" s="13">
        <f t="shared" ca="1" si="880"/>
        <v>41.246862469116607</v>
      </c>
      <c r="I86" s="13">
        <f t="shared" ca="1" si="880"/>
        <v>38.740772082118461</v>
      </c>
      <c r="J86" s="13">
        <f t="shared" ca="1" si="880"/>
        <v>33.938633416354307</v>
      </c>
      <c r="K86" s="13">
        <f t="shared" ca="1" si="880"/>
        <v>40.317489482487751</v>
      </c>
      <c r="L86" s="13">
        <f t="shared" ca="1" si="880"/>
        <v>49.45676802031803</v>
      </c>
      <c r="M86" s="13">
        <f t="shared" ca="1" si="880"/>
        <v>45.613003483958167</v>
      </c>
      <c r="N86" s="13">
        <f t="shared" ca="1" si="880"/>
        <v>45.365418402891613</v>
      </c>
      <c r="O86" s="13">
        <f t="shared" ca="1" si="880"/>
        <v>51.250726239894114</v>
      </c>
      <c r="P86" s="13">
        <f t="shared" ca="1" si="880"/>
        <v>54.233795672035924</v>
      </c>
      <c r="Q86" s="13">
        <f t="shared" ca="1" si="880"/>
        <v>67.954222707238912</v>
      </c>
      <c r="R86" s="13">
        <f t="shared" ca="1" si="880"/>
        <v>70.396076629715296</v>
      </c>
      <c r="S86" s="13">
        <f t="shared" ca="1" si="880"/>
        <v>62.963002881185801</v>
      </c>
      <c r="T86" s="13">
        <f t="shared" ca="1" si="880"/>
        <v>70.199717520364857</v>
      </c>
      <c r="U86" s="13">
        <f t="shared" ca="1" si="880"/>
        <v>74.205322488874415</v>
      </c>
      <c r="V86" s="13">
        <f t="shared" ca="1" si="880"/>
        <v>87.14194963336098</v>
      </c>
      <c r="W86" s="13">
        <f t="shared" ca="1" si="880"/>
        <v>84.340555658178019</v>
      </c>
      <c r="X86" s="13">
        <f t="shared" ca="1" si="880"/>
        <v>84.91144165286201</v>
      </c>
      <c r="Y86" s="13">
        <f t="shared" ca="1" si="880"/>
        <v>68.001379461978857</v>
      </c>
      <c r="Z86" s="13">
        <f t="shared" ref="Z86:AA86" ca="1" si="881">+Z78/Z69</f>
        <v>88.534855844744186</v>
      </c>
      <c r="AA86" s="13">
        <f t="shared" ca="1" si="881"/>
        <v>88.534855844744186</v>
      </c>
      <c r="AB86" s="60">
        <f t="shared" ca="1" si="880"/>
        <v>76.477303821448601</v>
      </c>
      <c r="AC86" s="60">
        <f t="shared" ca="1" si="880"/>
        <v>76.477303821448643</v>
      </c>
      <c r="AD86" s="60">
        <f t="shared" ca="1" si="880"/>
        <v>76.477303821448629</v>
      </c>
      <c r="AE86" s="60">
        <f t="shared" ca="1" si="880"/>
        <v>76.477303821448572</v>
      </c>
      <c r="AL86" s="13" t="e">
        <f t="shared" ref="AL86:BQ86" ca="1" si="882">+AL78/AL69</f>
        <v>#NAME?</v>
      </c>
      <c r="AM86" s="13" t="e">
        <f t="shared" ca="1" si="882"/>
        <v>#NAME?</v>
      </c>
      <c r="AN86" s="13" t="e">
        <f t="shared" ca="1" si="882"/>
        <v>#NAME?</v>
      </c>
      <c r="AO86" s="13" t="e">
        <f t="shared" ca="1" si="882"/>
        <v>#NAME?</v>
      </c>
      <c r="AP86" s="13" t="e">
        <f t="shared" ca="1" si="882"/>
        <v>#NAME?</v>
      </c>
      <c r="AQ86" s="13" t="e">
        <f t="shared" ca="1" si="882"/>
        <v>#NAME?</v>
      </c>
      <c r="AR86" s="13" t="e">
        <f t="shared" ca="1" si="882"/>
        <v>#NAME?</v>
      </c>
      <c r="AS86" s="13" t="e">
        <f t="shared" ca="1" si="882"/>
        <v>#NAME?</v>
      </c>
      <c r="AT86" s="13" t="e">
        <f t="shared" ca="1" si="882"/>
        <v>#NAME?</v>
      </c>
      <c r="AU86" s="13" t="e">
        <f t="shared" ca="1" si="882"/>
        <v>#NAME?</v>
      </c>
      <c r="AV86" s="13" t="e">
        <f t="shared" ca="1" si="882"/>
        <v>#NAME?</v>
      </c>
      <c r="AW86" s="13" t="e">
        <f t="shared" ca="1" si="882"/>
        <v>#NAME?</v>
      </c>
      <c r="AX86" s="13" t="e">
        <f t="shared" ca="1" si="882"/>
        <v>#NAME?</v>
      </c>
      <c r="AY86" s="13" t="e">
        <f t="shared" ca="1" si="882"/>
        <v>#NAME?</v>
      </c>
      <c r="AZ86" s="13" t="e">
        <f t="shared" ca="1" si="882"/>
        <v>#NAME?</v>
      </c>
      <c r="BA86" s="13" t="e">
        <f t="shared" ca="1" si="882"/>
        <v>#NAME?</v>
      </c>
      <c r="BB86" s="13" t="e">
        <f t="shared" ca="1" si="882"/>
        <v>#NAME?</v>
      </c>
      <c r="BC86" s="13" t="e">
        <f t="shared" ca="1" si="882"/>
        <v>#NAME?</v>
      </c>
      <c r="BD86" s="13" t="e">
        <f t="shared" ca="1" si="882"/>
        <v>#NAME?</v>
      </c>
      <c r="BE86" s="13" t="e">
        <f t="shared" ca="1" si="882"/>
        <v>#NAME?</v>
      </c>
      <c r="BF86" s="13" t="e">
        <f t="shared" ca="1" si="882"/>
        <v>#NAME?</v>
      </c>
      <c r="BG86" s="13" t="e">
        <f t="shared" ca="1" si="882"/>
        <v>#NAME?</v>
      </c>
      <c r="BH86" s="13" t="e">
        <f t="shared" ca="1" si="882"/>
        <v>#NAME?</v>
      </c>
      <c r="BI86" s="13" t="e">
        <f t="shared" ca="1" si="882"/>
        <v>#NAME?</v>
      </c>
      <c r="BJ86" s="13" t="e">
        <f t="shared" ca="1" si="882"/>
        <v>#NAME?</v>
      </c>
      <c r="BK86" s="13" t="e">
        <f t="shared" ca="1" si="882"/>
        <v>#NAME?</v>
      </c>
      <c r="BL86" s="13" t="e">
        <f t="shared" ca="1" si="882"/>
        <v>#NAME?</v>
      </c>
      <c r="BM86" s="13" t="e">
        <f t="shared" ca="1" si="882"/>
        <v>#NAME?</v>
      </c>
      <c r="BN86" s="13" t="e">
        <f t="shared" ca="1" si="882"/>
        <v>#NAME?</v>
      </c>
      <c r="BO86" s="13" t="e">
        <f t="shared" ca="1" si="882"/>
        <v>#NAME?</v>
      </c>
      <c r="BP86" s="13" t="e">
        <f t="shared" ca="1" si="882"/>
        <v>#NAME?</v>
      </c>
      <c r="BQ86" s="13" t="e">
        <f t="shared" ca="1" si="882"/>
        <v>#NAME?</v>
      </c>
      <c r="BR86" s="13" t="e">
        <f t="shared" ref="BR86:CH86" ca="1" si="883">+BR78/BR69</f>
        <v>#NAME?</v>
      </c>
      <c r="BS86" s="13" t="e">
        <f t="shared" ca="1" si="883"/>
        <v>#NAME?</v>
      </c>
      <c r="BT86" s="13" t="e">
        <f t="shared" ca="1" si="883"/>
        <v>#NAME?</v>
      </c>
      <c r="BU86" s="13" t="e">
        <f t="shared" ca="1" si="883"/>
        <v>#NAME?</v>
      </c>
      <c r="BV86" s="13" t="e">
        <f t="shared" ca="1" si="883"/>
        <v>#NAME?</v>
      </c>
      <c r="BW86" s="13" t="e">
        <f t="shared" ca="1" si="883"/>
        <v>#NAME?</v>
      </c>
      <c r="BX86" s="13" t="e">
        <f t="shared" ca="1" si="883"/>
        <v>#NAME?</v>
      </c>
      <c r="BY86" s="13" t="e">
        <f t="shared" ca="1" si="883"/>
        <v>#NAME?</v>
      </c>
      <c r="BZ86" s="13" t="e">
        <f t="shared" ca="1" si="883"/>
        <v>#NAME?</v>
      </c>
      <c r="CA86" s="13" t="e">
        <f t="shared" ca="1" si="883"/>
        <v>#NAME?</v>
      </c>
      <c r="CB86" s="13" t="e">
        <f t="shared" ca="1" si="883"/>
        <v>#NAME?</v>
      </c>
      <c r="CC86" s="13" t="e">
        <f t="shared" ca="1" si="883"/>
        <v>#NAME?</v>
      </c>
      <c r="CD86" s="13" t="e">
        <f t="shared" ca="1" si="883"/>
        <v>#NAME?</v>
      </c>
      <c r="CE86" s="13" t="e">
        <f t="shared" ca="1" si="883"/>
        <v>#NAME?</v>
      </c>
      <c r="CF86" s="13" t="e">
        <f t="shared" ca="1" si="883"/>
        <v>#NAME?</v>
      </c>
      <c r="CG86" s="13" t="e">
        <f t="shared" ca="1" si="883"/>
        <v>#NAME?</v>
      </c>
      <c r="CH86" s="13" t="e">
        <f t="shared" ca="1" si="883"/>
        <v>#NAME?</v>
      </c>
      <c r="CI86" s="13" t="e">
        <f t="shared" ref="CI86:CJ86" ca="1" si="884">+CI78/CI69</f>
        <v>#NAME?</v>
      </c>
      <c r="CJ86" s="13" t="e">
        <f t="shared" ca="1" si="884"/>
        <v>#NAME?</v>
      </c>
      <c r="CK86" s="13" t="e">
        <f t="shared" ref="CK86:CL86" ca="1" si="885">+CK78/CK69</f>
        <v>#NAME?</v>
      </c>
      <c r="CL86" s="13" t="e">
        <f t="shared" ca="1" si="885"/>
        <v>#NAME?</v>
      </c>
      <c r="CM86" s="60" t="e">
        <f t="shared" ref="CM86:CM87" ca="1" si="886">+CL86</f>
        <v>#NAME?</v>
      </c>
      <c r="CN86" s="60" t="e">
        <f t="shared" ref="CN86:CN87" ca="1" si="887">+CM86</f>
        <v>#NAME?</v>
      </c>
      <c r="CO86" s="60" t="e">
        <f t="shared" ref="CO86:CO87" ca="1" si="888">+CN86</f>
        <v>#NAME?</v>
      </c>
      <c r="CP86" s="60" t="e">
        <f t="shared" ref="CP86:CP87" ca="1" si="889">+CO86</f>
        <v>#NAME?</v>
      </c>
      <c r="CQ86" s="60" t="e">
        <f t="shared" ref="CQ86:CQ87" ca="1" si="890">+CP86</f>
        <v>#NAME?</v>
      </c>
      <c r="CR86" s="60" t="e">
        <f t="shared" ref="CR86:CR87" ca="1" si="891">+CQ86</f>
        <v>#NAME?</v>
      </c>
      <c r="CS86" s="60" t="e">
        <f t="shared" ref="CS86:CS87" ca="1" si="892">+CR86</f>
        <v>#NAME?</v>
      </c>
      <c r="CT86" s="60" t="e">
        <f t="shared" ref="CT86:CT87" ca="1" si="893">+CS86</f>
        <v>#NAME?</v>
      </c>
      <c r="CU86" s="60" t="e">
        <f t="shared" ref="CU86:CU87" ca="1" si="894">+CT86</f>
        <v>#NAME?</v>
      </c>
      <c r="CV86" s="60" t="e">
        <f t="shared" ref="CV86:CV87" ca="1" si="895">+CU86</f>
        <v>#NAME?</v>
      </c>
      <c r="CW86" s="60" t="e">
        <f t="shared" ref="CW86:CW87" ca="1" si="896">+CV86</f>
        <v>#NAME?</v>
      </c>
      <c r="CX86" s="60" t="e">
        <f t="shared" ref="CX86:CX87" ca="1" si="897">+CW86</f>
        <v>#NAME?</v>
      </c>
      <c r="CY86" s="60" t="e">
        <f t="shared" ref="CY86:CY87" ca="1" si="898">+CX86</f>
        <v>#NAME?</v>
      </c>
      <c r="CZ86" s="60" t="e">
        <f t="shared" ref="CZ86:CZ87" ca="1" si="899">+CY86</f>
        <v>#NAME?</v>
      </c>
      <c r="DA86" s="60" t="e">
        <f t="shared" ref="DA86:DA87" ca="1" si="900">+CZ86</f>
        <v>#NAME?</v>
      </c>
      <c r="DB86" s="60" t="e">
        <f t="shared" ref="DB86:DB87" ca="1" si="901">+DA86</f>
        <v>#NAME?</v>
      </c>
      <c r="DE86" s="136"/>
      <c r="DF86" s="13">
        <v>76.477303821448643</v>
      </c>
    </row>
    <row r="87" spans="1:110" s="13" customFormat="1" x14ac:dyDescent="0.2">
      <c r="A87" s="13" t="s">
        <v>462</v>
      </c>
      <c r="B87" s="13" t="e">
        <f t="shared" ref="B87:D87" ca="1" si="902">+B79/B69</f>
        <v>#NAME?</v>
      </c>
      <c r="C87" s="13" t="e">
        <f t="shared" ca="1" si="902"/>
        <v>#NAME?</v>
      </c>
      <c r="D87" s="13" t="e">
        <f t="shared" ca="1" si="902"/>
        <v>#NAME?</v>
      </c>
      <c r="E87" s="13">
        <f t="shared" ref="E87:AE87" ca="1" si="903">+E79/E69</f>
        <v>18.334940990487073</v>
      </c>
      <c r="F87" s="13">
        <f t="shared" ca="1" si="903"/>
        <v>19.13635428980637</v>
      </c>
      <c r="G87" s="13">
        <f t="shared" ca="1" si="903"/>
        <v>16.358734169650617</v>
      </c>
      <c r="H87" s="13">
        <f t="shared" ca="1" si="903"/>
        <v>24.478850130039529</v>
      </c>
      <c r="I87" s="13">
        <f t="shared" ca="1" si="903"/>
        <v>20.41011357325862</v>
      </c>
      <c r="J87" s="13">
        <f t="shared" ca="1" si="903"/>
        <v>21.663860123029778</v>
      </c>
      <c r="K87" s="13">
        <f t="shared" ca="1" si="903"/>
        <v>20.269879113493889</v>
      </c>
      <c r="L87" s="13">
        <f t="shared" ca="1" si="903"/>
        <v>28.918677400078806</v>
      </c>
      <c r="M87" s="13">
        <f t="shared" ca="1" si="903"/>
        <v>31.68544537465549</v>
      </c>
      <c r="N87" s="13">
        <f t="shared" ca="1" si="903"/>
        <v>35.480878896556916</v>
      </c>
      <c r="O87" s="13">
        <f t="shared" ca="1" si="903"/>
        <v>38.537337309212177</v>
      </c>
      <c r="P87" s="13">
        <f t="shared" ca="1" si="903"/>
        <v>37.135276685715247</v>
      </c>
      <c r="Q87" s="13">
        <f t="shared" ca="1" si="903"/>
        <v>49.824368251402575</v>
      </c>
      <c r="R87" s="13">
        <f t="shared" ca="1" si="903"/>
        <v>47.534021973244833</v>
      </c>
      <c r="S87" s="13">
        <f t="shared" ca="1" si="903"/>
        <v>45.642471779887224</v>
      </c>
      <c r="T87" s="13">
        <f t="shared" ca="1" si="903"/>
        <v>41.326157097695564</v>
      </c>
      <c r="U87" s="13">
        <f t="shared" ca="1" si="903"/>
        <v>49.118045838328811</v>
      </c>
      <c r="V87" s="13">
        <f t="shared" ca="1" si="903"/>
        <v>58.285926261627012</v>
      </c>
      <c r="W87" s="13">
        <f t="shared" ca="1" si="903"/>
        <v>65.097965527344996</v>
      </c>
      <c r="X87" s="13">
        <f t="shared" ca="1" si="903"/>
        <v>64.531566353763935</v>
      </c>
      <c r="Y87" s="13">
        <f t="shared" ca="1" si="903"/>
        <v>47.550739123628297</v>
      </c>
      <c r="Z87" s="13">
        <f t="shared" ref="Z87:AA87" ca="1" si="904">+Z79/Z69</f>
        <v>67.429319449634121</v>
      </c>
      <c r="AA87" s="13">
        <f t="shared" ca="1" si="904"/>
        <v>67.429319449634121</v>
      </c>
      <c r="AB87" s="60">
        <f t="shared" ca="1" si="903"/>
        <v>56.277178386094349</v>
      </c>
      <c r="AC87" s="60">
        <f t="shared" ca="1" si="903"/>
        <v>63.086568162022083</v>
      </c>
      <c r="AD87" s="60">
        <f t="shared" ca="1" si="903"/>
        <v>57.888719006128646</v>
      </c>
      <c r="AE87" s="60">
        <f t="shared" ca="1" si="903"/>
        <v>58.200365572359374</v>
      </c>
      <c r="AL87" s="13" t="e">
        <f t="shared" ref="AL87:BQ87" ca="1" si="905">+AL79/AL69</f>
        <v>#NAME?</v>
      </c>
      <c r="AM87" s="13" t="e">
        <f t="shared" ca="1" si="905"/>
        <v>#NAME?</v>
      </c>
      <c r="AN87" s="13" t="e">
        <f t="shared" ca="1" si="905"/>
        <v>#NAME?</v>
      </c>
      <c r="AO87" s="13" t="e">
        <f t="shared" ca="1" si="905"/>
        <v>#NAME?</v>
      </c>
      <c r="AP87" s="13" t="e">
        <f t="shared" ca="1" si="905"/>
        <v>#NAME?</v>
      </c>
      <c r="AQ87" s="13" t="e">
        <f t="shared" ca="1" si="905"/>
        <v>#NAME?</v>
      </c>
      <c r="AR87" s="13" t="e">
        <f t="shared" ca="1" si="905"/>
        <v>#NAME?</v>
      </c>
      <c r="AS87" s="13" t="e">
        <f t="shared" ca="1" si="905"/>
        <v>#NAME?</v>
      </c>
      <c r="AT87" s="13" t="e">
        <f t="shared" ca="1" si="905"/>
        <v>#NAME?</v>
      </c>
      <c r="AU87" s="13" t="e">
        <f t="shared" ca="1" si="905"/>
        <v>#NAME?</v>
      </c>
      <c r="AV87" s="13" t="e">
        <f t="shared" ca="1" si="905"/>
        <v>#NAME?</v>
      </c>
      <c r="AW87" s="13" t="e">
        <f t="shared" ca="1" si="905"/>
        <v>#NAME?</v>
      </c>
      <c r="AX87" s="13" t="e">
        <f t="shared" ca="1" si="905"/>
        <v>#NAME?</v>
      </c>
      <c r="AY87" s="13" t="e">
        <f t="shared" ca="1" si="905"/>
        <v>#NAME?</v>
      </c>
      <c r="AZ87" s="13" t="e">
        <f t="shared" ca="1" si="905"/>
        <v>#NAME?</v>
      </c>
      <c r="BA87" s="13" t="e">
        <f t="shared" ca="1" si="905"/>
        <v>#NAME?</v>
      </c>
      <c r="BB87" s="13" t="e">
        <f t="shared" ca="1" si="905"/>
        <v>#NAME?</v>
      </c>
      <c r="BC87" s="13" t="e">
        <f t="shared" ca="1" si="905"/>
        <v>#NAME?</v>
      </c>
      <c r="BD87" s="13" t="e">
        <f t="shared" ca="1" si="905"/>
        <v>#NAME?</v>
      </c>
      <c r="BE87" s="13" t="e">
        <f t="shared" ca="1" si="905"/>
        <v>#NAME?</v>
      </c>
      <c r="BF87" s="13" t="e">
        <f t="shared" ca="1" si="905"/>
        <v>#NAME?</v>
      </c>
      <c r="BG87" s="13" t="e">
        <f t="shared" ca="1" si="905"/>
        <v>#NAME?</v>
      </c>
      <c r="BH87" s="13" t="e">
        <f t="shared" ca="1" si="905"/>
        <v>#NAME?</v>
      </c>
      <c r="BI87" s="13" t="e">
        <f t="shared" ca="1" si="905"/>
        <v>#NAME?</v>
      </c>
      <c r="BJ87" s="13" t="e">
        <f t="shared" ca="1" si="905"/>
        <v>#NAME?</v>
      </c>
      <c r="BK87" s="13" t="e">
        <f t="shared" ca="1" si="905"/>
        <v>#NAME?</v>
      </c>
      <c r="BL87" s="13" t="e">
        <f t="shared" ca="1" si="905"/>
        <v>#NAME?</v>
      </c>
      <c r="BM87" s="13" t="e">
        <f t="shared" ca="1" si="905"/>
        <v>#NAME?</v>
      </c>
      <c r="BN87" s="13" t="e">
        <f t="shared" ca="1" si="905"/>
        <v>#NAME?</v>
      </c>
      <c r="BO87" s="13" t="e">
        <f t="shared" ca="1" si="905"/>
        <v>#NAME?</v>
      </c>
      <c r="BP87" s="13" t="e">
        <f t="shared" ca="1" si="905"/>
        <v>#NAME?</v>
      </c>
      <c r="BQ87" s="13" t="e">
        <f t="shared" ca="1" si="905"/>
        <v>#NAME?</v>
      </c>
      <c r="BR87" s="13" t="e">
        <f t="shared" ref="BR87:CH87" ca="1" si="906">+BR79/BR69</f>
        <v>#NAME?</v>
      </c>
      <c r="BS87" s="13" t="e">
        <f t="shared" ca="1" si="906"/>
        <v>#NAME?</v>
      </c>
      <c r="BT87" s="13" t="e">
        <f t="shared" ca="1" si="906"/>
        <v>#NAME?</v>
      </c>
      <c r="BU87" s="13" t="e">
        <f t="shared" ca="1" si="906"/>
        <v>#NAME?</v>
      </c>
      <c r="BV87" s="13" t="e">
        <f t="shared" ca="1" si="906"/>
        <v>#NAME?</v>
      </c>
      <c r="BW87" s="13" t="e">
        <f t="shared" ca="1" si="906"/>
        <v>#NAME?</v>
      </c>
      <c r="BX87" s="13" t="e">
        <f t="shared" ca="1" si="906"/>
        <v>#NAME?</v>
      </c>
      <c r="BY87" s="13" t="e">
        <f t="shared" ca="1" si="906"/>
        <v>#NAME?</v>
      </c>
      <c r="BZ87" s="13" t="e">
        <f t="shared" ca="1" si="906"/>
        <v>#NAME?</v>
      </c>
      <c r="CA87" s="13" t="e">
        <f t="shared" ca="1" si="906"/>
        <v>#NAME?</v>
      </c>
      <c r="CB87" s="13" t="e">
        <f t="shared" ca="1" si="906"/>
        <v>#NAME?</v>
      </c>
      <c r="CC87" s="13" t="e">
        <f t="shared" ca="1" si="906"/>
        <v>#NAME?</v>
      </c>
      <c r="CD87" s="13" t="e">
        <f t="shared" ca="1" si="906"/>
        <v>#NAME?</v>
      </c>
      <c r="CE87" s="13" t="e">
        <f t="shared" ca="1" si="906"/>
        <v>#NAME?</v>
      </c>
      <c r="CF87" s="13" t="e">
        <f t="shared" ca="1" si="906"/>
        <v>#NAME?</v>
      </c>
      <c r="CG87" s="13" t="e">
        <f t="shared" ca="1" si="906"/>
        <v>#NAME?</v>
      </c>
      <c r="CH87" s="13" t="e">
        <f t="shared" ca="1" si="906"/>
        <v>#NAME?</v>
      </c>
      <c r="CI87" s="13" t="e">
        <f t="shared" ref="CI87:CJ87" ca="1" si="907">+CI79/CI69</f>
        <v>#NAME?</v>
      </c>
      <c r="CJ87" s="13" t="e">
        <f t="shared" ca="1" si="907"/>
        <v>#NAME?</v>
      </c>
      <c r="CK87" s="13" t="e">
        <f t="shared" ref="CK87:CL87" ca="1" si="908">+CK79/CK69</f>
        <v>#NAME?</v>
      </c>
      <c r="CL87" s="13" t="e">
        <f t="shared" ca="1" si="908"/>
        <v>#NAME?</v>
      </c>
      <c r="CM87" s="60" t="e">
        <f t="shared" ca="1" si="886"/>
        <v>#NAME?</v>
      </c>
      <c r="CN87" s="60" t="e">
        <f t="shared" ca="1" si="887"/>
        <v>#NAME?</v>
      </c>
      <c r="CO87" s="60" t="e">
        <f t="shared" ca="1" si="888"/>
        <v>#NAME?</v>
      </c>
      <c r="CP87" s="60" t="e">
        <f t="shared" ca="1" si="889"/>
        <v>#NAME?</v>
      </c>
      <c r="CQ87" s="60" t="e">
        <f t="shared" ca="1" si="890"/>
        <v>#NAME?</v>
      </c>
      <c r="CR87" s="60" t="e">
        <f t="shared" ca="1" si="891"/>
        <v>#NAME?</v>
      </c>
      <c r="CS87" s="60" t="e">
        <f t="shared" ca="1" si="892"/>
        <v>#NAME?</v>
      </c>
      <c r="CT87" s="60" t="e">
        <f t="shared" ca="1" si="893"/>
        <v>#NAME?</v>
      </c>
      <c r="CU87" s="60" t="e">
        <f t="shared" ca="1" si="894"/>
        <v>#NAME?</v>
      </c>
      <c r="CV87" s="60" t="e">
        <f t="shared" ca="1" si="895"/>
        <v>#NAME?</v>
      </c>
      <c r="CW87" s="60" t="e">
        <f t="shared" ca="1" si="896"/>
        <v>#NAME?</v>
      </c>
      <c r="CX87" s="60" t="e">
        <f t="shared" ca="1" si="897"/>
        <v>#NAME?</v>
      </c>
      <c r="CY87" s="60" t="e">
        <f t="shared" ca="1" si="898"/>
        <v>#NAME?</v>
      </c>
      <c r="CZ87" s="60" t="e">
        <f t="shared" ca="1" si="899"/>
        <v>#NAME?</v>
      </c>
      <c r="DA87" s="60" t="e">
        <f t="shared" ca="1" si="900"/>
        <v>#NAME?</v>
      </c>
      <c r="DB87" s="60" t="e">
        <f t="shared" ca="1" si="901"/>
        <v>#NAME?</v>
      </c>
      <c r="DE87" s="136"/>
      <c r="DF87" s="13">
        <v>61.359929550365564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09">+B78/C69</f>
        <v>#NAME?</v>
      </c>
      <c r="C89" s="13" t="e">
        <f t="shared" ca="1" si="909"/>
        <v>#NAME?</v>
      </c>
      <c r="D89" s="13">
        <f t="shared" ca="1" si="909"/>
        <v>21.253945687453481</v>
      </c>
      <c r="E89" s="13">
        <f t="shared" ca="1" si="909"/>
        <v>27.361159363565147</v>
      </c>
      <c r="F89" s="13">
        <f t="shared" ca="1" si="909"/>
        <v>22.424157262538685</v>
      </c>
      <c r="G89" s="13">
        <f t="shared" ca="1" si="909"/>
        <v>30.843351163849807</v>
      </c>
      <c r="H89" s="13">
        <f t="shared" ca="1" si="909"/>
        <v>31.407343717754134</v>
      </c>
      <c r="I89" s="13">
        <f t="shared" ca="1" si="909"/>
        <v>30.016735485661236</v>
      </c>
      <c r="J89" s="13">
        <f t="shared" ca="1" si="909"/>
        <v>27.673194679473156</v>
      </c>
      <c r="K89" s="13">
        <f t="shared" ca="1" si="909"/>
        <v>32.257486214137991</v>
      </c>
      <c r="L89" s="13">
        <f t="shared" ca="1" si="909"/>
        <v>42.107550413395018</v>
      </c>
      <c r="M89" s="13">
        <f t="shared" ca="1" si="909"/>
        <v>41.069343028101123</v>
      </c>
      <c r="N89" s="13">
        <f t="shared" ca="1" si="909"/>
        <v>43.910281038139416</v>
      </c>
      <c r="O89" s="13">
        <f t="shared" ca="1" si="909"/>
        <v>48.01429177033004</v>
      </c>
      <c r="P89" s="13">
        <f t="shared" ca="1" si="909"/>
        <v>60.022552955051637</v>
      </c>
      <c r="Q89" s="13">
        <f t="shared" ca="1" si="909"/>
        <v>71.44344450866484</v>
      </c>
      <c r="R89" s="13">
        <f t="shared" ca="1" si="909"/>
        <v>58.154804560925271</v>
      </c>
      <c r="S89" s="13">
        <f t="shared" ca="1" si="909"/>
        <v>48.005601675244058</v>
      </c>
      <c r="T89" s="13">
        <f t="shared" ca="1" si="909"/>
        <v>57.307325636036644</v>
      </c>
      <c r="U89" s="13">
        <f t="shared" ca="1" si="909"/>
        <v>70.143402179184861</v>
      </c>
      <c r="V89" s="13">
        <f t="shared" ca="1" si="909"/>
        <v>77.059000205952671</v>
      </c>
      <c r="W89" s="13">
        <f t="shared" ca="1" si="909"/>
        <v>83.084190019326201</v>
      </c>
      <c r="X89" s="13">
        <f t="shared" ca="1" si="909"/>
        <v>51.669606615298086</v>
      </c>
      <c r="Y89" s="13">
        <f t="shared" ca="1" si="909"/>
        <v>88.335437219137816</v>
      </c>
      <c r="Z89" s="13">
        <f t="shared" ref="Z89:AA89" ca="1" si="910">+Z78/AA69</f>
        <v>79.254197377379143</v>
      </c>
      <c r="AA89" s="13">
        <f t="shared" ca="1" si="910"/>
        <v>79.254197377379143</v>
      </c>
      <c r="AB89" s="37">
        <f t="shared" ca="1" si="909"/>
        <v>69.851366010476426</v>
      </c>
      <c r="AC89" s="37">
        <f t="shared" ca="1" si="909"/>
        <v>64.15227124811102</v>
      </c>
      <c r="AD89" s="37">
        <f t="shared" ca="1" si="909"/>
        <v>64.388072205751087</v>
      </c>
      <c r="AE89" s="37"/>
      <c r="AL89" s="13" t="e">
        <f t="shared" ref="AL89:BQ89" ca="1" si="911">+AL78/AP69</f>
        <v>#NAME?</v>
      </c>
      <c r="AM89" s="13" t="e">
        <f t="shared" ca="1" si="911"/>
        <v>#NAME?</v>
      </c>
      <c r="AN89" s="13" t="e">
        <f t="shared" ca="1" si="911"/>
        <v>#NAME?</v>
      </c>
      <c r="AO89" s="13" t="e">
        <f t="shared" ca="1" si="911"/>
        <v>#NAME?</v>
      </c>
      <c r="AP89" s="13" t="e">
        <f t="shared" ca="1" si="911"/>
        <v>#NAME?</v>
      </c>
      <c r="AQ89" s="13" t="e">
        <f t="shared" ca="1" si="911"/>
        <v>#NAME?</v>
      </c>
      <c r="AR89" s="13" t="e">
        <f t="shared" ca="1" si="911"/>
        <v>#NAME?</v>
      </c>
      <c r="AS89" s="13" t="e">
        <f t="shared" ca="1" si="911"/>
        <v>#NAME?</v>
      </c>
      <c r="AT89" s="13" t="e">
        <f t="shared" ca="1" si="911"/>
        <v>#NAME?</v>
      </c>
      <c r="AU89" s="13" t="e">
        <f t="shared" ca="1" si="911"/>
        <v>#NAME?</v>
      </c>
      <c r="AV89" s="13" t="e">
        <f t="shared" ca="1" si="911"/>
        <v>#NAME?</v>
      </c>
      <c r="AW89" s="13" t="e">
        <f t="shared" ca="1" si="911"/>
        <v>#NAME?</v>
      </c>
      <c r="AX89" s="13" t="e">
        <f t="shared" ca="1" si="911"/>
        <v>#NAME?</v>
      </c>
      <c r="AY89" s="13" t="e">
        <f t="shared" ca="1" si="911"/>
        <v>#NAME?</v>
      </c>
      <c r="AZ89" s="13" t="e">
        <f t="shared" ca="1" si="911"/>
        <v>#NAME?</v>
      </c>
      <c r="BA89" s="13" t="e">
        <f t="shared" ca="1" si="911"/>
        <v>#NAME?</v>
      </c>
      <c r="BB89" s="13" t="e">
        <f t="shared" ca="1" si="911"/>
        <v>#NAME?</v>
      </c>
      <c r="BC89" s="13" t="e">
        <f t="shared" ca="1" si="911"/>
        <v>#NAME?</v>
      </c>
      <c r="BD89" s="13" t="e">
        <f t="shared" ca="1" si="911"/>
        <v>#NAME?</v>
      </c>
      <c r="BE89" s="13" t="e">
        <f t="shared" ca="1" si="911"/>
        <v>#NAME?</v>
      </c>
      <c r="BF89" s="13" t="e">
        <f t="shared" ca="1" si="911"/>
        <v>#NAME?</v>
      </c>
      <c r="BG89" s="13" t="e">
        <f t="shared" ca="1" si="911"/>
        <v>#NAME?</v>
      </c>
      <c r="BH89" s="13" t="e">
        <f t="shared" ca="1" si="911"/>
        <v>#NAME?</v>
      </c>
      <c r="BI89" s="13" t="e">
        <f t="shared" ca="1" si="911"/>
        <v>#NAME?</v>
      </c>
      <c r="BJ89" s="13" t="e">
        <f t="shared" ca="1" si="911"/>
        <v>#NAME?</v>
      </c>
      <c r="BK89" s="13" t="e">
        <f t="shared" ca="1" si="911"/>
        <v>#NAME?</v>
      </c>
      <c r="BL89" s="13" t="e">
        <f t="shared" ca="1" si="911"/>
        <v>#NAME?</v>
      </c>
      <c r="BM89" s="13" t="e">
        <f t="shared" ca="1" si="911"/>
        <v>#NAME?</v>
      </c>
      <c r="BN89" s="13" t="e">
        <f t="shared" ca="1" si="911"/>
        <v>#NAME?</v>
      </c>
      <c r="BO89" s="13" t="e">
        <f t="shared" ca="1" si="911"/>
        <v>#NAME?</v>
      </c>
      <c r="BP89" s="13" t="e">
        <f t="shared" ca="1" si="911"/>
        <v>#NAME?</v>
      </c>
      <c r="BQ89" s="13" t="e">
        <f t="shared" ca="1" si="911"/>
        <v>#NAME?</v>
      </c>
      <c r="BR89" s="13" t="e">
        <f t="shared" ref="BR89:CL89" ca="1" si="912">+BR78/BV69</f>
        <v>#NAME?</v>
      </c>
      <c r="BS89" s="13" t="e">
        <f t="shared" ca="1" si="912"/>
        <v>#NAME?</v>
      </c>
      <c r="BT89" s="13" t="e">
        <f t="shared" ca="1" si="912"/>
        <v>#NAME?</v>
      </c>
      <c r="BU89" s="13" t="e">
        <f t="shared" ca="1" si="912"/>
        <v>#NAME?</v>
      </c>
      <c r="BV89" s="13" t="e">
        <f t="shared" ca="1" si="912"/>
        <v>#NAME?</v>
      </c>
      <c r="BW89" s="13" t="e">
        <f t="shared" ca="1" si="912"/>
        <v>#NAME?</v>
      </c>
      <c r="BX89" s="13" t="e">
        <f t="shared" ca="1" si="912"/>
        <v>#NAME?</v>
      </c>
      <c r="BY89" s="13" t="e">
        <f t="shared" ca="1" si="912"/>
        <v>#NAME?</v>
      </c>
      <c r="BZ89" s="13" t="e">
        <f t="shared" ca="1" si="912"/>
        <v>#NAME?</v>
      </c>
      <c r="CA89" s="13" t="e">
        <f t="shared" ca="1" si="912"/>
        <v>#NAME?</v>
      </c>
      <c r="CB89" s="13" t="e">
        <f t="shared" ca="1" si="912"/>
        <v>#NAME?</v>
      </c>
      <c r="CC89" s="13" t="e">
        <f t="shared" ca="1" si="912"/>
        <v>#NAME?</v>
      </c>
      <c r="CD89" s="13" t="e">
        <f t="shared" ca="1" si="912"/>
        <v>#NAME?</v>
      </c>
      <c r="CE89" s="13" t="e">
        <f t="shared" ca="1" si="912"/>
        <v>#NAME?</v>
      </c>
      <c r="CF89" s="13" t="e">
        <f t="shared" ca="1" si="912"/>
        <v>#NAME?</v>
      </c>
      <c r="CG89" s="13" t="e">
        <f t="shared" ca="1" si="912"/>
        <v>#NAME?</v>
      </c>
      <c r="CH89" s="13" t="e">
        <f t="shared" ca="1" si="912"/>
        <v>#NAME?</v>
      </c>
      <c r="CI89" s="13" t="e">
        <f t="shared" ca="1" si="912"/>
        <v>#NAME?</v>
      </c>
      <c r="CJ89" s="13" t="e">
        <f t="shared" ca="1" si="912"/>
        <v>#NAME?</v>
      </c>
      <c r="CK89" s="13" t="e">
        <f t="shared" ca="1" si="912"/>
        <v>#NAME?</v>
      </c>
      <c r="CL89" s="13" t="e">
        <f t="shared" ca="1" si="912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61.363730105323221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3">+CORREL(AL69:AO69,AL86:AO86)</f>
        <v>#NAME?</v>
      </c>
      <c r="AP90" s="175" t="e">
        <f t="shared" ca="1" si="913"/>
        <v>#NAME?</v>
      </c>
      <c r="AQ90" s="175" t="e">
        <f t="shared" ca="1" si="913"/>
        <v>#NAME?</v>
      </c>
      <c r="AR90" s="175" t="e">
        <f t="shared" ca="1" si="913"/>
        <v>#NAME?</v>
      </c>
      <c r="AS90" s="175" t="e">
        <f t="shared" ca="1" si="913"/>
        <v>#NAME?</v>
      </c>
      <c r="AT90" s="175" t="e">
        <f t="shared" ca="1" si="913"/>
        <v>#NAME?</v>
      </c>
      <c r="AU90" s="175" t="e">
        <f t="shared" ca="1" si="913"/>
        <v>#NAME?</v>
      </c>
      <c r="AV90" s="175" t="e">
        <f t="shared" ca="1" si="913"/>
        <v>#NAME?</v>
      </c>
      <c r="AW90" s="175" t="e">
        <f t="shared" ca="1" si="913"/>
        <v>#NAME?</v>
      </c>
      <c r="AX90" s="175" t="e">
        <f t="shared" ca="1" si="913"/>
        <v>#NAME?</v>
      </c>
      <c r="AY90" s="175" t="e">
        <f t="shared" ca="1" si="913"/>
        <v>#NAME?</v>
      </c>
      <c r="AZ90" s="175" t="e">
        <f t="shared" ca="1" si="913"/>
        <v>#NAME?</v>
      </c>
      <c r="BA90" s="175" t="e">
        <f t="shared" ca="1" si="913"/>
        <v>#NAME?</v>
      </c>
      <c r="BB90" s="175" t="e">
        <f t="shared" ca="1" si="913"/>
        <v>#NAME?</v>
      </c>
      <c r="BC90" s="175" t="e">
        <f t="shared" ca="1" si="913"/>
        <v>#NAME?</v>
      </c>
      <c r="BD90" s="175" t="e">
        <f t="shared" ca="1" si="913"/>
        <v>#NAME?</v>
      </c>
      <c r="BE90" s="175" t="e">
        <f t="shared" ca="1" si="913"/>
        <v>#NAME?</v>
      </c>
      <c r="BF90" s="175" t="e">
        <f t="shared" ca="1" si="913"/>
        <v>#NAME?</v>
      </c>
      <c r="BG90" s="175" t="e">
        <f t="shared" ca="1" si="913"/>
        <v>#NAME?</v>
      </c>
      <c r="BH90" s="175" t="e">
        <f t="shared" ca="1" si="913"/>
        <v>#NAME?</v>
      </c>
      <c r="BI90" s="175" t="e">
        <f t="shared" ca="1" si="913"/>
        <v>#NAME?</v>
      </c>
      <c r="BJ90" s="175" t="e">
        <f t="shared" ca="1" si="913"/>
        <v>#NAME?</v>
      </c>
      <c r="BK90" s="175" t="e">
        <f t="shared" ca="1" si="913"/>
        <v>#NAME?</v>
      </c>
      <c r="BL90" s="175" t="e">
        <f t="shared" ca="1" si="913"/>
        <v>#NAME?</v>
      </c>
      <c r="BM90" s="175" t="e">
        <f t="shared" ca="1" si="913"/>
        <v>#NAME?</v>
      </c>
      <c r="BN90" s="175" t="e">
        <f t="shared" ca="1" si="913"/>
        <v>#NAME?</v>
      </c>
      <c r="BO90" s="175" t="e">
        <f t="shared" ca="1" si="913"/>
        <v>#NAME?</v>
      </c>
      <c r="BP90" s="175" t="e">
        <f t="shared" ca="1" si="913"/>
        <v>#NAME?</v>
      </c>
      <c r="BQ90" s="175" t="e">
        <f t="shared" ca="1" si="913"/>
        <v>#NAME?</v>
      </c>
      <c r="BR90" s="175" t="e">
        <f t="shared" ca="1" si="913"/>
        <v>#NAME?</v>
      </c>
      <c r="BS90" s="175" t="e">
        <f t="shared" ca="1" si="913"/>
        <v>#NAME?</v>
      </c>
      <c r="BT90" s="175" t="e">
        <f t="shared" ca="1" si="913"/>
        <v>#NAME?</v>
      </c>
      <c r="BU90" s="175" t="e">
        <f t="shared" ca="1" si="913"/>
        <v>#NAME?</v>
      </c>
      <c r="BV90" s="175" t="e">
        <f t="shared" ca="1" si="913"/>
        <v>#NAME?</v>
      </c>
      <c r="BW90" s="175" t="e">
        <f t="shared" ca="1" si="913"/>
        <v>#NAME?</v>
      </c>
      <c r="BX90" s="175" t="e">
        <f t="shared" ca="1" si="913"/>
        <v>#NAME?</v>
      </c>
      <c r="BY90" s="175" t="e">
        <f t="shared" ca="1" si="913"/>
        <v>#NAME?</v>
      </c>
      <c r="BZ90" s="175" t="e">
        <f t="shared" ca="1" si="913"/>
        <v>#NAME?</v>
      </c>
      <c r="CA90" s="175" t="e">
        <f t="shared" ca="1" si="913"/>
        <v>#NAME?</v>
      </c>
      <c r="CB90" s="175" t="e">
        <f t="shared" ca="1" si="913"/>
        <v>#NAME?</v>
      </c>
      <c r="CC90" s="175" t="e">
        <f t="shared" ca="1" si="913"/>
        <v>#NAME?</v>
      </c>
      <c r="CD90" s="175" t="e">
        <f t="shared" ca="1" si="913"/>
        <v>#NAME?</v>
      </c>
      <c r="CE90" s="175" t="e">
        <f t="shared" ca="1" si="913"/>
        <v>#NAME?</v>
      </c>
      <c r="CF90" s="175" t="e">
        <f t="shared" ca="1" si="913"/>
        <v>#NAME?</v>
      </c>
      <c r="CG90" s="175" t="e">
        <f t="shared" ca="1" si="913"/>
        <v>#NAME?</v>
      </c>
      <c r="CH90" s="175" t="e">
        <f t="shared" ca="1" si="913"/>
        <v>#NAME?</v>
      </c>
      <c r="CI90" s="175" t="e">
        <f t="shared" ca="1" si="913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4">+E$120/E$65</f>
        <v>1.7372576881190687</v>
      </c>
      <c r="F92" s="162">
        <f t="shared" ca="1" si="914"/>
        <v>1.6564175698802051</v>
      </c>
      <c r="G92" s="162">
        <f t="shared" ca="1" si="914"/>
        <v>1.8365052118446299</v>
      </c>
      <c r="H92" s="162">
        <f t="shared" ca="1" si="914"/>
        <v>2.0167396152051027</v>
      </c>
      <c r="I92" s="162">
        <f t="shared" ca="1" si="914"/>
        <v>2.1699118394440697</v>
      </c>
      <c r="J92" s="162">
        <f t="shared" ca="1" si="914"/>
        <v>2.4547513353731265</v>
      </c>
      <c r="K92" s="162">
        <f t="shared" ca="1" si="914"/>
        <v>3.0143909142768237</v>
      </c>
      <c r="L92" s="162">
        <f t="shared" ca="1" si="914"/>
        <v>4.4361038220193949</v>
      </c>
      <c r="M92" s="162">
        <f t="shared" ca="1" si="914"/>
        <v>6.6066483431001402</v>
      </c>
      <c r="N92" s="162">
        <f t="shared" ca="1" si="914"/>
        <v>9.3264014935435355</v>
      </c>
      <c r="O92" s="162">
        <f t="shared" ca="1" si="914"/>
        <v>12.284136285847637</v>
      </c>
      <c r="P92" s="162">
        <f t="shared" ca="1" si="914"/>
        <v>14.713530052377742</v>
      </c>
      <c r="Q92" s="162">
        <f t="shared" ca="1" si="914"/>
        <v>14.613078877767983</v>
      </c>
      <c r="R92" s="162">
        <f t="shared" ca="1" si="914"/>
        <v>17.021884561530882</v>
      </c>
      <c r="S92" s="162">
        <f t="shared" ca="1" si="914"/>
        <v>17.738889176995279</v>
      </c>
      <c r="T92" s="162">
        <f t="shared" ca="1" si="914"/>
        <v>19.051703573095473</v>
      </c>
      <c r="U92" s="162">
        <f t="shared" ca="1" si="914"/>
        <v>9.9510968210340707</v>
      </c>
      <c r="V92" s="162">
        <f t="shared" ca="1" si="914"/>
        <v>10.472125706580925</v>
      </c>
      <c r="W92" s="162">
        <f t="shared" ca="1" si="914"/>
        <v>10.093761344189183</v>
      </c>
      <c r="X92" s="162">
        <f t="shared" ca="1" si="914"/>
        <v>12.753046725094643</v>
      </c>
      <c r="Y92" s="162">
        <f t="shared" ca="1" si="914"/>
        <v>17.325571747134781</v>
      </c>
      <c r="Z92" s="162">
        <f t="shared" ca="1" si="914"/>
        <v>20.796608411554217</v>
      </c>
      <c r="AA92" s="162">
        <f t="shared" ca="1" si="914"/>
        <v>20.796608411554217</v>
      </c>
      <c r="AB92" s="21">
        <f t="shared" ca="1" si="914"/>
        <v>48.578167596891262</v>
      </c>
      <c r="AC92" s="21">
        <f t="shared" ca="1" si="914"/>
        <v>72.483902244085201</v>
      </c>
      <c r="AD92" s="21">
        <f t="shared" ca="1" si="914"/>
        <v>100.98244323287702</v>
      </c>
      <c r="AE92" s="21">
        <f t="shared" ca="1" si="914"/>
        <v>134.83174952524905</v>
      </c>
      <c r="AL92" s="162" t="e">
        <f t="shared" ref="AL92:BQ92" ca="1" si="915">+AL$120/AL$65</f>
        <v>#NAME?</v>
      </c>
      <c r="AM92" s="162" t="e">
        <f t="shared" ca="1" si="915"/>
        <v>#NAME?</v>
      </c>
      <c r="AN92" s="162" t="e">
        <f t="shared" ca="1" si="915"/>
        <v>#NAME?</v>
      </c>
      <c r="AO92" s="162" t="e">
        <f t="shared" ca="1" si="915"/>
        <v>#NAME?</v>
      </c>
      <c r="AP92" s="162" t="e">
        <f t="shared" ca="1" si="915"/>
        <v>#NAME?</v>
      </c>
      <c r="AQ92" s="162" t="e">
        <f t="shared" ca="1" si="915"/>
        <v>#NAME?</v>
      </c>
      <c r="AR92" s="162" t="e">
        <f t="shared" ca="1" si="915"/>
        <v>#NAME?</v>
      </c>
      <c r="AS92" s="162" t="e">
        <f t="shared" ca="1" si="915"/>
        <v>#NAME?</v>
      </c>
      <c r="AT92" s="162" t="e">
        <f t="shared" ca="1" si="915"/>
        <v>#NAME?</v>
      </c>
      <c r="AU92" s="162" t="e">
        <f t="shared" ca="1" si="915"/>
        <v>#NAME?</v>
      </c>
      <c r="AV92" s="162" t="e">
        <f t="shared" ca="1" si="915"/>
        <v>#NAME?</v>
      </c>
      <c r="AW92" s="162" t="e">
        <f t="shared" ca="1" si="915"/>
        <v>#NAME?</v>
      </c>
      <c r="AX92" s="162" t="e">
        <f t="shared" ca="1" si="915"/>
        <v>#NAME?</v>
      </c>
      <c r="AY92" s="162" t="e">
        <f t="shared" ca="1" si="915"/>
        <v>#NAME?</v>
      </c>
      <c r="AZ92" s="162" t="e">
        <f t="shared" ca="1" si="915"/>
        <v>#NAME?</v>
      </c>
      <c r="BA92" s="162" t="e">
        <f t="shared" ca="1" si="915"/>
        <v>#NAME?</v>
      </c>
      <c r="BB92" s="162" t="e">
        <f t="shared" ca="1" si="915"/>
        <v>#NAME?</v>
      </c>
      <c r="BC92" s="162" t="e">
        <f t="shared" ca="1" si="915"/>
        <v>#NAME?</v>
      </c>
      <c r="BD92" s="162" t="e">
        <f t="shared" ca="1" si="915"/>
        <v>#NAME?</v>
      </c>
      <c r="BE92" s="162" t="e">
        <f t="shared" ca="1" si="915"/>
        <v>#NAME?</v>
      </c>
      <c r="BF92" s="162" t="e">
        <f t="shared" ca="1" si="915"/>
        <v>#NAME?</v>
      </c>
      <c r="BG92" s="162" t="e">
        <f t="shared" ca="1" si="915"/>
        <v>#NAME?</v>
      </c>
      <c r="BH92" s="162" t="e">
        <f t="shared" ca="1" si="915"/>
        <v>#NAME?</v>
      </c>
      <c r="BI92" s="162" t="e">
        <f t="shared" ca="1" si="915"/>
        <v>#NAME?</v>
      </c>
      <c r="BJ92" s="162" t="e">
        <f t="shared" ca="1" si="915"/>
        <v>#NAME?</v>
      </c>
      <c r="BK92" s="162" t="e">
        <f t="shared" ca="1" si="915"/>
        <v>#NAME?</v>
      </c>
      <c r="BL92" s="162" t="e">
        <f t="shared" ca="1" si="915"/>
        <v>#NAME?</v>
      </c>
      <c r="BM92" s="162" t="e">
        <f t="shared" ca="1" si="915"/>
        <v>#NAME?</v>
      </c>
      <c r="BN92" s="162" t="e">
        <f t="shared" ca="1" si="915"/>
        <v>#NAME?</v>
      </c>
      <c r="BO92" s="162" t="e">
        <f t="shared" ca="1" si="915"/>
        <v>#NAME?</v>
      </c>
      <c r="BP92" s="162" t="e">
        <f t="shared" ca="1" si="915"/>
        <v>#NAME?</v>
      </c>
      <c r="BQ92" s="162" t="e">
        <f t="shared" ca="1" si="915"/>
        <v>#NAME?</v>
      </c>
      <c r="BR92" s="162" t="e">
        <f t="shared" ref="BR92:DB92" ca="1" si="916">+BR$120/BR$65</f>
        <v>#NAME?</v>
      </c>
      <c r="BS92" s="162" t="e">
        <f t="shared" ca="1" si="916"/>
        <v>#NAME?</v>
      </c>
      <c r="BT92" s="162" t="e">
        <f t="shared" ca="1" si="916"/>
        <v>#NAME?</v>
      </c>
      <c r="BU92" s="162" t="e">
        <f t="shared" ca="1" si="916"/>
        <v>#NAME?</v>
      </c>
      <c r="BV92" s="162" t="e">
        <f t="shared" ca="1" si="916"/>
        <v>#NAME?</v>
      </c>
      <c r="BW92" s="162" t="e">
        <f t="shared" ca="1" si="916"/>
        <v>#NAME?</v>
      </c>
      <c r="BX92" s="162" t="e">
        <f t="shared" ca="1" si="916"/>
        <v>#NAME?</v>
      </c>
      <c r="BY92" s="162" t="e">
        <f t="shared" ca="1" si="916"/>
        <v>#NAME?</v>
      </c>
      <c r="BZ92" s="162" t="e">
        <f t="shared" ca="1" si="916"/>
        <v>#NAME?</v>
      </c>
      <c r="CA92" s="162" t="e">
        <f t="shared" ca="1" si="916"/>
        <v>#NAME?</v>
      </c>
      <c r="CB92" s="162" t="e">
        <f t="shared" ca="1" si="916"/>
        <v>#NAME?</v>
      </c>
      <c r="CC92" s="162" t="e">
        <f t="shared" ca="1" si="916"/>
        <v>#NAME?</v>
      </c>
      <c r="CD92" s="162" t="e">
        <f t="shared" ca="1" si="916"/>
        <v>#NAME?</v>
      </c>
      <c r="CE92" s="162" t="e">
        <f t="shared" ca="1" si="916"/>
        <v>#NAME?</v>
      </c>
      <c r="CF92" s="162" t="e">
        <f t="shared" ca="1" si="916"/>
        <v>#NAME?</v>
      </c>
      <c r="CG92" s="162" t="e">
        <f t="shared" ca="1" si="916"/>
        <v>#NAME?</v>
      </c>
      <c r="CH92" s="162" t="e">
        <f t="shared" ca="1" si="916"/>
        <v>#NAME?</v>
      </c>
      <c r="CI92" s="162" t="e">
        <f t="shared" ca="1" si="916"/>
        <v>#NAME?</v>
      </c>
      <c r="CJ92" s="162" t="e">
        <f t="shared" ca="1" si="916"/>
        <v>#NAME?</v>
      </c>
      <c r="CK92" s="162" t="e">
        <f t="shared" ca="1" si="916"/>
        <v>#NAME?</v>
      </c>
      <c r="CL92" s="162" t="e">
        <f t="shared" ca="1" si="916"/>
        <v>#NAME?</v>
      </c>
      <c r="CM92" s="21" t="e">
        <f t="shared" ca="1" si="916"/>
        <v>#NAME?</v>
      </c>
      <c r="CN92" s="21" t="e">
        <f t="shared" ca="1" si="916"/>
        <v>#NAME?</v>
      </c>
      <c r="CO92" s="21" t="e">
        <f t="shared" ca="1" si="916"/>
        <v>#NAME?</v>
      </c>
      <c r="CP92" s="21" t="e">
        <f t="shared" ca="1" si="916"/>
        <v>#NAME?</v>
      </c>
      <c r="CQ92" s="21" t="e">
        <f t="shared" ca="1" si="916"/>
        <v>#NAME?</v>
      </c>
      <c r="CR92" s="21" t="e">
        <f t="shared" ca="1" si="916"/>
        <v>#NAME?</v>
      </c>
      <c r="CS92" s="21" t="e">
        <f t="shared" ca="1" si="916"/>
        <v>#NAME?</v>
      </c>
      <c r="CT92" s="21" t="e">
        <f t="shared" ca="1" si="916"/>
        <v>#NAME?</v>
      </c>
      <c r="CU92" s="21" t="e">
        <f t="shared" ca="1" si="916"/>
        <v>#NAME?</v>
      </c>
      <c r="CV92" s="21" t="e">
        <f t="shared" ca="1" si="916"/>
        <v>#NAME?</v>
      </c>
      <c r="CW92" s="21" t="e">
        <f t="shared" ca="1" si="916"/>
        <v>#NAME?</v>
      </c>
      <c r="CX92" s="21" t="e">
        <f t="shared" ca="1" si="916"/>
        <v>#NAME?</v>
      </c>
      <c r="CY92" s="21" t="e">
        <f t="shared" ca="1" si="916"/>
        <v>#NAME?</v>
      </c>
      <c r="CZ92" s="21" t="e">
        <f t="shared" ca="1" si="916"/>
        <v>#NAME?</v>
      </c>
      <c r="DA92" s="21" t="e">
        <f t="shared" ca="1" si="916"/>
        <v>#NAME?</v>
      </c>
      <c r="DB92" s="21" t="e">
        <f t="shared" ca="1" si="916"/>
        <v>#NAME?</v>
      </c>
      <c r="DE92" s="22"/>
      <c r="DF92" s="162">
        <v>26.743608359695067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17">+E77/E$92</f>
        <v>19.844494133352278</v>
      </c>
      <c r="F94" s="162">
        <f t="shared" ca="1" si="917"/>
        <v>17.6495350759376</v>
      </c>
      <c r="G94" s="162">
        <f t="shared" ca="1" si="917"/>
        <v>25.488628999306197</v>
      </c>
      <c r="H94" s="162">
        <f t="shared" ca="1" si="917"/>
        <v>28.175427096086047</v>
      </c>
      <c r="I94" s="162">
        <f t="shared" ca="1" si="917"/>
        <v>34.561311955979598</v>
      </c>
      <c r="J94" s="162">
        <f t="shared" ca="1" si="917"/>
        <v>29.59057357594185</v>
      </c>
      <c r="K94" s="162">
        <f t="shared" ca="1" si="917"/>
        <v>42.263098457674218</v>
      </c>
      <c r="L94" s="162">
        <f t="shared" ca="1" si="917"/>
        <v>42.776275671929113</v>
      </c>
      <c r="M94" s="162">
        <f t="shared" ca="1" si="917"/>
        <v>31.579552772457532</v>
      </c>
      <c r="N94" s="162">
        <f t="shared" ca="1" si="917"/>
        <v>26.754155948865943</v>
      </c>
      <c r="O94" s="162">
        <f t="shared" ca="1" si="917"/>
        <v>21.561344960422165</v>
      </c>
      <c r="P94" s="162">
        <f t="shared" ca="1" si="917"/>
        <v>21.680045431956042</v>
      </c>
      <c r="Q94" s="162">
        <f t="shared" ca="1" si="917"/>
        <v>19.927696444794591</v>
      </c>
      <c r="R94" s="162">
        <f t="shared" ca="1" si="917"/>
        <v>17.711904866360179</v>
      </c>
      <c r="S94" s="162">
        <f t="shared" ca="1" si="917"/>
        <v>22.112433089028503</v>
      </c>
      <c r="T94" s="162">
        <f t="shared" ca="1" si="917"/>
        <v>29.150280334209821</v>
      </c>
      <c r="U94" s="162">
        <f t="shared" ca="1" si="917"/>
        <v>74.31316500075566</v>
      </c>
      <c r="V94" s="162">
        <f t="shared" ca="1" si="917"/>
        <v>87.815743027424801</v>
      </c>
      <c r="W94" s="162">
        <f t="shared" ca="1" si="917"/>
        <v>97.627382538353245</v>
      </c>
      <c r="X94" s="162">
        <f t="shared" ca="1" si="917"/>
        <v>76.839677696133251</v>
      </c>
      <c r="Y94" s="162">
        <f t="shared" ca="1" si="917"/>
        <v>75.706015313284794</v>
      </c>
      <c r="Z94" s="162">
        <f t="shared" ca="1" si="917"/>
        <v>54.12060359681913</v>
      </c>
      <c r="AA94" s="162">
        <f t="shared" ref="AA94" ca="1" si="918">+AA77/AA$92</f>
        <v>54.12060359681913</v>
      </c>
      <c r="AB94" s="21">
        <f t="shared" ca="1" si="917"/>
        <v>25.258260257608427</v>
      </c>
      <c r="AC94" s="21">
        <f t="shared" ca="1" si="917"/>
        <v>16.927896567546142</v>
      </c>
      <c r="AD94" s="21">
        <f t="shared" ca="1" si="917"/>
        <v>12.150626987410062</v>
      </c>
      <c r="AE94" s="21">
        <f t="shared" ca="1" si="917"/>
        <v>9.1002305044645873</v>
      </c>
      <c r="AL94" s="162" t="e">
        <f t="shared" ref="AL94:CI96" ca="1" si="919">+AL77/AL$92</f>
        <v>#NAME?</v>
      </c>
      <c r="AM94" s="162" t="e">
        <f t="shared" ca="1" si="919"/>
        <v>#NAME?</v>
      </c>
      <c r="AN94" s="162" t="e">
        <f t="shared" ca="1" si="919"/>
        <v>#NAME?</v>
      </c>
      <c r="AO94" s="162" t="e">
        <f t="shared" ca="1" si="919"/>
        <v>#NAME?</v>
      </c>
      <c r="AP94" s="162" t="e">
        <f t="shared" ca="1" si="919"/>
        <v>#NAME?</v>
      </c>
      <c r="AQ94" s="162" t="e">
        <f t="shared" ca="1" si="919"/>
        <v>#NAME?</v>
      </c>
      <c r="AR94" s="162" t="e">
        <f t="shared" ca="1" si="919"/>
        <v>#NAME?</v>
      </c>
      <c r="AS94" s="162" t="e">
        <f t="shared" ca="1" si="919"/>
        <v>#NAME?</v>
      </c>
      <c r="AT94" s="162" t="e">
        <f t="shared" ca="1" si="919"/>
        <v>#NAME?</v>
      </c>
      <c r="AU94" s="162" t="e">
        <f t="shared" ca="1" si="919"/>
        <v>#NAME?</v>
      </c>
      <c r="AV94" s="162" t="e">
        <f t="shared" ca="1" si="919"/>
        <v>#NAME?</v>
      </c>
      <c r="AW94" s="162" t="e">
        <f t="shared" ca="1" si="919"/>
        <v>#NAME?</v>
      </c>
      <c r="AX94" s="162" t="e">
        <f t="shared" ca="1" si="919"/>
        <v>#NAME?</v>
      </c>
      <c r="AY94" s="162" t="e">
        <f t="shared" ca="1" si="919"/>
        <v>#NAME?</v>
      </c>
      <c r="AZ94" s="162" t="e">
        <f t="shared" ca="1" si="919"/>
        <v>#NAME?</v>
      </c>
      <c r="BA94" s="162" t="e">
        <f t="shared" ca="1" si="919"/>
        <v>#NAME?</v>
      </c>
      <c r="BB94" s="162" t="e">
        <f t="shared" ca="1" si="919"/>
        <v>#NAME?</v>
      </c>
      <c r="BC94" s="162" t="e">
        <f t="shared" ca="1" si="919"/>
        <v>#NAME?</v>
      </c>
      <c r="BD94" s="162" t="e">
        <f t="shared" ca="1" si="919"/>
        <v>#NAME?</v>
      </c>
      <c r="BE94" s="162" t="e">
        <f t="shared" ca="1" si="919"/>
        <v>#NAME?</v>
      </c>
      <c r="BF94" s="162" t="e">
        <f t="shared" ca="1" si="919"/>
        <v>#NAME?</v>
      </c>
      <c r="BG94" s="162" t="e">
        <f t="shared" ca="1" si="919"/>
        <v>#NAME?</v>
      </c>
      <c r="BH94" s="162" t="e">
        <f t="shared" ca="1" si="919"/>
        <v>#NAME?</v>
      </c>
      <c r="BI94" s="162" t="e">
        <f t="shared" ca="1" si="919"/>
        <v>#NAME?</v>
      </c>
      <c r="BJ94" s="162" t="e">
        <f t="shared" ca="1" si="919"/>
        <v>#NAME?</v>
      </c>
      <c r="BK94" s="162" t="e">
        <f t="shared" ca="1" si="919"/>
        <v>#NAME?</v>
      </c>
      <c r="BL94" s="162" t="e">
        <f t="shared" ca="1" si="919"/>
        <v>#NAME?</v>
      </c>
      <c r="BM94" s="162" t="e">
        <f t="shared" ca="1" si="919"/>
        <v>#NAME?</v>
      </c>
      <c r="BN94" s="162" t="e">
        <f t="shared" ca="1" si="919"/>
        <v>#NAME?</v>
      </c>
      <c r="BO94" s="162" t="e">
        <f t="shared" ca="1" si="919"/>
        <v>#NAME?</v>
      </c>
      <c r="BP94" s="162" t="e">
        <f t="shared" ca="1" si="919"/>
        <v>#NAME?</v>
      </c>
      <c r="BQ94" s="162" t="e">
        <f t="shared" ca="1" si="919"/>
        <v>#NAME?</v>
      </c>
      <c r="BR94" s="162" t="e">
        <f t="shared" ca="1" si="919"/>
        <v>#NAME?</v>
      </c>
      <c r="BS94" s="162" t="e">
        <f t="shared" ca="1" si="919"/>
        <v>#NAME?</v>
      </c>
      <c r="BT94" s="162" t="e">
        <f t="shared" ca="1" si="919"/>
        <v>#NAME?</v>
      </c>
      <c r="BU94" s="162" t="e">
        <f t="shared" ca="1" si="919"/>
        <v>#NAME?</v>
      </c>
      <c r="BV94" s="162" t="e">
        <f t="shared" ca="1" si="919"/>
        <v>#NAME?</v>
      </c>
      <c r="BW94" s="162" t="e">
        <f t="shared" ca="1" si="919"/>
        <v>#NAME?</v>
      </c>
      <c r="BX94" s="162" t="e">
        <f t="shared" ca="1" si="919"/>
        <v>#NAME?</v>
      </c>
      <c r="BY94" s="162" t="e">
        <f t="shared" ca="1" si="919"/>
        <v>#NAME?</v>
      </c>
      <c r="BZ94" s="162" t="e">
        <f t="shared" ca="1" si="919"/>
        <v>#NAME?</v>
      </c>
      <c r="CA94" s="162" t="e">
        <f t="shared" ca="1" si="919"/>
        <v>#NAME?</v>
      </c>
      <c r="CB94" s="162" t="e">
        <f t="shared" ca="1" si="919"/>
        <v>#NAME?</v>
      </c>
      <c r="CC94" s="162" t="e">
        <f t="shared" ca="1" si="919"/>
        <v>#NAME?</v>
      </c>
      <c r="CD94" s="162" t="e">
        <f t="shared" ca="1" si="919"/>
        <v>#NAME?</v>
      </c>
      <c r="CE94" s="162" t="e">
        <f t="shared" ca="1" si="919"/>
        <v>#NAME?</v>
      </c>
      <c r="CF94" s="162" t="e">
        <f t="shared" ca="1" si="919"/>
        <v>#NAME?</v>
      </c>
      <c r="CG94" s="162" t="e">
        <f t="shared" ca="1" si="919"/>
        <v>#NAME?</v>
      </c>
      <c r="CH94" s="162" t="e">
        <f t="shared" ca="1" si="919"/>
        <v>#NAME?</v>
      </c>
      <c r="CI94" s="162" t="e">
        <f t="shared" ca="1" si="919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0">+CM77/CM$92</f>
        <v>#NAME?</v>
      </c>
      <c r="CN94" s="21" t="e">
        <f t="shared" ca="1" si="920"/>
        <v>#NAME?</v>
      </c>
      <c r="CO94" s="21" t="e">
        <f t="shared" ca="1" si="920"/>
        <v>#NAME?</v>
      </c>
      <c r="CP94" s="21" t="e">
        <f t="shared" ca="1" si="920"/>
        <v>#NAME?</v>
      </c>
      <c r="CQ94" s="21" t="e">
        <f t="shared" ca="1" si="920"/>
        <v>#NAME?</v>
      </c>
      <c r="CR94" s="21" t="e">
        <f t="shared" ca="1" si="920"/>
        <v>#NAME?</v>
      </c>
      <c r="CS94" s="21" t="e">
        <f t="shared" ca="1" si="920"/>
        <v>#NAME?</v>
      </c>
      <c r="CT94" s="21" t="e">
        <f t="shared" ca="1" si="920"/>
        <v>#NAME?</v>
      </c>
      <c r="CU94" s="21" t="e">
        <f t="shared" ca="1" si="920"/>
        <v>#NAME?</v>
      </c>
      <c r="CV94" s="21" t="e">
        <f t="shared" ca="1" si="920"/>
        <v>#NAME?</v>
      </c>
      <c r="CW94" s="21" t="e">
        <f t="shared" ca="1" si="920"/>
        <v>#NAME?</v>
      </c>
      <c r="CX94" s="21" t="e">
        <f t="shared" ca="1" si="920"/>
        <v>#NAME?</v>
      </c>
      <c r="CY94" s="21" t="e">
        <f t="shared" ca="1" si="920"/>
        <v>#NAME?</v>
      </c>
      <c r="CZ94" s="21" t="e">
        <f t="shared" ca="1" si="920"/>
        <v>#NAME?</v>
      </c>
      <c r="DA94" s="21" t="e">
        <f t="shared" ca="1" si="920"/>
        <v>#NAME?</v>
      </c>
      <c r="DB94" s="21" t="e">
        <f t="shared" ca="1" si="920"/>
        <v>#NAME?</v>
      </c>
      <c r="DE94" s="22"/>
      <c r="DF94" s="162">
        <v>43.92825321845968</v>
      </c>
    </row>
    <row r="95" spans="1:110" s="162" customFormat="1" x14ac:dyDescent="0.2">
      <c r="A95" s="49" t="s">
        <v>503</v>
      </c>
      <c r="E95" s="162">
        <f t="shared" ca="1" si="917"/>
        <v>20.575531335654158</v>
      </c>
      <c r="F95" s="162">
        <f t="shared" ca="1" si="917"/>
        <v>21.73365017047216</v>
      </c>
      <c r="G95" s="162">
        <f t="shared" ca="1" si="917"/>
        <v>27.443428787973343</v>
      </c>
      <c r="H95" s="162">
        <f t="shared" ca="1" si="917"/>
        <v>33.420278697280125</v>
      </c>
      <c r="I95" s="162">
        <f t="shared" ca="1" si="917"/>
        <v>38.313768554440344</v>
      </c>
      <c r="J95" s="162">
        <f t="shared" ca="1" si="917"/>
        <v>38.293084372927673</v>
      </c>
      <c r="K95" s="162">
        <f t="shared" ca="1" si="917"/>
        <v>45.432063688679001</v>
      </c>
      <c r="L95" s="162">
        <f t="shared" ca="1" si="917"/>
        <v>47.332075267890787</v>
      </c>
      <c r="M95" s="162">
        <f t="shared" ca="1" si="917"/>
        <v>34.427441599422274</v>
      </c>
      <c r="N95" s="162">
        <f t="shared" ca="1" si="917"/>
        <v>26.938846689575794</v>
      </c>
      <c r="O95" s="162">
        <f t="shared" ca="1" si="917"/>
        <v>23.871641699208446</v>
      </c>
      <c r="P95" s="162">
        <f t="shared" ca="1" si="917"/>
        <v>22.511762902640271</v>
      </c>
      <c r="Q95" s="162">
        <f t="shared" ca="1" si="917"/>
        <v>25.661772110907645</v>
      </c>
      <c r="R95" s="162">
        <f t="shared" ca="1" si="917"/>
        <v>21.70734965710334</v>
      </c>
      <c r="S95" s="162">
        <f t="shared" ca="1" si="917"/>
        <v>22.552144951601921</v>
      </c>
      <c r="T95" s="162">
        <f t="shared" ca="1" si="917"/>
        <v>30.706046719419451</v>
      </c>
      <c r="U95" s="162">
        <f t="shared" ca="1" si="917"/>
        <v>76.122262060483521</v>
      </c>
      <c r="V95" s="162">
        <f t="shared" ca="1" si="917"/>
        <v>89.864515225271631</v>
      </c>
      <c r="W95" s="162">
        <f t="shared" ca="1" si="917"/>
        <v>102.04298129090927</v>
      </c>
      <c r="X95" s="162">
        <f t="shared" ca="1" si="917"/>
        <v>82.541060398427121</v>
      </c>
      <c r="Y95" s="162">
        <f t="shared" ca="1" si="917"/>
        <v>79.961141843939785</v>
      </c>
      <c r="Z95" s="162">
        <f t="shared" ca="1" si="917"/>
        <v>66.765694315260305</v>
      </c>
      <c r="AA95" s="162">
        <f t="shared" ref="AA95" ca="1" si="921">+AA78/AA$92</f>
        <v>66.765694315260305</v>
      </c>
      <c r="AB95" s="21">
        <f t="shared" ca="1" si="917"/>
        <v>34.374458799004437</v>
      </c>
      <c r="AC95" s="21">
        <f t="shared" ca="1" si="917"/>
        <v>25.222788441106175</v>
      </c>
      <c r="AD95" s="21">
        <f t="shared" ca="1" si="917"/>
        <v>21.582876269310322</v>
      </c>
      <c r="AE95" s="21">
        <f t="shared" ca="1" si="917"/>
        <v>19.199511172865417</v>
      </c>
      <c r="AL95" s="162" t="e">
        <f t="shared" ca="1" si="919"/>
        <v>#NAME?</v>
      </c>
      <c r="AM95" s="162" t="e">
        <f t="shared" ca="1" si="919"/>
        <v>#NAME?</v>
      </c>
      <c r="AN95" s="162" t="e">
        <f t="shared" ca="1" si="919"/>
        <v>#NAME?</v>
      </c>
      <c r="AO95" s="162" t="e">
        <f t="shared" ca="1" si="919"/>
        <v>#NAME?</v>
      </c>
      <c r="AP95" s="162" t="e">
        <f t="shared" ca="1" si="919"/>
        <v>#NAME?</v>
      </c>
      <c r="AQ95" s="162" t="e">
        <f t="shared" ca="1" si="919"/>
        <v>#NAME?</v>
      </c>
      <c r="AR95" s="162" t="e">
        <f t="shared" ca="1" si="919"/>
        <v>#NAME?</v>
      </c>
      <c r="AS95" s="162" t="e">
        <f t="shared" ca="1" si="919"/>
        <v>#NAME?</v>
      </c>
      <c r="AT95" s="162" t="e">
        <f t="shared" ca="1" si="919"/>
        <v>#NAME?</v>
      </c>
      <c r="AU95" s="162" t="e">
        <f t="shared" ca="1" si="919"/>
        <v>#NAME?</v>
      </c>
      <c r="AV95" s="162" t="e">
        <f t="shared" ca="1" si="919"/>
        <v>#NAME?</v>
      </c>
      <c r="AW95" s="162" t="e">
        <f t="shared" ca="1" si="919"/>
        <v>#NAME?</v>
      </c>
      <c r="AX95" s="162" t="e">
        <f t="shared" ca="1" si="919"/>
        <v>#NAME?</v>
      </c>
      <c r="AY95" s="162" t="e">
        <f t="shared" ca="1" si="919"/>
        <v>#NAME?</v>
      </c>
      <c r="AZ95" s="162" t="e">
        <f t="shared" ca="1" si="919"/>
        <v>#NAME?</v>
      </c>
      <c r="BA95" s="162" t="e">
        <f t="shared" ca="1" si="919"/>
        <v>#NAME?</v>
      </c>
      <c r="BB95" s="162" t="e">
        <f t="shared" ca="1" si="919"/>
        <v>#NAME?</v>
      </c>
      <c r="BC95" s="162" t="e">
        <f t="shared" ca="1" si="919"/>
        <v>#NAME?</v>
      </c>
      <c r="BD95" s="162" t="e">
        <f t="shared" ca="1" si="919"/>
        <v>#NAME?</v>
      </c>
      <c r="BE95" s="162" t="e">
        <f t="shared" ca="1" si="919"/>
        <v>#NAME?</v>
      </c>
      <c r="BF95" s="162" t="e">
        <f t="shared" ca="1" si="919"/>
        <v>#NAME?</v>
      </c>
      <c r="BG95" s="162" t="e">
        <f t="shared" ca="1" si="919"/>
        <v>#NAME?</v>
      </c>
      <c r="BH95" s="162" t="e">
        <f t="shared" ca="1" si="919"/>
        <v>#NAME?</v>
      </c>
      <c r="BI95" s="162" t="e">
        <f t="shared" ca="1" si="919"/>
        <v>#NAME?</v>
      </c>
      <c r="BJ95" s="162" t="e">
        <f t="shared" ca="1" si="919"/>
        <v>#NAME?</v>
      </c>
      <c r="BK95" s="162" t="e">
        <f t="shared" ca="1" si="919"/>
        <v>#NAME?</v>
      </c>
      <c r="BL95" s="162" t="e">
        <f t="shared" ca="1" si="919"/>
        <v>#NAME?</v>
      </c>
      <c r="BM95" s="162" t="e">
        <f t="shared" ca="1" si="919"/>
        <v>#NAME?</v>
      </c>
      <c r="BN95" s="162" t="e">
        <f t="shared" ca="1" si="919"/>
        <v>#NAME?</v>
      </c>
      <c r="BO95" s="162" t="e">
        <f t="shared" ca="1" si="919"/>
        <v>#NAME?</v>
      </c>
      <c r="BP95" s="162" t="e">
        <f t="shared" ca="1" si="919"/>
        <v>#NAME?</v>
      </c>
      <c r="BQ95" s="162" t="e">
        <f t="shared" ca="1" si="919"/>
        <v>#NAME?</v>
      </c>
      <c r="BR95" s="162" t="e">
        <f t="shared" ca="1" si="919"/>
        <v>#NAME?</v>
      </c>
      <c r="BS95" s="162" t="e">
        <f t="shared" ca="1" si="919"/>
        <v>#NAME?</v>
      </c>
      <c r="BT95" s="162" t="e">
        <f t="shared" ca="1" si="919"/>
        <v>#NAME?</v>
      </c>
      <c r="BU95" s="162" t="e">
        <f t="shared" ca="1" si="919"/>
        <v>#NAME?</v>
      </c>
      <c r="BV95" s="162" t="e">
        <f t="shared" ca="1" si="919"/>
        <v>#NAME?</v>
      </c>
      <c r="BW95" s="162" t="e">
        <f t="shared" ca="1" si="919"/>
        <v>#NAME?</v>
      </c>
      <c r="BX95" s="162" t="e">
        <f t="shared" ca="1" si="919"/>
        <v>#NAME?</v>
      </c>
      <c r="BY95" s="162" t="e">
        <f t="shared" ca="1" si="919"/>
        <v>#NAME?</v>
      </c>
      <c r="BZ95" s="162" t="e">
        <f t="shared" ca="1" si="919"/>
        <v>#NAME?</v>
      </c>
      <c r="CA95" s="162" t="e">
        <f t="shared" ca="1" si="919"/>
        <v>#NAME?</v>
      </c>
      <c r="CB95" s="162" t="e">
        <f t="shared" ca="1" si="919"/>
        <v>#NAME?</v>
      </c>
      <c r="CC95" s="162" t="e">
        <f t="shared" ca="1" si="919"/>
        <v>#NAME?</v>
      </c>
      <c r="CD95" s="162" t="e">
        <f t="shared" ca="1" si="919"/>
        <v>#NAME?</v>
      </c>
      <c r="CE95" s="162" t="e">
        <f t="shared" ca="1" si="919"/>
        <v>#NAME?</v>
      </c>
      <c r="CF95" s="162" t="e">
        <f t="shared" ca="1" si="919"/>
        <v>#NAME?</v>
      </c>
      <c r="CG95" s="162" t="e">
        <f t="shared" ca="1" si="919"/>
        <v>#NAME?</v>
      </c>
      <c r="CH95" s="162" t="e">
        <f t="shared" ca="1" si="919"/>
        <v>#NAME?</v>
      </c>
      <c r="CI95" s="162" t="e">
        <f t="shared" ca="1" si="919"/>
        <v>#NAME?</v>
      </c>
      <c r="CJ95" s="162" t="e">
        <f t="shared" ref="CJ95:CK96" ca="1" si="922">+CJ78/CJ$92</f>
        <v>#NAME?</v>
      </c>
      <c r="CK95" s="162" t="e">
        <f t="shared" ca="1" si="922"/>
        <v>#NAME?</v>
      </c>
      <c r="CL95" s="162" t="e">
        <f t="shared" ref="CL95" ca="1" si="923">+CL78/CL$92</f>
        <v>#NAME?</v>
      </c>
      <c r="CM95" s="94" t="e">
        <f t="shared" ref="CM95:DB95" ca="1" si="924">+CL95</f>
        <v>#NAME?</v>
      </c>
      <c r="CN95" s="94" t="e">
        <f t="shared" ca="1" si="924"/>
        <v>#NAME?</v>
      </c>
      <c r="CO95" s="94" t="e">
        <f t="shared" ca="1" si="924"/>
        <v>#NAME?</v>
      </c>
      <c r="CP95" s="94" t="e">
        <f t="shared" ca="1" si="924"/>
        <v>#NAME?</v>
      </c>
      <c r="CQ95" s="94" t="e">
        <f t="shared" ca="1" si="924"/>
        <v>#NAME?</v>
      </c>
      <c r="CR95" s="94" t="e">
        <f t="shared" ca="1" si="924"/>
        <v>#NAME?</v>
      </c>
      <c r="CS95" s="94" t="e">
        <f t="shared" ca="1" si="924"/>
        <v>#NAME?</v>
      </c>
      <c r="CT95" s="94" t="e">
        <f t="shared" ca="1" si="924"/>
        <v>#NAME?</v>
      </c>
      <c r="CU95" s="94" t="e">
        <f t="shared" ca="1" si="924"/>
        <v>#NAME?</v>
      </c>
      <c r="CV95" s="94" t="e">
        <f t="shared" ca="1" si="924"/>
        <v>#NAME?</v>
      </c>
      <c r="CW95" s="94" t="e">
        <f t="shared" ca="1" si="924"/>
        <v>#NAME?</v>
      </c>
      <c r="CX95" s="94" t="e">
        <f t="shared" ca="1" si="924"/>
        <v>#NAME?</v>
      </c>
      <c r="CY95" s="94" t="e">
        <f t="shared" ca="1" si="924"/>
        <v>#NAME?</v>
      </c>
      <c r="CZ95" s="94" t="e">
        <f t="shared" ca="1" si="924"/>
        <v>#NAME?</v>
      </c>
      <c r="DA95" s="94" t="e">
        <f t="shared" ca="1" si="924"/>
        <v>#NAME?</v>
      </c>
      <c r="DB95" s="94" t="e">
        <f t="shared" ca="1" si="924"/>
        <v>#NAME?</v>
      </c>
      <c r="DC95" s="94"/>
      <c r="DE95" s="22"/>
      <c r="DF95" s="162">
        <v>50.099821309800134</v>
      </c>
    </row>
    <row r="96" spans="1:110" s="162" customFormat="1" x14ac:dyDescent="0.2">
      <c r="A96" s="49" t="s">
        <v>504</v>
      </c>
      <c r="E96" s="162">
        <f t="shared" ca="1" si="917"/>
        <v>14.399130405969753</v>
      </c>
      <c r="F96" s="162">
        <f t="shared" ca="1" si="917"/>
        <v>15.092812618383444</v>
      </c>
      <c r="G96" s="162">
        <f t="shared" ca="1" si="917"/>
        <v>14.300258899685515</v>
      </c>
      <c r="H96" s="162">
        <f t="shared" ca="1" si="917"/>
        <v>19.833993292154375</v>
      </c>
      <c r="I96" s="162">
        <f t="shared" ca="1" si="917"/>
        <v>20.185151859082687</v>
      </c>
      <c r="J96" s="162">
        <f t="shared" ca="1" si="917"/>
        <v>24.443412713687152</v>
      </c>
      <c r="K96" s="162">
        <f t="shared" ca="1" si="917"/>
        <v>22.841264440487564</v>
      </c>
      <c r="L96" s="162">
        <f t="shared" ca="1" si="917"/>
        <v>27.676313478188749</v>
      </c>
      <c r="M96" s="162">
        <f t="shared" ca="1" si="917"/>
        <v>23.915303463217054</v>
      </c>
      <c r="N96" s="162">
        <f t="shared" ca="1" si="917"/>
        <v>21.069219477204864</v>
      </c>
      <c r="O96" s="162">
        <f t="shared" ca="1" si="917"/>
        <v>17.949979947229551</v>
      </c>
      <c r="P96" s="162">
        <f t="shared" ca="1" si="917"/>
        <v>15.414383848922006</v>
      </c>
      <c r="Q96" s="162">
        <f t="shared" ca="1" si="917"/>
        <v>18.815336747295799</v>
      </c>
      <c r="R96" s="162">
        <f t="shared" ca="1" si="917"/>
        <v>14.657601459938519</v>
      </c>
      <c r="S96" s="162">
        <f t="shared" ca="1" si="917"/>
        <v>16.348261557216738</v>
      </c>
      <c r="T96" s="162">
        <f t="shared" ca="1" si="917"/>
        <v>18.076467475923717</v>
      </c>
      <c r="U96" s="162">
        <f t="shared" ca="1" si="917"/>
        <v>50.386907997936284</v>
      </c>
      <c r="V96" s="162">
        <f t="shared" ca="1" si="917"/>
        <v>60.106946539463394</v>
      </c>
      <c r="W96" s="162">
        <f t="shared" ca="1" si="917"/>
        <v>78.761521388423631</v>
      </c>
      <c r="X96" s="162">
        <f t="shared" ca="1" si="917"/>
        <v>62.730108125912402</v>
      </c>
      <c r="Y96" s="162">
        <f t="shared" ca="1" si="917"/>
        <v>55.913739190754562</v>
      </c>
      <c r="Z96" s="162">
        <f t="shared" ca="1" si="917"/>
        <v>50.84963755015324</v>
      </c>
      <c r="AA96" s="162">
        <f t="shared" ref="AA96" ca="1" si="925">+AA79/AA$92</f>
        <v>50.84963755015324</v>
      </c>
      <c r="AB96" s="21">
        <f t="shared" ca="1" si="917"/>
        <v>25.295054259149751</v>
      </c>
      <c r="AC96" s="21">
        <f t="shared" ca="1" si="917"/>
        <v>20.80642337942669</v>
      </c>
      <c r="AD96" s="21">
        <f t="shared" ca="1" si="917"/>
        <v>16.336939160605482</v>
      </c>
      <c r="AE96" s="21">
        <f t="shared" ca="1" si="917"/>
        <v>14.611113536117861</v>
      </c>
      <c r="AL96" s="162" t="e">
        <f t="shared" ca="1" si="919"/>
        <v>#NAME?</v>
      </c>
      <c r="AM96" s="162" t="e">
        <f t="shared" ca="1" si="919"/>
        <v>#NAME?</v>
      </c>
      <c r="AN96" s="162" t="e">
        <f t="shared" ca="1" si="919"/>
        <v>#NAME?</v>
      </c>
      <c r="AO96" s="162" t="e">
        <f t="shared" ca="1" si="919"/>
        <v>#NAME?</v>
      </c>
      <c r="AP96" s="162" t="e">
        <f t="shared" ca="1" si="919"/>
        <v>#NAME?</v>
      </c>
      <c r="AQ96" s="162" t="e">
        <f t="shared" ca="1" si="919"/>
        <v>#NAME?</v>
      </c>
      <c r="AR96" s="162" t="e">
        <f t="shared" ca="1" si="919"/>
        <v>#NAME?</v>
      </c>
      <c r="AS96" s="162" t="e">
        <f t="shared" ca="1" si="919"/>
        <v>#NAME?</v>
      </c>
      <c r="AT96" s="162" t="e">
        <f t="shared" ca="1" si="919"/>
        <v>#NAME?</v>
      </c>
      <c r="AU96" s="162" t="e">
        <f t="shared" ca="1" si="919"/>
        <v>#NAME?</v>
      </c>
      <c r="AV96" s="162" t="e">
        <f t="shared" ca="1" si="919"/>
        <v>#NAME?</v>
      </c>
      <c r="AW96" s="162" t="e">
        <f t="shared" ca="1" si="919"/>
        <v>#NAME?</v>
      </c>
      <c r="AX96" s="162" t="e">
        <f t="shared" ca="1" si="919"/>
        <v>#NAME?</v>
      </c>
      <c r="AY96" s="162" t="e">
        <f t="shared" ca="1" si="919"/>
        <v>#NAME?</v>
      </c>
      <c r="AZ96" s="162" t="e">
        <f t="shared" ca="1" si="919"/>
        <v>#NAME?</v>
      </c>
      <c r="BA96" s="162" t="e">
        <f t="shared" ca="1" si="919"/>
        <v>#NAME?</v>
      </c>
      <c r="BB96" s="162" t="e">
        <f t="shared" ca="1" si="919"/>
        <v>#NAME?</v>
      </c>
      <c r="BC96" s="162" t="e">
        <f t="shared" ca="1" si="919"/>
        <v>#NAME?</v>
      </c>
      <c r="BD96" s="162" t="e">
        <f t="shared" ca="1" si="919"/>
        <v>#NAME?</v>
      </c>
      <c r="BE96" s="162" t="e">
        <f t="shared" ca="1" si="919"/>
        <v>#NAME?</v>
      </c>
      <c r="BF96" s="162" t="e">
        <f t="shared" ca="1" si="919"/>
        <v>#NAME?</v>
      </c>
      <c r="BG96" s="162" t="e">
        <f t="shared" ca="1" si="919"/>
        <v>#NAME?</v>
      </c>
      <c r="BH96" s="162" t="e">
        <f t="shared" ca="1" si="919"/>
        <v>#NAME?</v>
      </c>
      <c r="BI96" s="162" t="e">
        <f t="shared" ca="1" si="919"/>
        <v>#NAME?</v>
      </c>
      <c r="BJ96" s="162" t="e">
        <f t="shared" ca="1" si="919"/>
        <v>#NAME?</v>
      </c>
      <c r="BK96" s="162" t="e">
        <f t="shared" ca="1" si="919"/>
        <v>#NAME?</v>
      </c>
      <c r="BL96" s="162" t="e">
        <f t="shared" ca="1" si="919"/>
        <v>#NAME?</v>
      </c>
      <c r="BM96" s="162" t="e">
        <f t="shared" ca="1" si="919"/>
        <v>#NAME?</v>
      </c>
      <c r="BN96" s="162" t="e">
        <f t="shared" ca="1" si="919"/>
        <v>#NAME?</v>
      </c>
      <c r="BO96" s="162" t="e">
        <f t="shared" ca="1" si="919"/>
        <v>#NAME?</v>
      </c>
      <c r="BP96" s="162" t="e">
        <f t="shared" ca="1" si="919"/>
        <v>#NAME?</v>
      </c>
      <c r="BQ96" s="162" t="e">
        <f t="shared" ca="1" si="919"/>
        <v>#NAME?</v>
      </c>
      <c r="BR96" s="162" t="e">
        <f t="shared" ca="1" si="919"/>
        <v>#NAME?</v>
      </c>
      <c r="BS96" s="162" t="e">
        <f t="shared" ca="1" si="919"/>
        <v>#NAME?</v>
      </c>
      <c r="BT96" s="162" t="e">
        <f t="shared" ca="1" si="919"/>
        <v>#NAME?</v>
      </c>
      <c r="BU96" s="162" t="e">
        <f t="shared" ca="1" si="919"/>
        <v>#NAME?</v>
      </c>
      <c r="BV96" s="162" t="e">
        <f t="shared" ca="1" si="919"/>
        <v>#NAME?</v>
      </c>
      <c r="BW96" s="162" t="e">
        <f t="shared" ca="1" si="919"/>
        <v>#NAME?</v>
      </c>
      <c r="BX96" s="162" t="e">
        <f t="shared" ca="1" si="919"/>
        <v>#NAME?</v>
      </c>
      <c r="BY96" s="162" t="e">
        <f t="shared" ca="1" si="919"/>
        <v>#NAME?</v>
      </c>
      <c r="BZ96" s="162" t="e">
        <f t="shared" ca="1" si="919"/>
        <v>#NAME?</v>
      </c>
      <c r="CA96" s="162" t="e">
        <f t="shared" ca="1" si="919"/>
        <v>#NAME?</v>
      </c>
      <c r="CB96" s="162" t="e">
        <f t="shared" ca="1" si="919"/>
        <v>#NAME?</v>
      </c>
      <c r="CC96" s="162" t="e">
        <f t="shared" ca="1" si="919"/>
        <v>#NAME?</v>
      </c>
      <c r="CD96" s="162" t="e">
        <f t="shared" ca="1" si="919"/>
        <v>#NAME?</v>
      </c>
      <c r="CE96" s="162" t="e">
        <f t="shared" ca="1" si="919"/>
        <v>#NAME?</v>
      </c>
      <c r="CF96" s="162" t="e">
        <f t="shared" ca="1" si="919"/>
        <v>#NAME?</v>
      </c>
      <c r="CG96" s="162" t="e">
        <f t="shared" ca="1" si="919"/>
        <v>#NAME?</v>
      </c>
      <c r="CH96" s="162" t="e">
        <f t="shared" ca="1" si="919"/>
        <v>#NAME?</v>
      </c>
      <c r="CI96" s="162" t="e">
        <f t="shared" ca="1" si="919"/>
        <v>#NAME?</v>
      </c>
      <c r="CJ96" s="162" t="e">
        <f t="shared" ca="1" si="922"/>
        <v>#NAME?</v>
      </c>
      <c r="CK96" s="162" t="e">
        <f t="shared" ca="1" si="922"/>
        <v>#NAME?</v>
      </c>
      <c r="CL96" s="162" t="e">
        <f t="shared" ref="CL96" ca="1" si="926">+CL79/CL$92</f>
        <v>#NAME?</v>
      </c>
      <c r="CM96" s="94" t="e">
        <f t="shared" ref="CM96:DB96" ca="1" si="927">+CL96</f>
        <v>#NAME?</v>
      </c>
      <c r="CN96" s="94" t="e">
        <f t="shared" ca="1" si="927"/>
        <v>#NAME?</v>
      </c>
      <c r="CO96" s="94" t="e">
        <f t="shared" ca="1" si="927"/>
        <v>#NAME?</v>
      </c>
      <c r="CP96" s="94" t="e">
        <f t="shared" ca="1" si="927"/>
        <v>#NAME?</v>
      </c>
      <c r="CQ96" s="94" t="e">
        <f t="shared" ca="1" si="927"/>
        <v>#NAME?</v>
      </c>
      <c r="CR96" s="94" t="e">
        <f t="shared" ca="1" si="927"/>
        <v>#NAME?</v>
      </c>
      <c r="CS96" s="94" t="e">
        <f t="shared" ca="1" si="927"/>
        <v>#NAME?</v>
      </c>
      <c r="CT96" s="94" t="e">
        <f t="shared" ca="1" si="927"/>
        <v>#NAME?</v>
      </c>
      <c r="CU96" s="94" t="e">
        <f t="shared" ca="1" si="927"/>
        <v>#NAME?</v>
      </c>
      <c r="CV96" s="94" t="e">
        <f t="shared" ca="1" si="927"/>
        <v>#NAME?</v>
      </c>
      <c r="CW96" s="94" t="e">
        <f t="shared" ca="1" si="927"/>
        <v>#NAME?</v>
      </c>
      <c r="CX96" s="94" t="e">
        <f t="shared" ca="1" si="927"/>
        <v>#NAME?</v>
      </c>
      <c r="CY96" s="94" t="e">
        <f t="shared" ca="1" si="927"/>
        <v>#NAME?</v>
      </c>
      <c r="CZ96" s="94" t="e">
        <f t="shared" ca="1" si="927"/>
        <v>#NAME?</v>
      </c>
      <c r="DA96" s="94" t="e">
        <f t="shared" ca="1" si="927"/>
        <v>#NAME?</v>
      </c>
      <c r="DB96" s="94" t="e">
        <f t="shared" ca="1" si="927"/>
        <v>#NAME?</v>
      </c>
      <c r="DC96" s="94"/>
      <c r="DE96" s="22"/>
      <c r="DF96" s="162">
        <v>40.196520437388621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28">+E10</f>
        <v>#NAME?</v>
      </c>
      <c r="F98" s="177" t="e">
        <f t="shared" ca="1" si="928"/>
        <v>#NAME?</v>
      </c>
      <c r="G98" s="177" t="e">
        <f t="shared" ca="1" si="928"/>
        <v>#NAME?</v>
      </c>
      <c r="H98" s="177" t="e">
        <f t="shared" ca="1" si="928"/>
        <v>#NAME?</v>
      </c>
      <c r="I98" s="177" t="e">
        <f t="shared" ca="1" si="928"/>
        <v>#NAME?</v>
      </c>
      <c r="J98" s="177" t="e">
        <f t="shared" ca="1" si="928"/>
        <v>#NAME?</v>
      </c>
      <c r="K98" s="177" t="e">
        <f t="shared" ca="1" si="928"/>
        <v>#NAME?</v>
      </c>
      <c r="L98" s="177" t="e">
        <f t="shared" ca="1" si="928"/>
        <v>#NAME?</v>
      </c>
      <c r="M98" s="177" t="e">
        <f t="shared" ca="1" si="928"/>
        <v>#NAME?</v>
      </c>
      <c r="N98" s="177" t="e">
        <f t="shared" ca="1" si="928"/>
        <v>#NAME?</v>
      </c>
      <c r="O98" s="177" t="e">
        <f t="shared" ca="1" si="928"/>
        <v>#NAME?</v>
      </c>
      <c r="P98" s="177" t="e">
        <f t="shared" ca="1" si="928"/>
        <v>#NAME?</v>
      </c>
      <c r="Q98" s="177" t="e">
        <f t="shared" ca="1" si="928"/>
        <v>#NAME?</v>
      </c>
      <c r="R98" s="177" t="e">
        <f t="shared" ca="1" si="928"/>
        <v>#NAME?</v>
      </c>
      <c r="S98" s="177" t="e">
        <f t="shared" ca="1" si="928"/>
        <v>#NAME?</v>
      </c>
      <c r="T98" s="177" t="e">
        <f t="shared" ca="1" si="928"/>
        <v>#NAME?</v>
      </c>
      <c r="U98" s="177" t="e">
        <f t="shared" ca="1" si="928"/>
        <v>#NAME?</v>
      </c>
      <c r="V98" s="177" t="e">
        <f t="shared" ca="1" si="928"/>
        <v>#NAME?</v>
      </c>
      <c r="W98" s="177" t="e">
        <f t="shared" ca="1" si="928"/>
        <v>#NAME?</v>
      </c>
      <c r="X98" s="177" t="e">
        <f t="shared" ca="1" si="928"/>
        <v>#NAME?</v>
      </c>
      <c r="Y98" s="177" t="e">
        <f t="shared" ca="1" si="928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29">+AB10</f>
        <v>#NAME?</v>
      </c>
      <c r="AC98" s="178" t="e">
        <f t="shared" ca="1" si="929"/>
        <v>#NAME?</v>
      </c>
      <c r="AD98" s="178" t="e">
        <f t="shared" ca="1" si="929"/>
        <v>#NAME?</v>
      </c>
      <c r="AE98" s="178" t="e">
        <f t="shared" ca="1" si="929"/>
        <v>#NAME?</v>
      </c>
      <c r="AL98" s="177" t="e">
        <f t="shared" ref="AL98:BQ98" ca="1" si="930">+SUM(AI8:AL8)</f>
        <v>#NAME?</v>
      </c>
      <c r="AM98" s="177" t="e">
        <f t="shared" ca="1" si="930"/>
        <v>#NAME?</v>
      </c>
      <c r="AN98" s="177" t="e">
        <f t="shared" ca="1" si="930"/>
        <v>#NAME?</v>
      </c>
      <c r="AO98" s="177" t="e">
        <f t="shared" ca="1" si="930"/>
        <v>#NAME?</v>
      </c>
      <c r="AP98" s="177" t="e">
        <f t="shared" ca="1" si="930"/>
        <v>#NAME?</v>
      </c>
      <c r="AQ98" s="177" t="e">
        <f t="shared" ca="1" si="930"/>
        <v>#NAME?</v>
      </c>
      <c r="AR98" s="177" t="e">
        <f t="shared" ca="1" si="930"/>
        <v>#NAME?</v>
      </c>
      <c r="AS98" s="177" t="e">
        <f t="shared" ca="1" si="930"/>
        <v>#NAME?</v>
      </c>
      <c r="AT98" s="177" t="e">
        <f t="shared" ca="1" si="930"/>
        <v>#NAME?</v>
      </c>
      <c r="AU98" s="177" t="e">
        <f t="shared" ca="1" si="930"/>
        <v>#NAME?</v>
      </c>
      <c r="AV98" s="177" t="e">
        <f t="shared" ca="1" si="930"/>
        <v>#NAME?</v>
      </c>
      <c r="AW98" s="177" t="e">
        <f t="shared" ca="1" si="930"/>
        <v>#NAME?</v>
      </c>
      <c r="AX98" s="177" t="e">
        <f t="shared" ca="1" si="930"/>
        <v>#NAME?</v>
      </c>
      <c r="AY98" s="177" t="e">
        <f t="shared" ca="1" si="930"/>
        <v>#NAME?</v>
      </c>
      <c r="AZ98" s="177" t="e">
        <f t="shared" ca="1" si="930"/>
        <v>#NAME?</v>
      </c>
      <c r="BA98" s="177" t="e">
        <f t="shared" ca="1" si="930"/>
        <v>#NAME?</v>
      </c>
      <c r="BB98" s="177" t="e">
        <f t="shared" ca="1" si="930"/>
        <v>#NAME?</v>
      </c>
      <c r="BC98" s="177" t="e">
        <f t="shared" ca="1" si="930"/>
        <v>#NAME?</v>
      </c>
      <c r="BD98" s="177" t="e">
        <f t="shared" ca="1" si="930"/>
        <v>#NAME?</v>
      </c>
      <c r="BE98" s="177" t="e">
        <f t="shared" ca="1" si="930"/>
        <v>#NAME?</v>
      </c>
      <c r="BF98" s="177" t="e">
        <f t="shared" ca="1" si="930"/>
        <v>#NAME?</v>
      </c>
      <c r="BG98" s="177" t="e">
        <f t="shared" ca="1" si="930"/>
        <v>#NAME?</v>
      </c>
      <c r="BH98" s="177" t="e">
        <f t="shared" ca="1" si="930"/>
        <v>#NAME?</v>
      </c>
      <c r="BI98" s="177" t="e">
        <f t="shared" ca="1" si="930"/>
        <v>#NAME?</v>
      </c>
      <c r="BJ98" s="177" t="e">
        <f t="shared" ca="1" si="930"/>
        <v>#NAME?</v>
      </c>
      <c r="BK98" s="177" t="e">
        <f t="shared" ca="1" si="930"/>
        <v>#NAME?</v>
      </c>
      <c r="BL98" s="177" t="e">
        <f t="shared" ca="1" si="930"/>
        <v>#NAME?</v>
      </c>
      <c r="BM98" s="177" t="e">
        <f t="shared" ca="1" si="930"/>
        <v>#NAME?</v>
      </c>
      <c r="BN98" s="177" t="e">
        <f t="shared" ca="1" si="930"/>
        <v>#NAME?</v>
      </c>
      <c r="BO98" s="177" t="e">
        <f t="shared" ca="1" si="930"/>
        <v>#NAME?</v>
      </c>
      <c r="BP98" s="177" t="e">
        <f t="shared" ca="1" si="930"/>
        <v>#NAME?</v>
      </c>
      <c r="BQ98" s="177" t="e">
        <f t="shared" ca="1" si="930"/>
        <v>#NAME?</v>
      </c>
      <c r="BR98" s="177" t="e">
        <f t="shared" ref="BR98:CW98" ca="1" si="931">+SUM(BO8:BR8)</f>
        <v>#NAME?</v>
      </c>
      <c r="BS98" s="177" t="e">
        <f t="shared" ca="1" si="931"/>
        <v>#NAME?</v>
      </c>
      <c r="BT98" s="177" t="e">
        <f t="shared" ca="1" si="931"/>
        <v>#NAME?</v>
      </c>
      <c r="BU98" s="177" t="e">
        <f t="shared" ca="1" si="931"/>
        <v>#NAME?</v>
      </c>
      <c r="BV98" s="177" t="e">
        <f t="shared" ca="1" si="931"/>
        <v>#NAME?</v>
      </c>
      <c r="BW98" s="177" t="e">
        <f t="shared" ca="1" si="931"/>
        <v>#NAME?</v>
      </c>
      <c r="BX98" s="177" t="e">
        <f t="shared" ca="1" si="931"/>
        <v>#NAME?</v>
      </c>
      <c r="BY98" s="177" t="e">
        <f t="shared" ca="1" si="931"/>
        <v>#NAME?</v>
      </c>
      <c r="BZ98" s="177" t="e">
        <f t="shared" ca="1" si="931"/>
        <v>#NAME?</v>
      </c>
      <c r="CA98" s="177" t="e">
        <f t="shared" ca="1" si="931"/>
        <v>#NAME?</v>
      </c>
      <c r="CB98" s="177" t="e">
        <f t="shared" ca="1" si="931"/>
        <v>#NAME?</v>
      </c>
      <c r="CC98" s="177" t="e">
        <f t="shared" ca="1" si="931"/>
        <v>#NAME?</v>
      </c>
      <c r="CD98" s="177" t="e">
        <f t="shared" ca="1" si="931"/>
        <v>#NAME?</v>
      </c>
      <c r="CE98" s="177" t="e">
        <f t="shared" ca="1" si="931"/>
        <v>#NAME?</v>
      </c>
      <c r="CF98" s="177" t="e">
        <f t="shared" ca="1" si="931"/>
        <v>#NAME?</v>
      </c>
      <c r="CG98" s="177" t="e">
        <f t="shared" ca="1" si="931"/>
        <v>#NAME?</v>
      </c>
      <c r="CH98" s="177" t="e">
        <f t="shared" ca="1" si="931"/>
        <v>#NAME?</v>
      </c>
      <c r="CI98" s="177" t="e">
        <f t="shared" ca="1" si="931"/>
        <v>#NAME?</v>
      </c>
      <c r="CJ98" s="177" t="e">
        <f t="shared" ca="1" si="931"/>
        <v>#NAME?</v>
      </c>
      <c r="CK98" s="177" t="e">
        <f t="shared" ca="1" si="931"/>
        <v>#NAME?</v>
      </c>
      <c r="CL98" s="177" t="e">
        <f t="shared" ca="1" si="931"/>
        <v>#NAME?</v>
      </c>
      <c r="CM98" s="178" t="e">
        <f t="shared" ca="1" si="931"/>
        <v>#NAME?</v>
      </c>
      <c r="CN98" s="178" t="e">
        <f t="shared" ca="1" si="931"/>
        <v>#NAME?</v>
      </c>
      <c r="CO98" s="178" t="e">
        <f t="shared" ca="1" si="931"/>
        <v>#NAME?</v>
      </c>
      <c r="CP98" s="178" t="e">
        <f t="shared" ca="1" si="931"/>
        <v>#NAME?</v>
      </c>
      <c r="CQ98" s="178" t="e">
        <f t="shared" ca="1" si="931"/>
        <v>#NAME?</v>
      </c>
      <c r="CR98" s="178" t="e">
        <f t="shared" ca="1" si="931"/>
        <v>#NAME?</v>
      </c>
      <c r="CS98" s="178" t="e">
        <f t="shared" ca="1" si="931"/>
        <v>#NAME?</v>
      </c>
      <c r="CT98" s="178" t="e">
        <f t="shared" ca="1" si="931"/>
        <v>#NAME?</v>
      </c>
      <c r="CU98" s="178" t="e">
        <f t="shared" ca="1" si="931"/>
        <v>#NAME?</v>
      </c>
      <c r="CV98" s="178" t="e">
        <f t="shared" ca="1" si="931"/>
        <v>#NAME?</v>
      </c>
      <c r="CW98" s="178" t="e">
        <f t="shared" ca="1" si="931"/>
        <v>#NAME?</v>
      </c>
      <c r="CX98" s="178" t="e">
        <f t="shared" ref="CX98:DB98" ca="1" si="932">+SUM(CU8:CX8)</f>
        <v>#NAME?</v>
      </c>
      <c r="CY98" s="178" t="e">
        <f t="shared" ca="1" si="932"/>
        <v>#NAME?</v>
      </c>
      <c r="CZ98" s="178" t="e">
        <f t="shared" ca="1" si="932"/>
        <v>#NAME?</v>
      </c>
      <c r="DA98" s="178" t="e">
        <f t="shared" ca="1" si="932"/>
        <v>#NAME?</v>
      </c>
      <c r="DB98" s="178" t="e">
        <f t="shared" ca="1" si="932"/>
        <v>#NAME?</v>
      </c>
      <c r="DE98" s="179"/>
      <c r="DF98" s="177">
        <v>23154.600000000002</v>
      </c>
    </row>
    <row r="99" spans="1:110" s="163" customFormat="1" x14ac:dyDescent="0.2">
      <c r="A99" s="163" t="s">
        <v>511</v>
      </c>
      <c r="E99" s="163">
        <f t="shared" ref="E99:AE99" ca="1" si="933">+E98/E65</f>
        <v>11.101038220193955</v>
      </c>
      <c r="F99" s="163">
        <f t="shared" ca="1" si="933"/>
        <v>11.552009023492193</v>
      </c>
      <c r="G99" s="163">
        <f t="shared" ca="1" si="933"/>
        <v>12.844998184929732</v>
      </c>
      <c r="H99" s="163">
        <f t="shared" ca="1" si="933"/>
        <v>14.603871804179848</v>
      </c>
      <c r="I99" s="163">
        <f t="shared" ca="1" si="933"/>
        <v>18.173278016906082</v>
      </c>
      <c r="J99" s="163">
        <f t="shared" ca="1" si="933"/>
        <v>22.425167245760512</v>
      </c>
      <c r="K99" s="163">
        <f t="shared" ca="1" si="933"/>
        <v>26.600511849815899</v>
      </c>
      <c r="L99" s="163">
        <f t="shared" ca="1" si="933"/>
        <v>32.43656329409324</v>
      </c>
      <c r="M99" s="163">
        <f t="shared" ca="1" si="933"/>
        <v>38.969817974381577</v>
      </c>
      <c r="N99" s="163">
        <f t="shared" ca="1" si="933"/>
        <v>43.222164600943827</v>
      </c>
      <c r="O99" s="163">
        <f t="shared" ca="1" si="933"/>
        <v>47.197272208681227</v>
      </c>
      <c r="P99" s="163">
        <f t="shared" ca="1" si="933"/>
        <v>51.106363117772126</v>
      </c>
      <c r="Q99" s="163">
        <f t="shared" ca="1" si="933"/>
        <v>42.396463205932683</v>
      </c>
      <c r="R99" s="163">
        <f t="shared" ca="1" si="933"/>
        <v>47.406212726235545</v>
      </c>
      <c r="S99" s="163">
        <f t="shared" ca="1" si="933"/>
        <v>51.908935331639263</v>
      </c>
      <c r="T99" s="163">
        <f t="shared" ca="1" si="933"/>
        <v>58.560752994865943</v>
      </c>
      <c r="U99" s="163">
        <f t="shared" ca="1" si="933"/>
        <v>64.144064720219873</v>
      </c>
      <c r="V99" s="163">
        <f t="shared" ca="1" si="933"/>
        <v>69.232121557848885</v>
      </c>
      <c r="W99" s="163">
        <f t="shared" ca="1" si="933"/>
        <v>76.443447596328369</v>
      </c>
      <c r="X99" s="163">
        <f t="shared" ca="1" si="933"/>
        <v>87.626199242856416</v>
      </c>
      <c r="Y99" s="163">
        <f t="shared" ca="1" si="933"/>
        <v>126.50464139397396</v>
      </c>
      <c r="Z99" s="163">
        <f t="shared" ref="Z99:AA99" ca="1" si="934">+Z98/Z65</f>
        <v>104.76357413265571</v>
      </c>
      <c r="AA99" s="163">
        <f t="shared" ca="1" si="934"/>
        <v>104.76357413265571</v>
      </c>
      <c r="AB99" s="94">
        <f t="shared" ca="1" si="933"/>
        <v>140.28000692464852</v>
      </c>
      <c r="AC99" s="94">
        <f t="shared" ca="1" si="933"/>
        <v>154.90704350037095</v>
      </c>
      <c r="AD99" s="94">
        <f t="shared" ca="1" si="933"/>
        <v>170.65100517477561</v>
      </c>
      <c r="AE99" s="94">
        <f t="shared" ca="1" si="933"/>
        <v>187.88244111316311</v>
      </c>
      <c r="AL99" s="163" t="e">
        <f t="shared" ref="AL99:BQ99" ca="1" si="935">+AL98/AL65</f>
        <v>#NAME?</v>
      </c>
      <c r="AM99" s="163" t="e">
        <f t="shared" ca="1" si="935"/>
        <v>#NAME?</v>
      </c>
      <c r="AN99" s="163" t="e">
        <f t="shared" ca="1" si="935"/>
        <v>#NAME?</v>
      </c>
      <c r="AO99" s="163" t="e">
        <f t="shared" ca="1" si="935"/>
        <v>#NAME?</v>
      </c>
      <c r="AP99" s="163" t="e">
        <f t="shared" ca="1" si="935"/>
        <v>#NAME?</v>
      </c>
      <c r="AQ99" s="163" t="e">
        <f t="shared" ca="1" si="935"/>
        <v>#NAME?</v>
      </c>
      <c r="AR99" s="163" t="e">
        <f t="shared" ca="1" si="935"/>
        <v>#NAME?</v>
      </c>
      <c r="AS99" s="163" t="e">
        <f t="shared" ca="1" si="935"/>
        <v>#NAME?</v>
      </c>
      <c r="AT99" s="163" t="e">
        <f t="shared" ca="1" si="935"/>
        <v>#NAME?</v>
      </c>
      <c r="AU99" s="163" t="e">
        <f t="shared" ca="1" si="935"/>
        <v>#NAME?</v>
      </c>
      <c r="AV99" s="163" t="e">
        <f t="shared" ca="1" si="935"/>
        <v>#NAME?</v>
      </c>
      <c r="AW99" s="163" t="e">
        <f t="shared" ca="1" si="935"/>
        <v>#NAME?</v>
      </c>
      <c r="AX99" s="163" t="e">
        <f t="shared" ca="1" si="935"/>
        <v>#NAME?</v>
      </c>
      <c r="AY99" s="163" t="e">
        <f t="shared" ca="1" si="935"/>
        <v>#NAME?</v>
      </c>
      <c r="AZ99" s="163" t="e">
        <f t="shared" ca="1" si="935"/>
        <v>#NAME?</v>
      </c>
      <c r="BA99" s="163" t="e">
        <f t="shared" ca="1" si="935"/>
        <v>#NAME?</v>
      </c>
      <c r="BB99" s="163" t="e">
        <f t="shared" ca="1" si="935"/>
        <v>#NAME?</v>
      </c>
      <c r="BC99" s="163" t="e">
        <f t="shared" ca="1" si="935"/>
        <v>#NAME?</v>
      </c>
      <c r="BD99" s="163" t="e">
        <f t="shared" ca="1" si="935"/>
        <v>#NAME?</v>
      </c>
      <c r="BE99" s="163" t="e">
        <f t="shared" ca="1" si="935"/>
        <v>#NAME?</v>
      </c>
      <c r="BF99" s="163" t="e">
        <f t="shared" ca="1" si="935"/>
        <v>#NAME?</v>
      </c>
      <c r="BG99" s="163" t="e">
        <f t="shared" ca="1" si="935"/>
        <v>#NAME?</v>
      </c>
      <c r="BH99" s="163" t="e">
        <f t="shared" ca="1" si="935"/>
        <v>#NAME?</v>
      </c>
      <c r="BI99" s="163" t="e">
        <f t="shared" ca="1" si="935"/>
        <v>#NAME?</v>
      </c>
      <c r="BJ99" s="163" t="e">
        <f t="shared" ca="1" si="935"/>
        <v>#NAME?</v>
      </c>
      <c r="BK99" s="163" t="e">
        <f t="shared" ca="1" si="935"/>
        <v>#NAME?</v>
      </c>
      <c r="BL99" s="163" t="e">
        <f t="shared" ca="1" si="935"/>
        <v>#NAME?</v>
      </c>
      <c r="BM99" s="163" t="e">
        <f t="shared" ca="1" si="935"/>
        <v>#NAME?</v>
      </c>
      <c r="BN99" s="163" t="e">
        <f t="shared" ca="1" si="935"/>
        <v>#NAME?</v>
      </c>
      <c r="BO99" s="163" t="e">
        <f t="shared" ca="1" si="935"/>
        <v>#NAME?</v>
      </c>
      <c r="BP99" s="163" t="e">
        <f t="shared" ca="1" si="935"/>
        <v>#NAME?</v>
      </c>
      <c r="BQ99" s="163" t="e">
        <f t="shared" ca="1" si="935"/>
        <v>#NAME?</v>
      </c>
      <c r="BR99" s="163" t="e">
        <f t="shared" ref="BR99:CW99" ca="1" si="936">+BR98/BR65</f>
        <v>#NAME?</v>
      </c>
      <c r="BS99" s="163" t="e">
        <f t="shared" ca="1" si="936"/>
        <v>#NAME?</v>
      </c>
      <c r="BT99" s="163" t="e">
        <f t="shared" ca="1" si="936"/>
        <v>#NAME?</v>
      </c>
      <c r="BU99" s="163" t="e">
        <f t="shared" ca="1" si="936"/>
        <v>#NAME?</v>
      </c>
      <c r="BV99" s="163" t="e">
        <f t="shared" ca="1" si="936"/>
        <v>#NAME?</v>
      </c>
      <c r="BW99" s="163" t="e">
        <f t="shared" ca="1" si="936"/>
        <v>#NAME?</v>
      </c>
      <c r="BX99" s="163" t="e">
        <f t="shared" ca="1" si="936"/>
        <v>#NAME?</v>
      </c>
      <c r="BY99" s="163" t="e">
        <f t="shared" ca="1" si="936"/>
        <v>#NAME?</v>
      </c>
      <c r="BZ99" s="163" t="e">
        <f t="shared" ca="1" si="936"/>
        <v>#NAME?</v>
      </c>
      <c r="CA99" s="163" t="e">
        <f t="shared" ca="1" si="936"/>
        <v>#NAME?</v>
      </c>
      <c r="CB99" s="163" t="e">
        <f t="shared" ca="1" si="936"/>
        <v>#NAME?</v>
      </c>
      <c r="CC99" s="163" t="e">
        <f t="shared" ca="1" si="936"/>
        <v>#NAME?</v>
      </c>
      <c r="CD99" s="163" t="e">
        <f t="shared" ca="1" si="936"/>
        <v>#NAME?</v>
      </c>
      <c r="CE99" s="163" t="e">
        <f t="shared" ca="1" si="936"/>
        <v>#NAME?</v>
      </c>
      <c r="CF99" s="163" t="e">
        <f t="shared" ca="1" si="936"/>
        <v>#NAME?</v>
      </c>
      <c r="CG99" s="163" t="e">
        <f t="shared" ca="1" si="936"/>
        <v>#NAME?</v>
      </c>
      <c r="CH99" s="163" t="e">
        <f t="shared" ca="1" si="936"/>
        <v>#NAME?</v>
      </c>
      <c r="CI99" s="163" t="e">
        <f t="shared" ca="1" si="936"/>
        <v>#NAME?</v>
      </c>
      <c r="CJ99" s="163" t="e">
        <f t="shared" ca="1" si="936"/>
        <v>#NAME?</v>
      </c>
      <c r="CK99" s="163" t="e">
        <f t="shared" ref="CK99:CL99" ca="1" si="937">+CK98/CK65</f>
        <v>#NAME?</v>
      </c>
      <c r="CL99" s="163" t="e">
        <f t="shared" ca="1" si="937"/>
        <v>#NAME?</v>
      </c>
      <c r="CM99" s="50" t="e">
        <f t="shared" ca="1" si="936"/>
        <v>#NAME?</v>
      </c>
      <c r="CN99" s="50" t="e">
        <f t="shared" ca="1" si="936"/>
        <v>#NAME?</v>
      </c>
      <c r="CO99" s="50" t="e">
        <f t="shared" ca="1" si="936"/>
        <v>#NAME?</v>
      </c>
      <c r="CP99" s="50" t="e">
        <f t="shared" ca="1" si="936"/>
        <v>#NAME?</v>
      </c>
      <c r="CQ99" s="50" t="e">
        <f t="shared" ca="1" si="936"/>
        <v>#NAME?</v>
      </c>
      <c r="CR99" s="50" t="e">
        <f t="shared" ca="1" si="936"/>
        <v>#NAME?</v>
      </c>
      <c r="CS99" s="50" t="e">
        <f t="shared" ca="1" si="936"/>
        <v>#NAME?</v>
      </c>
      <c r="CT99" s="50" t="e">
        <f t="shared" ca="1" si="936"/>
        <v>#NAME?</v>
      </c>
      <c r="CU99" s="50" t="e">
        <f t="shared" ca="1" si="936"/>
        <v>#NAME?</v>
      </c>
      <c r="CV99" s="50" t="e">
        <f t="shared" ca="1" si="936"/>
        <v>#NAME?</v>
      </c>
      <c r="CW99" s="50" t="e">
        <f t="shared" ca="1" si="936"/>
        <v>#NAME?</v>
      </c>
      <c r="CX99" s="50" t="e">
        <f t="shared" ref="CX99:DB99" ca="1" si="938">+CX98/CX65</f>
        <v>#NAME?</v>
      </c>
      <c r="CY99" s="50" t="e">
        <f t="shared" ca="1" si="938"/>
        <v>#NAME?</v>
      </c>
      <c r="CZ99" s="50" t="e">
        <f t="shared" ca="1" si="938"/>
        <v>#NAME?</v>
      </c>
      <c r="DA99" s="50" t="e">
        <f t="shared" ca="1" si="938"/>
        <v>#NAME?</v>
      </c>
      <c r="DB99" s="50" t="e">
        <f t="shared" ca="1" si="938"/>
        <v>#NAME?</v>
      </c>
      <c r="DE99" s="164"/>
      <c r="DF99" s="163">
        <v>120.07778872582067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39">+E77/E$99</f>
        <v>3.1055653819195359</v>
      </c>
      <c r="F102" s="163">
        <f t="shared" ca="1" si="939"/>
        <v>2.5307286326168579</v>
      </c>
      <c r="G102" s="163">
        <f t="shared" ca="1" si="939"/>
        <v>3.6442200556259614</v>
      </c>
      <c r="H102" s="163">
        <f t="shared" ca="1" si="939"/>
        <v>3.8909202136200993</v>
      </c>
      <c r="I102" s="163">
        <f t="shared" ca="1" si="939"/>
        <v>4.1266633311961822</v>
      </c>
      <c r="J102" s="163">
        <f t="shared" ca="1" si="939"/>
        <v>3.2391062775120285</v>
      </c>
      <c r="K102" s="163">
        <f t="shared" ca="1" si="939"/>
        <v>4.7892875415057743</v>
      </c>
      <c r="L102" s="163">
        <f t="shared" ca="1" si="939"/>
        <v>5.8501882051899017</v>
      </c>
      <c r="M102" s="163">
        <f t="shared" ca="1" si="939"/>
        <v>5.3537586482224482</v>
      </c>
      <c r="N102" s="163">
        <f t="shared" ca="1" si="939"/>
        <v>5.7729639943704099</v>
      </c>
      <c r="O102" s="163">
        <f t="shared" ca="1" si="939"/>
        <v>5.6118179633119256</v>
      </c>
      <c r="P102" s="163">
        <f t="shared" ca="1" si="939"/>
        <v>6.241688520564515</v>
      </c>
      <c r="Q102" s="163">
        <f t="shared" ca="1" si="939"/>
        <v>6.8686153980705322</v>
      </c>
      <c r="R102" s="163">
        <f t="shared" ca="1" si="939"/>
        <v>6.3597149542627234</v>
      </c>
      <c r="S102" s="163">
        <f t="shared" ca="1" si="939"/>
        <v>7.5565025075927119</v>
      </c>
      <c r="T102" s="163">
        <f t="shared" ca="1" si="939"/>
        <v>9.4835273045189314</v>
      </c>
      <c r="U102" s="163">
        <f t="shared" ca="1" si="939"/>
        <v>11.528697210342068</v>
      </c>
      <c r="V102" s="163">
        <f t="shared" ca="1" si="939"/>
        <v>13.283104421862721</v>
      </c>
      <c r="W102" s="163">
        <f t="shared" ca="1" si="939"/>
        <v>12.890934815024366</v>
      </c>
      <c r="X102" s="163">
        <f t="shared" ca="1" si="939"/>
        <v>11.183185034467737</v>
      </c>
      <c r="Y102" s="163">
        <f t="shared" ca="1" si="939"/>
        <v>10.368394278239348</v>
      </c>
      <c r="Z102" s="163">
        <f ca="1">+Z77/Z$99</f>
        <v>10.743476531020377</v>
      </c>
      <c r="AA102" s="163">
        <f ca="1">+AA77/AA$99</f>
        <v>10.743476531020377</v>
      </c>
      <c r="AB102" s="50">
        <f t="shared" ref="AA102:AE102" ca="1" si="940">+AB77/AB$99</f>
        <v>8.7467916982573559</v>
      </c>
      <c r="AC102" s="50">
        <f t="shared" ca="1" si="940"/>
        <v>7.9208793368847799</v>
      </c>
      <c r="AD102" s="50">
        <f t="shared" ca="1" si="940"/>
        <v>7.1901129368874424</v>
      </c>
      <c r="AE102" s="50">
        <f t="shared" ca="1" si="940"/>
        <v>6.5306794649371627</v>
      </c>
      <c r="AL102" s="163" t="e">
        <f t="shared" ref="AL102:BQ102" ca="1" si="941">+AL77/AL99</f>
        <v>#NAME?</v>
      </c>
      <c r="AM102" s="163" t="e">
        <f t="shared" ca="1" si="941"/>
        <v>#NAME?</v>
      </c>
      <c r="AN102" s="163" t="e">
        <f t="shared" ca="1" si="941"/>
        <v>#NAME?</v>
      </c>
      <c r="AO102" s="163" t="e">
        <f t="shared" ca="1" si="941"/>
        <v>#NAME?</v>
      </c>
      <c r="AP102" s="163" t="e">
        <f t="shared" ca="1" si="941"/>
        <v>#NAME?</v>
      </c>
      <c r="AQ102" s="163" t="e">
        <f t="shared" ca="1" si="941"/>
        <v>#NAME?</v>
      </c>
      <c r="AR102" s="163" t="e">
        <f t="shared" ca="1" si="941"/>
        <v>#NAME?</v>
      </c>
      <c r="AS102" s="163" t="e">
        <f t="shared" ca="1" si="941"/>
        <v>#NAME?</v>
      </c>
      <c r="AT102" s="163" t="e">
        <f t="shared" ca="1" si="941"/>
        <v>#NAME?</v>
      </c>
      <c r="AU102" s="163" t="e">
        <f t="shared" ca="1" si="941"/>
        <v>#NAME?</v>
      </c>
      <c r="AV102" s="163" t="e">
        <f t="shared" ca="1" si="941"/>
        <v>#NAME?</v>
      </c>
      <c r="AW102" s="163" t="e">
        <f t="shared" ca="1" si="941"/>
        <v>#NAME?</v>
      </c>
      <c r="AX102" s="163" t="e">
        <f t="shared" ca="1" si="941"/>
        <v>#NAME?</v>
      </c>
      <c r="AY102" s="163" t="e">
        <f t="shared" ca="1" si="941"/>
        <v>#NAME?</v>
      </c>
      <c r="AZ102" s="163" t="e">
        <f t="shared" ca="1" si="941"/>
        <v>#NAME?</v>
      </c>
      <c r="BA102" s="163" t="e">
        <f t="shared" ca="1" si="941"/>
        <v>#NAME?</v>
      </c>
      <c r="BB102" s="163" t="e">
        <f t="shared" ca="1" si="941"/>
        <v>#NAME?</v>
      </c>
      <c r="BC102" s="163" t="e">
        <f t="shared" ca="1" si="941"/>
        <v>#NAME?</v>
      </c>
      <c r="BD102" s="163" t="e">
        <f t="shared" ca="1" si="941"/>
        <v>#NAME?</v>
      </c>
      <c r="BE102" s="163" t="e">
        <f t="shared" ca="1" si="941"/>
        <v>#NAME?</v>
      </c>
      <c r="BF102" s="163" t="e">
        <f t="shared" ca="1" si="941"/>
        <v>#NAME?</v>
      </c>
      <c r="BG102" s="163" t="e">
        <f t="shared" ca="1" si="941"/>
        <v>#NAME?</v>
      </c>
      <c r="BH102" s="163" t="e">
        <f t="shared" ca="1" si="941"/>
        <v>#NAME?</v>
      </c>
      <c r="BI102" s="163" t="e">
        <f t="shared" ca="1" si="941"/>
        <v>#NAME?</v>
      </c>
      <c r="BJ102" s="163" t="e">
        <f t="shared" ca="1" si="941"/>
        <v>#NAME?</v>
      </c>
      <c r="BK102" s="163" t="e">
        <f t="shared" ca="1" si="941"/>
        <v>#NAME?</v>
      </c>
      <c r="BL102" s="163" t="e">
        <f t="shared" ca="1" si="941"/>
        <v>#NAME?</v>
      </c>
      <c r="BM102" s="163" t="e">
        <f t="shared" ca="1" si="941"/>
        <v>#NAME?</v>
      </c>
      <c r="BN102" s="163" t="e">
        <f t="shared" ca="1" si="941"/>
        <v>#NAME?</v>
      </c>
      <c r="BO102" s="163" t="e">
        <f t="shared" ca="1" si="941"/>
        <v>#NAME?</v>
      </c>
      <c r="BP102" s="163" t="e">
        <f t="shared" ca="1" si="941"/>
        <v>#NAME?</v>
      </c>
      <c r="BQ102" s="163" t="e">
        <f t="shared" ca="1" si="941"/>
        <v>#NAME?</v>
      </c>
      <c r="BR102" s="163" t="e">
        <f t="shared" ref="BR102:DB102" ca="1" si="942">+BR77/BR99</f>
        <v>#NAME?</v>
      </c>
      <c r="BS102" s="163" t="e">
        <f t="shared" ca="1" si="942"/>
        <v>#NAME?</v>
      </c>
      <c r="BT102" s="163" t="e">
        <f t="shared" ca="1" si="942"/>
        <v>#NAME?</v>
      </c>
      <c r="BU102" s="163" t="e">
        <f t="shared" ca="1" si="942"/>
        <v>#NAME?</v>
      </c>
      <c r="BV102" s="163" t="e">
        <f t="shared" ca="1" si="942"/>
        <v>#NAME?</v>
      </c>
      <c r="BW102" s="163" t="e">
        <f t="shared" ca="1" si="942"/>
        <v>#NAME?</v>
      </c>
      <c r="BX102" s="163" t="e">
        <f t="shared" ca="1" si="942"/>
        <v>#NAME?</v>
      </c>
      <c r="BY102" s="163" t="e">
        <f t="shared" ca="1" si="942"/>
        <v>#NAME?</v>
      </c>
      <c r="BZ102" s="163" t="e">
        <f t="shared" ca="1" si="942"/>
        <v>#NAME?</v>
      </c>
      <c r="CA102" s="163" t="e">
        <f t="shared" ca="1" si="942"/>
        <v>#NAME?</v>
      </c>
      <c r="CB102" s="163" t="e">
        <f t="shared" ca="1" si="942"/>
        <v>#NAME?</v>
      </c>
      <c r="CC102" s="163" t="e">
        <f t="shared" ca="1" si="942"/>
        <v>#NAME?</v>
      </c>
      <c r="CD102" s="163" t="e">
        <f t="shared" ca="1" si="942"/>
        <v>#NAME?</v>
      </c>
      <c r="CE102" s="163" t="e">
        <f t="shared" ca="1" si="942"/>
        <v>#NAME?</v>
      </c>
      <c r="CF102" s="163" t="e">
        <f t="shared" ca="1" si="942"/>
        <v>#NAME?</v>
      </c>
      <c r="CG102" s="163" t="e">
        <f t="shared" ca="1" si="942"/>
        <v>#NAME?</v>
      </c>
      <c r="CH102" s="163" t="e">
        <f t="shared" ca="1" si="942"/>
        <v>#NAME?</v>
      </c>
      <c r="CI102" s="163" t="e">
        <f t="shared" ca="1" si="942"/>
        <v>#NAME?</v>
      </c>
      <c r="CJ102" s="163" t="e">
        <f t="shared" ca="1" si="942"/>
        <v>#NAME?</v>
      </c>
      <c r="CK102" s="163" t="e">
        <f t="shared" ref="CK102:CL102" ca="1" si="943">+CK77/CK99</f>
        <v>#NAME?</v>
      </c>
      <c r="CL102" s="163" t="e">
        <f t="shared" ca="1" si="943"/>
        <v>#NAME?</v>
      </c>
      <c r="CM102" s="50" t="e">
        <f t="shared" ca="1" si="942"/>
        <v>#NAME?</v>
      </c>
      <c r="CN102" s="50" t="e">
        <f t="shared" ca="1" si="942"/>
        <v>#NAME?</v>
      </c>
      <c r="CO102" s="50" t="e">
        <f t="shared" ca="1" si="942"/>
        <v>#NAME?</v>
      </c>
      <c r="CP102" s="50" t="e">
        <f t="shared" ca="1" si="942"/>
        <v>#NAME?</v>
      </c>
      <c r="CQ102" s="50" t="e">
        <f t="shared" ca="1" si="942"/>
        <v>#NAME?</v>
      </c>
      <c r="CR102" s="50" t="e">
        <f t="shared" ca="1" si="942"/>
        <v>#NAME?</v>
      </c>
      <c r="CS102" s="50" t="e">
        <f t="shared" ca="1" si="942"/>
        <v>#NAME?</v>
      </c>
      <c r="CT102" s="50" t="e">
        <f t="shared" ca="1" si="942"/>
        <v>#NAME?</v>
      </c>
      <c r="CU102" s="50" t="e">
        <f t="shared" ca="1" si="942"/>
        <v>#NAME?</v>
      </c>
      <c r="CV102" s="50" t="e">
        <f t="shared" ca="1" si="942"/>
        <v>#NAME?</v>
      </c>
      <c r="CW102" s="50" t="e">
        <f t="shared" ca="1" si="942"/>
        <v>#NAME?</v>
      </c>
      <c r="CX102" s="50" t="e">
        <f t="shared" ca="1" si="942"/>
        <v>#NAME?</v>
      </c>
      <c r="CY102" s="50" t="e">
        <f t="shared" ca="1" si="942"/>
        <v>#NAME?</v>
      </c>
      <c r="CZ102" s="50" t="e">
        <f t="shared" ca="1" si="942"/>
        <v>#NAME?</v>
      </c>
      <c r="DA102" s="50" t="e">
        <f t="shared" ca="1" si="942"/>
        <v>#NAME?</v>
      </c>
      <c r="DB102" s="50" t="e">
        <f t="shared" ca="1" si="942"/>
        <v>#NAME?</v>
      </c>
      <c r="DE102" s="106"/>
      <c r="DF102" s="163">
        <v>9.7836578476846938</v>
      </c>
    </row>
    <row r="103" spans="1:110" s="163" customFormat="1" x14ac:dyDescent="0.2">
      <c r="A103" s="163" t="s">
        <v>508</v>
      </c>
      <c r="E103" s="163">
        <f t="shared" ca="1" si="939"/>
        <v>3.2199690957712486</v>
      </c>
      <c r="F103" s="163">
        <f t="shared" ca="1" si="939"/>
        <v>3.1163410560700147</v>
      </c>
      <c r="G103" s="163">
        <f t="shared" ca="1" si="939"/>
        <v>3.9237062765124642</v>
      </c>
      <c r="H103" s="163">
        <f t="shared" ca="1" si="939"/>
        <v>4.6152144379074258</v>
      </c>
      <c r="I103" s="163">
        <f t="shared" ca="1" si="939"/>
        <v>4.574711283383194</v>
      </c>
      <c r="J103" s="163">
        <f t="shared" ca="1" si="939"/>
        <v>4.1917190168457159</v>
      </c>
      <c r="K103" s="163">
        <f t="shared" ca="1" si="939"/>
        <v>5.1483971727013147</v>
      </c>
      <c r="L103" s="163">
        <f t="shared" ca="1" si="939"/>
        <v>6.4732505135103491</v>
      </c>
      <c r="M103" s="163">
        <f t="shared" ca="1" si="939"/>
        <v>5.8365681910427103</v>
      </c>
      <c r="N103" s="163">
        <f t="shared" ca="1" si="939"/>
        <v>5.812816232589002</v>
      </c>
      <c r="O103" s="163">
        <f t="shared" ca="1" si="939"/>
        <v>6.2131239005389487</v>
      </c>
      <c r="P103" s="163">
        <f t="shared" ca="1" si="939"/>
        <v>6.4811401123711807</v>
      </c>
      <c r="Q103" s="163">
        <f t="shared" ca="1" si="939"/>
        <v>8.8450184671896235</v>
      </c>
      <c r="R103" s="163">
        <f t="shared" ca="1" si="939"/>
        <v>7.7943370446783513</v>
      </c>
      <c r="S103" s="163">
        <f t="shared" ca="1" si="939"/>
        <v>7.7067656549712282</v>
      </c>
      <c r="T103" s="163">
        <f t="shared" ca="1" si="939"/>
        <v>9.9896683372785109</v>
      </c>
      <c r="U103" s="163">
        <f t="shared" ca="1" si="939"/>
        <v>11.809354510101951</v>
      </c>
      <c r="V103" s="163">
        <f t="shared" ca="1" si="939"/>
        <v>13.593003923961218</v>
      </c>
      <c r="W103" s="163">
        <f t="shared" ca="1" si="939"/>
        <v>13.473980208729772</v>
      </c>
      <c r="X103" s="163">
        <f t="shared" ca="1" si="939"/>
        <v>12.012959698075866</v>
      </c>
      <c r="Y103" s="163">
        <f t="shared" ca="1" si="939"/>
        <v>10.951159457347721</v>
      </c>
      <c r="Z103" s="163">
        <f t="shared" ref="Z103:AA104" ca="1" si="944">+Z78/Z$99</f>
        <v>13.253652440702599</v>
      </c>
      <c r="AA103" s="163">
        <f t="shared" ca="1" si="944"/>
        <v>13.253652440702599</v>
      </c>
      <c r="AB103" s="94">
        <f t="shared" ca="1" si="939"/>
        <v>11.903679342469886</v>
      </c>
      <c r="AC103" s="94">
        <f t="shared" ca="1" si="939"/>
        <v>11.80221434982073</v>
      </c>
      <c r="AD103" s="94">
        <f t="shared" ca="1" si="939"/>
        <v>12.77163047141544</v>
      </c>
      <c r="AE103" s="94">
        <f t="shared" ca="1" si="939"/>
        <v>13.778316196710545</v>
      </c>
      <c r="AL103" s="163" t="e">
        <f t="shared" ref="AL103:BQ103" ca="1" si="945">+AL78/AL99</f>
        <v>#NAME?</v>
      </c>
      <c r="AM103" s="163" t="e">
        <f t="shared" ca="1" si="945"/>
        <v>#NAME?</v>
      </c>
      <c r="AN103" s="163" t="e">
        <f t="shared" ca="1" si="945"/>
        <v>#NAME?</v>
      </c>
      <c r="AO103" s="163" t="e">
        <f t="shared" ca="1" si="945"/>
        <v>#NAME?</v>
      </c>
      <c r="AP103" s="163" t="e">
        <f t="shared" ca="1" si="945"/>
        <v>#NAME?</v>
      </c>
      <c r="AQ103" s="163" t="e">
        <f t="shared" ca="1" si="945"/>
        <v>#NAME?</v>
      </c>
      <c r="AR103" s="163" t="e">
        <f t="shared" ca="1" si="945"/>
        <v>#NAME?</v>
      </c>
      <c r="AS103" s="163" t="e">
        <f t="shared" ca="1" si="945"/>
        <v>#NAME?</v>
      </c>
      <c r="AT103" s="163" t="e">
        <f t="shared" ca="1" si="945"/>
        <v>#NAME?</v>
      </c>
      <c r="AU103" s="163" t="e">
        <f t="shared" ca="1" si="945"/>
        <v>#NAME?</v>
      </c>
      <c r="AV103" s="163" t="e">
        <f t="shared" ca="1" si="945"/>
        <v>#NAME?</v>
      </c>
      <c r="AW103" s="163" t="e">
        <f t="shared" ca="1" si="945"/>
        <v>#NAME?</v>
      </c>
      <c r="AX103" s="163" t="e">
        <f t="shared" ca="1" si="945"/>
        <v>#NAME?</v>
      </c>
      <c r="AY103" s="163" t="e">
        <f t="shared" ca="1" si="945"/>
        <v>#NAME?</v>
      </c>
      <c r="AZ103" s="163" t="e">
        <f t="shared" ca="1" si="945"/>
        <v>#NAME?</v>
      </c>
      <c r="BA103" s="163" t="e">
        <f t="shared" ca="1" si="945"/>
        <v>#NAME?</v>
      </c>
      <c r="BB103" s="163" t="e">
        <f t="shared" ca="1" si="945"/>
        <v>#NAME?</v>
      </c>
      <c r="BC103" s="163" t="e">
        <f t="shared" ca="1" si="945"/>
        <v>#NAME?</v>
      </c>
      <c r="BD103" s="163" t="e">
        <f t="shared" ca="1" si="945"/>
        <v>#NAME?</v>
      </c>
      <c r="BE103" s="163" t="e">
        <f t="shared" ca="1" si="945"/>
        <v>#NAME?</v>
      </c>
      <c r="BF103" s="163" t="e">
        <f t="shared" ca="1" si="945"/>
        <v>#NAME?</v>
      </c>
      <c r="BG103" s="163" t="e">
        <f t="shared" ca="1" si="945"/>
        <v>#NAME?</v>
      </c>
      <c r="BH103" s="163" t="e">
        <f t="shared" ca="1" si="945"/>
        <v>#NAME?</v>
      </c>
      <c r="BI103" s="163" t="e">
        <f t="shared" ca="1" si="945"/>
        <v>#NAME?</v>
      </c>
      <c r="BJ103" s="163" t="e">
        <f t="shared" ca="1" si="945"/>
        <v>#NAME?</v>
      </c>
      <c r="BK103" s="163" t="e">
        <f t="shared" ca="1" si="945"/>
        <v>#NAME?</v>
      </c>
      <c r="BL103" s="163" t="e">
        <f t="shared" ca="1" si="945"/>
        <v>#NAME?</v>
      </c>
      <c r="BM103" s="163" t="e">
        <f t="shared" ca="1" si="945"/>
        <v>#NAME?</v>
      </c>
      <c r="BN103" s="163" t="e">
        <f t="shared" ca="1" si="945"/>
        <v>#NAME?</v>
      </c>
      <c r="BO103" s="163" t="e">
        <f t="shared" ca="1" si="945"/>
        <v>#NAME?</v>
      </c>
      <c r="BP103" s="163" t="e">
        <f t="shared" ca="1" si="945"/>
        <v>#NAME?</v>
      </c>
      <c r="BQ103" s="163" t="e">
        <f t="shared" ca="1" si="945"/>
        <v>#NAME?</v>
      </c>
      <c r="BR103" s="163" t="e">
        <f t="shared" ref="BR103:CJ103" ca="1" si="946">+BR78/BR99</f>
        <v>#NAME?</v>
      </c>
      <c r="BS103" s="163" t="e">
        <f t="shared" ca="1" si="946"/>
        <v>#NAME?</v>
      </c>
      <c r="BT103" s="163" t="e">
        <f t="shared" ca="1" si="946"/>
        <v>#NAME?</v>
      </c>
      <c r="BU103" s="163" t="e">
        <f t="shared" ca="1" si="946"/>
        <v>#NAME?</v>
      </c>
      <c r="BV103" s="163" t="e">
        <f t="shared" ca="1" si="946"/>
        <v>#NAME?</v>
      </c>
      <c r="BW103" s="163" t="e">
        <f t="shared" ca="1" si="946"/>
        <v>#NAME?</v>
      </c>
      <c r="BX103" s="163" t="e">
        <f t="shared" ca="1" si="946"/>
        <v>#NAME?</v>
      </c>
      <c r="BY103" s="163" t="e">
        <f t="shared" ca="1" si="946"/>
        <v>#NAME?</v>
      </c>
      <c r="BZ103" s="163" t="e">
        <f t="shared" ca="1" si="946"/>
        <v>#NAME?</v>
      </c>
      <c r="CA103" s="163" t="e">
        <f t="shared" ca="1" si="946"/>
        <v>#NAME?</v>
      </c>
      <c r="CB103" s="163" t="e">
        <f t="shared" ca="1" si="946"/>
        <v>#NAME?</v>
      </c>
      <c r="CC103" s="163" t="e">
        <f t="shared" ca="1" si="946"/>
        <v>#NAME?</v>
      </c>
      <c r="CD103" s="163" t="e">
        <f t="shared" ca="1" si="946"/>
        <v>#NAME?</v>
      </c>
      <c r="CE103" s="163" t="e">
        <f t="shared" ca="1" si="946"/>
        <v>#NAME?</v>
      </c>
      <c r="CF103" s="163" t="e">
        <f t="shared" ca="1" si="946"/>
        <v>#NAME?</v>
      </c>
      <c r="CG103" s="163" t="e">
        <f t="shared" ca="1" si="946"/>
        <v>#NAME?</v>
      </c>
      <c r="CH103" s="163" t="e">
        <f t="shared" ca="1" si="946"/>
        <v>#NAME?</v>
      </c>
      <c r="CI103" s="163" t="e">
        <f t="shared" ca="1" si="946"/>
        <v>#NAME?</v>
      </c>
      <c r="CJ103" s="163" t="e">
        <f t="shared" ca="1" si="946"/>
        <v>#NAME?</v>
      </c>
      <c r="CK103" s="163" t="e">
        <f t="shared" ref="CK103:CL103" ca="1" si="947">+CK78/CK99</f>
        <v>#NAME?</v>
      </c>
      <c r="CL103" s="163" t="e">
        <f t="shared" ca="1" si="947"/>
        <v>#NAME?</v>
      </c>
      <c r="CM103" s="94" t="e">
        <f t="shared" ref="CM103:DB103" ca="1" si="948">+CL103</f>
        <v>#NAME?</v>
      </c>
      <c r="CN103" s="94" t="e">
        <f t="shared" ca="1" si="948"/>
        <v>#NAME?</v>
      </c>
      <c r="CO103" s="94" t="e">
        <f t="shared" ca="1" si="948"/>
        <v>#NAME?</v>
      </c>
      <c r="CP103" s="94" t="e">
        <f t="shared" ca="1" si="948"/>
        <v>#NAME?</v>
      </c>
      <c r="CQ103" s="94" t="e">
        <f t="shared" ca="1" si="948"/>
        <v>#NAME?</v>
      </c>
      <c r="CR103" s="94" t="e">
        <f t="shared" ca="1" si="948"/>
        <v>#NAME?</v>
      </c>
      <c r="CS103" s="94" t="e">
        <f t="shared" ca="1" si="948"/>
        <v>#NAME?</v>
      </c>
      <c r="CT103" s="94" t="e">
        <f t="shared" ca="1" si="948"/>
        <v>#NAME?</v>
      </c>
      <c r="CU103" s="94" t="e">
        <f t="shared" ca="1" si="948"/>
        <v>#NAME?</v>
      </c>
      <c r="CV103" s="94" t="e">
        <f t="shared" ca="1" si="948"/>
        <v>#NAME?</v>
      </c>
      <c r="CW103" s="94" t="e">
        <f t="shared" ca="1" si="948"/>
        <v>#NAME?</v>
      </c>
      <c r="CX103" s="94" t="e">
        <f t="shared" ca="1" si="948"/>
        <v>#NAME?</v>
      </c>
      <c r="CY103" s="94" t="e">
        <f t="shared" ca="1" si="948"/>
        <v>#NAME?</v>
      </c>
      <c r="CZ103" s="94" t="e">
        <f t="shared" ca="1" si="948"/>
        <v>#NAME?</v>
      </c>
      <c r="DA103" s="94" t="e">
        <f t="shared" ca="1" si="948"/>
        <v>#NAME?</v>
      </c>
      <c r="DB103" s="94" t="e">
        <f t="shared" ca="1" si="948"/>
        <v>#NAME?</v>
      </c>
      <c r="DE103" s="164"/>
      <c r="DF103" s="163">
        <v>11.158183492696915</v>
      </c>
    </row>
    <row r="104" spans="1:110" s="163" customFormat="1" x14ac:dyDescent="0.2">
      <c r="A104" s="163" t="s">
        <v>509</v>
      </c>
      <c r="E104" s="163">
        <f t="shared" ca="1" si="939"/>
        <v>2.2533928362209479</v>
      </c>
      <c r="F104" s="163">
        <f t="shared" ca="1" si="939"/>
        <v>2.1641257333819546</v>
      </c>
      <c r="G104" s="163">
        <f t="shared" ca="1" si="939"/>
        <v>2.0445701604545357</v>
      </c>
      <c r="H104" s="163">
        <f t="shared" ca="1" si="939"/>
        <v>2.7389996664139025</v>
      </c>
      <c r="I104" s="163">
        <f t="shared" ca="1" si="939"/>
        <v>2.4101320608892962</v>
      </c>
      <c r="J104" s="163">
        <f t="shared" ca="1" si="939"/>
        <v>2.6756768117902663</v>
      </c>
      <c r="K104" s="163">
        <f t="shared" ca="1" si="939"/>
        <v>2.5883900425952344</v>
      </c>
      <c r="L104" s="163">
        <f t="shared" ca="1" si="939"/>
        <v>3.785080400991728</v>
      </c>
      <c r="M104" s="163">
        <f t="shared" ca="1" si="939"/>
        <v>4.0544197590008721</v>
      </c>
      <c r="N104" s="163">
        <f t="shared" ca="1" si="939"/>
        <v>4.5462785543995894</v>
      </c>
      <c r="O104" s="163">
        <f t="shared" ca="1" si="939"/>
        <v>4.6718801676729607</v>
      </c>
      <c r="P104" s="163">
        <f t="shared" ca="1" si="939"/>
        <v>4.4378035564250666</v>
      </c>
      <c r="Q104" s="163">
        <f t="shared" ca="1" si="939"/>
        <v>6.4852107748819314</v>
      </c>
      <c r="R104" s="163">
        <f t="shared" ca="1" si="939"/>
        <v>5.2630232547963427</v>
      </c>
      <c r="S104" s="163">
        <f t="shared" ca="1" si="939"/>
        <v>5.5867067615089523</v>
      </c>
      <c r="T104" s="163">
        <f t="shared" ca="1" si="939"/>
        <v>5.8808584655698102</v>
      </c>
      <c r="U104" s="163">
        <f t="shared" ca="1" si="939"/>
        <v>7.8168572912708498</v>
      </c>
      <c r="V104" s="163">
        <f t="shared" ca="1" si="939"/>
        <v>9.0918418479209411</v>
      </c>
      <c r="W104" s="163">
        <f t="shared" ca="1" si="939"/>
        <v>10.399844918012102</v>
      </c>
      <c r="X104" s="163">
        <f t="shared" ca="1" si="939"/>
        <v>9.1296896009696411</v>
      </c>
      <c r="Y104" s="163">
        <f t="shared" ca="1" si="939"/>
        <v>7.6577229841161047</v>
      </c>
      <c r="Z104" s="163">
        <f t="shared" ca="1" si="944"/>
        <v>10.094157332404032</v>
      </c>
      <c r="AA104" s="163">
        <f t="shared" ca="1" si="944"/>
        <v>10.094157332404032</v>
      </c>
      <c r="AB104" s="94">
        <f t="shared" ca="1" si="939"/>
        <v>8.7595332514738082</v>
      </c>
      <c r="AC104" s="94">
        <f t="shared" ca="1" si="939"/>
        <v>9.7357145563223</v>
      </c>
      <c r="AD104" s="94">
        <f t="shared" ca="1" si="939"/>
        <v>9.6673560738490263</v>
      </c>
      <c r="AE104" s="94">
        <f t="shared" ca="1" si="939"/>
        <v>10.485503535693615</v>
      </c>
      <c r="AL104" s="163" t="e">
        <f t="shared" ref="AL104:BQ104" ca="1" si="949">+AL79/AL99</f>
        <v>#NAME?</v>
      </c>
      <c r="AM104" s="163" t="e">
        <f t="shared" ca="1" si="949"/>
        <v>#NAME?</v>
      </c>
      <c r="AN104" s="163" t="e">
        <f t="shared" ca="1" si="949"/>
        <v>#NAME?</v>
      </c>
      <c r="AO104" s="163" t="e">
        <f t="shared" ca="1" si="949"/>
        <v>#NAME?</v>
      </c>
      <c r="AP104" s="163" t="e">
        <f t="shared" ca="1" si="949"/>
        <v>#NAME?</v>
      </c>
      <c r="AQ104" s="163" t="e">
        <f t="shared" ca="1" si="949"/>
        <v>#NAME?</v>
      </c>
      <c r="AR104" s="163" t="e">
        <f t="shared" ca="1" si="949"/>
        <v>#NAME?</v>
      </c>
      <c r="AS104" s="163" t="e">
        <f t="shared" ca="1" si="949"/>
        <v>#NAME?</v>
      </c>
      <c r="AT104" s="163" t="e">
        <f t="shared" ca="1" si="949"/>
        <v>#NAME?</v>
      </c>
      <c r="AU104" s="163" t="e">
        <f t="shared" ca="1" si="949"/>
        <v>#NAME?</v>
      </c>
      <c r="AV104" s="163" t="e">
        <f t="shared" ca="1" si="949"/>
        <v>#NAME?</v>
      </c>
      <c r="AW104" s="163" t="e">
        <f t="shared" ca="1" si="949"/>
        <v>#NAME?</v>
      </c>
      <c r="AX104" s="163" t="e">
        <f t="shared" ca="1" si="949"/>
        <v>#NAME?</v>
      </c>
      <c r="AY104" s="163" t="e">
        <f t="shared" ca="1" si="949"/>
        <v>#NAME?</v>
      </c>
      <c r="AZ104" s="163" t="e">
        <f t="shared" ca="1" si="949"/>
        <v>#NAME?</v>
      </c>
      <c r="BA104" s="163" t="e">
        <f t="shared" ca="1" si="949"/>
        <v>#NAME?</v>
      </c>
      <c r="BB104" s="163" t="e">
        <f t="shared" ca="1" si="949"/>
        <v>#NAME?</v>
      </c>
      <c r="BC104" s="163" t="e">
        <f t="shared" ca="1" si="949"/>
        <v>#NAME?</v>
      </c>
      <c r="BD104" s="163" t="e">
        <f t="shared" ca="1" si="949"/>
        <v>#NAME?</v>
      </c>
      <c r="BE104" s="163" t="e">
        <f t="shared" ca="1" si="949"/>
        <v>#NAME?</v>
      </c>
      <c r="BF104" s="163" t="e">
        <f t="shared" ca="1" si="949"/>
        <v>#NAME?</v>
      </c>
      <c r="BG104" s="163" t="e">
        <f t="shared" ca="1" si="949"/>
        <v>#NAME?</v>
      </c>
      <c r="BH104" s="163" t="e">
        <f t="shared" ca="1" si="949"/>
        <v>#NAME?</v>
      </c>
      <c r="BI104" s="163" t="e">
        <f t="shared" ca="1" si="949"/>
        <v>#NAME?</v>
      </c>
      <c r="BJ104" s="163" t="e">
        <f t="shared" ca="1" si="949"/>
        <v>#NAME?</v>
      </c>
      <c r="BK104" s="163" t="e">
        <f t="shared" ca="1" si="949"/>
        <v>#NAME?</v>
      </c>
      <c r="BL104" s="163" t="e">
        <f t="shared" ca="1" si="949"/>
        <v>#NAME?</v>
      </c>
      <c r="BM104" s="163" t="e">
        <f t="shared" ca="1" si="949"/>
        <v>#NAME?</v>
      </c>
      <c r="BN104" s="163" t="e">
        <f t="shared" ca="1" si="949"/>
        <v>#NAME?</v>
      </c>
      <c r="BO104" s="163" t="e">
        <f t="shared" ca="1" si="949"/>
        <v>#NAME?</v>
      </c>
      <c r="BP104" s="163" t="e">
        <f t="shared" ca="1" si="949"/>
        <v>#NAME?</v>
      </c>
      <c r="BQ104" s="163" t="e">
        <f t="shared" ca="1" si="949"/>
        <v>#NAME?</v>
      </c>
      <c r="BR104" s="163" t="e">
        <f t="shared" ref="BR104:CJ104" ca="1" si="950">+BR79/BR99</f>
        <v>#NAME?</v>
      </c>
      <c r="BS104" s="163" t="e">
        <f t="shared" ca="1" si="950"/>
        <v>#NAME?</v>
      </c>
      <c r="BT104" s="163" t="e">
        <f t="shared" ca="1" si="950"/>
        <v>#NAME?</v>
      </c>
      <c r="BU104" s="163" t="e">
        <f t="shared" ca="1" si="950"/>
        <v>#NAME?</v>
      </c>
      <c r="BV104" s="163" t="e">
        <f t="shared" ca="1" si="950"/>
        <v>#NAME?</v>
      </c>
      <c r="BW104" s="163" t="e">
        <f t="shared" ca="1" si="950"/>
        <v>#NAME?</v>
      </c>
      <c r="BX104" s="163" t="e">
        <f t="shared" ca="1" si="950"/>
        <v>#NAME?</v>
      </c>
      <c r="BY104" s="163" t="e">
        <f t="shared" ca="1" si="950"/>
        <v>#NAME?</v>
      </c>
      <c r="BZ104" s="163" t="e">
        <f t="shared" ca="1" si="950"/>
        <v>#NAME?</v>
      </c>
      <c r="CA104" s="163" t="e">
        <f t="shared" ca="1" si="950"/>
        <v>#NAME?</v>
      </c>
      <c r="CB104" s="163" t="e">
        <f t="shared" ca="1" si="950"/>
        <v>#NAME?</v>
      </c>
      <c r="CC104" s="163" t="e">
        <f t="shared" ca="1" si="950"/>
        <v>#NAME?</v>
      </c>
      <c r="CD104" s="163" t="e">
        <f t="shared" ca="1" si="950"/>
        <v>#NAME?</v>
      </c>
      <c r="CE104" s="163" t="e">
        <f t="shared" ca="1" si="950"/>
        <v>#NAME?</v>
      </c>
      <c r="CF104" s="163" t="e">
        <f t="shared" ca="1" si="950"/>
        <v>#NAME?</v>
      </c>
      <c r="CG104" s="163" t="e">
        <f t="shared" ca="1" si="950"/>
        <v>#NAME?</v>
      </c>
      <c r="CH104" s="163" t="e">
        <f t="shared" ca="1" si="950"/>
        <v>#NAME?</v>
      </c>
      <c r="CI104" s="163" t="e">
        <f t="shared" ca="1" si="950"/>
        <v>#NAME?</v>
      </c>
      <c r="CJ104" s="163" t="e">
        <f t="shared" ca="1" si="950"/>
        <v>#NAME?</v>
      </c>
      <c r="CK104" s="163" t="e">
        <f t="shared" ref="CK104:CL104" ca="1" si="951">+CK79/CK99</f>
        <v>#NAME?</v>
      </c>
      <c r="CL104" s="163" t="e">
        <f t="shared" ca="1" si="951"/>
        <v>#NAME?</v>
      </c>
      <c r="CM104" s="94" t="e">
        <f t="shared" ref="CM104:DB104" ca="1" si="952">+CL104</f>
        <v>#NAME?</v>
      </c>
      <c r="CN104" s="94" t="e">
        <f t="shared" ca="1" si="952"/>
        <v>#NAME?</v>
      </c>
      <c r="CO104" s="94" t="e">
        <f t="shared" ca="1" si="952"/>
        <v>#NAME?</v>
      </c>
      <c r="CP104" s="94" t="e">
        <f t="shared" ca="1" si="952"/>
        <v>#NAME?</v>
      </c>
      <c r="CQ104" s="94" t="e">
        <f t="shared" ca="1" si="952"/>
        <v>#NAME?</v>
      </c>
      <c r="CR104" s="94" t="e">
        <f t="shared" ca="1" si="952"/>
        <v>#NAME?</v>
      </c>
      <c r="CS104" s="94" t="e">
        <f t="shared" ca="1" si="952"/>
        <v>#NAME?</v>
      </c>
      <c r="CT104" s="94" t="e">
        <f t="shared" ca="1" si="952"/>
        <v>#NAME?</v>
      </c>
      <c r="CU104" s="94" t="e">
        <f t="shared" ca="1" si="952"/>
        <v>#NAME?</v>
      </c>
      <c r="CV104" s="94" t="e">
        <f t="shared" ca="1" si="952"/>
        <v>#NAME?</v>
      </c>
      <c r="CW104" s="94" t="e">
        <f t="shared" ca="1" si="952"/>
        <v>#NAME?</v>
      </c>
      <c r="CX104" s="94" t="e">
        <f t="shared" ca="1" si="952"/>
        <v>#NAME?</v>
      </c>
      <c r="CY104" s="94" t="e">
        <f t="shared" ca="1" si="952"/>
        <v>#NAME?</v>
      </c>
      <c r="CZ104" s="94" t="e">
        <f t="shared" ca="1" si="952"/>
        <v>#NAME?</v>
      </c>
      <c r="DA104" s="94" t="e">
        <f t="shared" ca="1" si="952"/>
        <v>#NAME?</v>
      </c>
      <c r="DB104" s="94" t="e">
        <f t="shared" ca="1" si="952"/>
        <v>#NAME?</v>
      </c>
      <c r="DE104" s="164"/>
      <c r="DF104" s="163">
        <v>8.9525299508520995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3">+B78*B65</f>
        <v>#NAME?</v>
      </c>
      <c r="C107" s="162" t="e">
        <f t="shared" ca="1" si="953"/>
        <v>#NAME?</v>
      </c>
      <c r="D107" s="162" t="e">
        <f t="shared" ca="1" si="953"/>
        <v>#NAME?</v>
      </c>
      <c r="E107" s="162">
        <f t="shared" ca="1" si="953"/>
        <v>6892.7083499999999</v>
      </c>
      <c r="F107" s="162">
        <f t="shared" ca="1" si="953"/>
        <v>6941.88</v>
      </c>
      <c r="G107" s="162">
        <f t="shared" ca="1" si="953"/>
        <v>9718.6319999999996</v>
      </c>
      <c r="H107" s="162">
        <f t="shared" ca="1" si="953"/>
        <v>12996.742000000002</v>
      </c>
      <c r="I107" s="162">
        <f t="shared" ca="1" si="953"/>
        <v>16031.404125000001</v>
      </c>
      <c r="J107" s="162">
        <f t="shared" ca="1" si="953"/>
        <v>18126.02</v>
      </c>
      <c r="K107" s="162">
        <f t="shared" ca="1" si="953"/>
        <v>26408.068500000001</v>
      </c>
      <c r="L107" s="162">
        <f t="shared" ca="1" si="953"/>
        <v>40488.515100000004</v>
      </c>
      <c r="M107" s="162">
        <f t="shared" ca="1" si="953"/>
        <v>43859.183499999999</v>
      </c>
      <c r="N107" s="162">
        <f t="shared" ca="1" si="953"/>
        <v>48447.091275000006</v>
      </c>
      <c r="O107" s="162">
        <f t="shared" ca="1" si="953"/>
        <v>56545.951275000007</v>
      </c>
      <c r="P107" s="162">
        <f t="shared" ca="1" si="953"/>
        <v>63870.598825000008</v>
      </c>
      <c r="Q107" s="162">
        <f t="shared" ca="1" si="953"/>
        <v>72310.767925000007</v>
      </c>
      <c r="R107" s="162">
        <f t="shared" ca="1" si="953"/>
        <v>71250.684999999998</v>
      </c>
      <c r="S107" s="162">
        <f t="shared" ca="1" si="953"/>
        <v>77141.641500000012</v>
      </c>
      <c r="T107" s="162">
        <f t="shared" ca="1" si="953"/>
        <v>112806.03207500002</v>
      </c>
      <c r="U107" s="162">
        <f t="shared" ca="1" si="953"/>
        <v>146068.72500000001</v>
      </c>
      <c r="V107" s="162">
        <f t="shared" ca="1" si="953"/>
        <v>181467.010175</v>
      </c>
      <c r="W107" s="162">
        <f t="shared" ca="1" si="953"/>
        <v>198614.41792500002</v>
      </c>
      <c r="X107" s="162">
        <f t="shared" ca="1" si="953"/>
        <v>202982.49950000003</v>
      </c>
      <c r="Y107" s="162">
        <f t="shared" ca="1" si="953"/>
        <v>267141.37917500001</v>
      </c>
      <c r="Z107" s="162">
        <f t="shared" ca="1" si="953"/>
        <v>267744.45500000002</v>
      </c>
      <c r="AA107" s="162">
        <f t="shared" ref="AA107" ca="1" si="954">+AA78*AA65</f>
        <v>267744.45500000002</v>
      </c>
      <c r="AB107" s="21">
        <f t="shared" ca="1" si="953"/>
        <v>321996.83237646054</v>
      </c>
      <c r="AC107" s="21">
        <f t="shared" ca="1" si="953"/>
        <v>352540.70157347072</v>
      </c>
      <c r="AD107" s="21">
        <f t="shared" ca="1" si="953"/>
        <v>420271.36092168925</v>
      </c>
      <c r="AE107" s="21">
        <f t="shared" ca="1" si="953"/>
        <v>499179.73089728365</v>
      </c>
      <c r="AL107" s="162" t="e">
        <f t="shared" ref="AL107:BQ107" ca="1" si="955">+AL78*AL65</f>
        <v>#NAME?</v>
      </c>
      <c r="AM107" s="162" t="e">
        <f t="shared" ca="1" si="955"/>
        <v>#NAME?</v>
      </c>
      <c r="AN107" s="162" t="e">
        <f t="shared" ca="1" si="955"/>
        <v>#NAME?</v>
      </c>
      <c r="AO107" s="162" t="e">
        <f t="shared" ca="1" si="955"/>
        <v>#NAME?</v>
      </c>
      <c r="AP107" s="162" t="e">
        <f t="shared" ca="1" si="955"/>
        <v>#NAME?</v>
      </c>
      <c r="AQ107" s="162" t="e">
        <f t="shared" ca="1" si="955"/>
        <v>#NAME?</v>
      </c>
      <c r="AR107" s="162" t="e">
        <f t="shared" ca="1" si="955"/>
        <v>#NAME?</v>
      </c>
      <c r="AS107" s="162" t="e">
        <f t="shared" ca="1" si="955"/>
        <v>#NAME?</v>
      </c>
      <c r="AT107" s="162" t="e">
        <f t="shared" ca="1" si="955"/>
        <v>#NAME?</v>
      </c>
      <c r="AU107" s="162" t="e">
        <f t="shared" ca="1" si="955"/>
        <v>#NAME?</v>
      </c>
      <c r="AV107" s="162" t="e">
        <f t="shared" ca="1" si="955"/>
        <v>#NAME?</v>
      </c>
      <c r="AW107" s="162" t="e">
        <f t="shared" ca="1" si="955"/>
        <v>#NAME?</v>
      </c>
      <c r="AX107" s="162" t="e">
        <f t="shared" ca="1" si="955"/>
        <v>#NAME?</v>
      </c>
      <c r="AY107" s="162" t="e">
        <f t="shared" ca="1" si="955"/>
        <v>#NAME?</v>
      </c>
      <c r="AZ107" s="162" t="e">
        <f t="shared" ca="1" si="955"/>
        <v>#NAME?</v>
      </c>
      <c r="BA107" s="162" t="e">
        <f t="shared" ca="1" si="955"/>
        <v>#NAME?</v>
      </c>
      <c r="BB107" s="162" t="e">
        <f t="shared" ca="1" si="955"/>
        <v>#NAME?</v>
      </c>
      <c r="BC107" s="162" t="e">
        <f t="shared" ca="1" si="955"/>
        <v>#NAME?</v>
      </c>
      <c r="BD107" s="162" t="e">
        <f t="shared" ca="1" si="955"/>
        <v>#NAME?</v>
      </c>
      <c r="BE107" s="162" t="e">
        <f t="shared" ca="1" si="955"/>
        <v>#NAME?</v>
      </c>
      <c r="BF107" s="162" t="e">
        <f t="shared" ca="1" si="955"/>
        <v>#NAME?</v>
      </c>
      <c r="BG107" s="162" t="e">
        <f t="shared" ca="1" si="955"/>
        <v>#NAME?</v>
      </c>
      <c r="BH107" s="162" t="e">
        <f t="shared" ca="1" si="955"/>
        <v>#NAME?</v>
      </c>
      <c r="BI107" s="162" t="e">
        <f t="shared" ca="1" si="955"/>
        <v>#NAME?</v>
      </c>
      <c r="BJ107" s="162" t="e">
        <f t="shared" ca="1" si="955"/>
        <v>#NAME?</v>
      </c>
      <c r="BK107" s="162" t="e">
        <f t="shared" ca="1" si="955"/>
        <v>#NAME?</v>
      </c>
      <c r="BL107" s="162" t="e">
        <f t="shared" ca="1" si="955"/>
        <v>#NAME?</v>
      </c>
      <c r="BM107" s="162" t="e">
        <f t="shared" ca="1" si="955"/>
        <v>#NAME?</v>
      </c>
      <c r="BN107" s="162" t="e">
        <f t="shared" ca="1" si="955"/>
        <v>#NAME?</v>
      </c>
      <c r="BO107" s="162" t="e">
        <f t="shared" ca="1" si="955"/>
        <v>#NAME?</v>
      </c>
      <c r="BP107" s="162" t="e">
        <f t="shared" ca="1" si="955"/>
        <v>#NAME?</v>
      </c>
      <c r="BQ107" s="162" t="e">
        <f t="shared" ca="1" si="955"/>
        <v>#NAME?</v>
      </c>
      <c r="BR107" s="162" t="e">
        <f t="shared" ref="BR107:CJ107" ca="1" si="956">+BR78*BR65</f>
        <v>#NAME?</v>
      </c>
      <c r="BS107" s="162" t="e">
        <f t="shared" ca="1" si="956"/>
        <v>#NAME?</v>
      </c>
      <c r="BT107" s="162" t="e">
        <f t="shared" ca="1" si="956"/>
        <v>#NAME?</v>
      </c>
      <c r="BU107" s="162" t="e">
        <f t="shared" ca="1" si="956"/>
        <v>#NAME?</v>
      </c>
      <c r="BV107" s="162" t="e">
        <f t="shared" ca="1" si="956"/>
        <v>#NAME?</v>
      </c>
      <c r="BW107" s="162" t="e">
        <f t="shared" ca="1" si="956"/>
        <v>#NAME?</v>
      </c>
      <c r="BX107" s="162" t="e">
        <f t="shared" ca="1" si="956"/>
        <v>#NAME?</v>
      </c>
      <c r="BY107" s="162" t="e">
        <f t="shared" ca="1" si="956"/>
        <v>#NAME?</v>
      </c>
      <c r="BZ107" s="162" t="e">
        <f t="shared" ca="1" si="956"/>
        <v>#NAME?</v>
      </c>
      <c r="CA107" s="162" t="e">
        <f t="shared" ca="1" si="956"/>
        <v>#NAME?</v>
      </c>
      <c r="CB107" s="162" t="e">
        <f t="shared" ca="1" si="956"/>
        <v>#NAME?</v>
      </c>
      <c r="CC107" s="162" t="e">
        <f t="shared" ca="1" si="956"/>
        <v>#NAME?</v>
      </c>
      <c r="CD107" s="162" t="e">
        <f t="shared" ca="1" si="956"/>
        <v>#NAME?</v>
      </c>
      <c r="CE107" s="162" t="e">
        <f t="shared" ca="1" si="956"/>
        <v>#NAME?</v>
      </c>
      <c r="CF107" s="162" t="e">
        <f t="shared" ca="1" si="956"/>
        <v>#NAME?</v>
      </c>
      <c r="CG107" s="162" t="e">
        <f t="shared" ca="1" si="956"/>
        <v>#NAME?</v>
      </c>
      <c r="CH107" s="162" t="e">
        <f t="shared" ca="1" si="956"/>
        <v>#NAME?</v>
      </c>
      <c r="CI107" s="162" t="e">
        <f t="shared" ca="1" si="956"/>
        <v>#NAME?</v>
      </c>
      <c r="CJ107" s="162" t="e">
        <f t="shared" ca="1" si="956"/>
        <v>#NAME?</v>
      </c>
      <c r="CK107" s="162" t="e">
        <f t="shared" ref="CK107:CL107" ca="1" si="957">+CK78*CK65</f>
        <v>#NAME?</v>
      </c>
      <c r="CL107" s="162" t="e">
        <f t="shared" ca="1" si="957"/>
        <v>#NAME?</v>
      </c>
      <c r="CM107" s="21" t="e">
        <f t="shared" ref="CM107:DB107" ca="1" si="958">+CM78*CM65</f>
        <v>#NAME?</v>
      </c>
      <c r="CN107" s="21" t="e">
        <f t="shared" ca="1" si="958"/>
        <v>#NAME?</v>
      </c>
      <c r="CO107" s="21" t="e">
        <f t="shared" ca="1" si="958"/>
        <v>#NAME?</v>
      </c>
      <c r="CP107" s="21" t="e">
        <f t="shared" ca="1" si="958"/>
        <v>#NAME?</v>
      </c>
      <c r="CQ107" s="21" t="e">
        <f t="shared" ca="1" si="958"/>
        <v>#NAME?</v>
      </c>
      <c r="CR107" s="21" t="e">
        <f t="shared" ca="1" si="958"/>
        <v>#NAME?</v>
      </c>
      <c r="CS107" s="21" t="e">
        <f t="shared" ca="1" si="958"/>
        <v>#NAME?</v>
      </c>
      <c r="CT107" s="21" t="e">
        <f t="shared" ca="1" si="958"/>
        <v>#NAME?</v>
      </c>
      <c r="CU107" s="21" t="e">
        <f t="shared" ca="1" si="958"/>
        <v>#NAME?</v>
      </c>
      <c r="CV107" s="21" t="e">
        <f t="shared" ca="1" si="958"/>
        <v>#NAME?</v>
      </c>
      <c r="CW107" s="21" t="e">
        <f t="shared" ca="1" si="958"/>
        <v>#NAME?</v>
      </c>
      <c r="CX107" s="21" t="e">
        <f t="shared" ca="1" si="958"/>
        <v>#NAME?</v>
      </c>
      <c r="CY107" s="21" t="e">
        <f t="shared" ca="1" si="958"/>
        <v>#NAME?</v>
      </c>
      <c r="CZ107" s="21" t="e">
        <f t="shared" ca="1" si="958"/>
        <v>#NAME?</v>
      </c>
      <c r="DA107" s="21" t="e">
        <f t="shared" ca="1" si="958"/>
        <v>#NAME?</v>
      </c>
      <c r="DB107" s="21" t="e">
        <f t="shared" ca="1" si="958"/>
        <v>#NAME?</v>
      </c>
      <c r="DE107" s="22"/>
      <c r="DF107" s="162">
        <v>258363.27549999999</v>
      </c>
    </row>
    <row r="108" spans="1:110" s="162" customFormat="1" x14ac:dyDescent="0.2">
      <c r="A108" s="49" t="s">
        <v>341</v>
      </c>
      <c r="B108" s="162" t="e">
        <f t="shared" ref="B108:AE108" ca="1" si="959">+B79*B65</f>
        <v>#NAME?</v>
      </c>
      <c r="C108" s="162" t="e">
        <f t="shared" ca="1" si="959"/>
        <v>#NAME?</v>
      </c>
      <c r="D108" s="162" t="e">
        <f t="shared" ca="1" si="959"/>
        <v>#NAME?</v>
      </c>
      <c r="E108" s="162">
        <f t="shared" ca="1" si="959"/>
        <v>4823.6424500000003</v>
      </c>
      <c r="F108" s="162">
        <f t="shared" ca="1" si="959"/>
        <v>4820.75</v>
      </c>
      <c r="G108" s="162">
        <f t="shared" ca="1" si="959"/>
        <v>5064.1978749999998</v>
      </c>
      <c r="H108" s="162">
        <f t="shared" ca="1" si="959"/>
        <v>7713.2000000000007</v>
      </c>
      <c r="I108" s="162">
        <f t="shared" ca="1" si="959"/>
        <v>8445.9539999999997</v>
      </c>
      <c r="J108" s="162">
        <f t="shared" ca="1" si="959"/>
        <v>11570.282075000001</v>
      </c>
      <c r="K108" s="162">
        <f t="shared" ca="1" si="959"/>
        <v>13276.827575000001</v>
      </c>
      <c r="L108" s="162">
        <f t="shared" ca="1" si="959"/>
        <v>23674.703250000002</v>
      </c>
      <c r="M108" s="162">
        <f t="shared" ca="1" si="959"/>
        <v>30467.140000000003</v>
      </c>
      <c r="N108" s="162">
        <f t="shared" ca="1" si="959"/>
        <v>37891.095000000001</v>
      </c>
      <c r="O108" s="162">
        <f t="shared" ca="1" si="959"/>
        <v>42519.014999999999</v>
      </c>
      <c r="P108" s="162">
        <f t="shared" ca="1" si="959"/>
        <v>43733.844000000005</v>
      </c>
      <c r="Q108" s="162">
        <f t="shared" ca="1" si="959"/>
        <v>53018.608500000002</v>
      </c>
      <c r="R108" s="162">
        <f t="shared" ca="1" si="959"/>
        <v>48111.085000000006</v>
      </c>
      <c r="S108" s="162">
        <f t="shared" ca="1" si="959"/>
        <v>55920.700000000004</v>
      </c>
      <c r="T108" s="162">
        <f t="shared" ca="1" si="959"/>
        <v>66408.241624999995</v>
      </c>
      <c r="U108" s="162">
        <f t="shared" ca="1" si="959"/>
        <v>96685.926149999999</v>
      </c>
      <c r="V108" s="162">
        <f t="shared" ca="1" si="959"/>
        <v>121376.36142500001</v>
      </c>
      <c r="W108" s="162">
        <f t="shared" ca="1" si="959"/>
        <v>153299.85</v>
      </c>
      <c r="X108" s="162">
        <f t="shared" ca="1" si="959"/>
        <v>154264</v>
      </c>
      <c r="Y108" s="162">
        <f t="shared" ca="1" si="959"/>
        <v>186801.65212499999</v>
      </c>
      <c r="Z108" s="162">
        <f t="shared" ca="1" si="959"/>
        <v>203917.72500000001</v>
      </c>
      <c r="AA108" s="162">
        <f t="shared" ref="AA108" ca="1" si="960">+AA79*AA65</f>
        <v>203917.72500000001</v>
      </c>
      <c r="AB108" s="21">
        <f t="shared" ca="1" si="959"/>
        <v>236947.07148299346</v>
      </c>
      <c r="AC108" s="21">
        <f t="shared" ca="1" si="959"/>
        <v>290812.85411979054</v>
      </c>
      <c r="AD108" s="21">
        <f t="shared" ca="1" si="959"/>
        <v>318120.14157193265</v>
      </c>
      <c r="AE108" s="21">
        <f t="shared" ca="1" si="959"/>
        <v>379883.1989731564</v>
      </c>
      <c r="AL108" s="162" t="e">
        <f t="shared" ref="AL108:BQ108" ca="1" si="961">+AL79*AL65</f>
        <v>#NAME?</v>
      </c>
      <c r="AM108" s="162" t="e">
        <f t="shared" ca="1" si="961"/>
        <v>#NAME?</v>
      </c>
      <c r="AN108" s="162" t="e">
        <f t="shared" ca="1" si="961"/>
        <v>#NAME?</v>
      </c>
      <c r="AO108" s="162" t="e">
        <f t="shared" ca="1" si="961"/>
        <v>#NAME?</v>
      </c>
      <c r="AP108" s="162" t="e">
        <f t="shared" ca="1" si="961"/>
        <v>#NAME?</v>
      </c>
      <c r="AQ108" s="162" t="e">
        <f t="shared" ca="1" si="961"/>
        <v>#NAME?</v>
      </c>
      <c r="AR108" s="162" t="e">
        <f t="shared" ca="1" si="961"/>
        <v>#NAME?</v>
      </c>
      <c r="AS108" s="162" t="e">
        <f t="shared" ca="1" si="961"/>
        <v>#NAME?</v>
      </c>
      <c r="AT108" s="162" t="e">
        <f t="shared" ca="1" si="961"/>
        <v>#NAME?</v>
      </c>
      <c r="AU108" s="162" t="e">
        <f t="shared" ca="1" si="961"/>
        <v>#NAME?</v>
      </c>
      <c r="AV108" s="162" t="e">
        <f t="shared" ca="1" si="961"/>
        <v>#NAME?</v>
      </c>
      <c r="AW108" s="162" t="e">
        <f t="shared" ca="1" si="961"/>
        <v>#NAME?</v>
      </c>
      <c r="AX108" s="162" t="e">
        <f t="shared" ca="1" si="961"/>
        <v>#NAME?</v>
      </c>
      <c r="AY108" s="162" t="e">
        <f t="shared" ca="1" si="961"/>
        <v>#NAME?</v>
      </c>
      <c r="AZ108" s="162" t="e">
        <f t="shared" ca="1" si="961"/>
        <v>#NAME?</v>
      </c>
      <c r="BA108" s="162" t="e">
        <f t="shared" ca="1" si="961"/>
        <v>#NAME?</v>
      </c>
      <c r="BB108" s="162" t="e">
        <f t="shared" ca="1" si="961"/>
        <v>#NAME?</v>
      </c>
      <c r="BC108" s="162" t="e">
        <f t="shared" ca="1" si="961"/>
        <v>#NAME?</v>
      </c>
      <c r="BD108" s="162" t="e">
        <f t="shared" ca="1" si="961"/>
        <v>#NAME?</v>
      </c>
      <c r="BE108" s="162" t="e">
        <f t="shared" ca="1" si="961"/>
        <v>#NAME?</v>
      </c>
      <c r="BF108" s="162" t="e">
        <f t="shared" ca="1" si="961"/>
        <v>#NAME?</v>
      </c>
      <c r="BG108" s="162" t="e">
        <f t="shared" ca="1" si="961"/>
        <v>#NAME?</v>
      </c>
      <c r="BH108" s="162" t="e">
        <f t="shared" ca="1" si="961"/>
        <v>#NAME?</v>
      </c>
      <c r="BI108" s="162" t="e">
        <f t="shared" ca="1" si="961"/>
        <v>#NAME?</v>
      </c>
      <c r="BJ108" s="162" t="e">
        <f t="shared" ca="1" si="961"/>
        <v>#NAME?</v>
      </c>
      <c r="BK108" s="162" t="e">
        <f t="shared" ca="1" si="961"/>
        <v>#NAME?</v>
      </c>
      <c r="BL108" s="162" t="e">
        <f t="shared" ca="1" si="961"/>
        <v>#NAME?</v>
      </c>
      <c r="BM108" s="162" t="e">
        <f t="shared" ca="1" si="961"/>
        <v>#NAME?</v>
      </c>
      <c r="BN108" s="162" t="e">
        <f t="shared" ca="1" si="961"/>
        <v>#NAME?</v>
      </c>
      <c r="BO108" s="162" t="e">
        <f t="shared" ca="1" si="961"/>
        <v>#NAME?</v>
      </c>
      <c r="BP108" s="162" t="e">
        <f t="shared" ca="1" si="961"/>
        <v>#NAME?</v>
      </c>
      <c r="BQ108" s="162" t="e">
        <f t="shared" ca="1" si="961"/>
        <v>#NAME?</v>
      </c>
      <c r="BR108" s="162" t="e">
        <f t="shared" ref="BR108:CJ108" ca="1" si="962">+BR79*BR65</f>
        <v>#NAME?</v>
      </c>
      <c r="BS108" s="162" t="e">
        <f t="shared" ca="1" si="962"/>
        <v>#NAME?</v>
      </c>
      <c r="BT108" s="162" t="e">
        <f t="shared" ca="1" si="962"/>
        <v>#NAME?</v>
      </c>
      <c r="BU108" s="162" t="e">
        <f t="shared" ca="1" si="962"/>
        <v>#NAME?</v>
      </c>
      <c r="BV108" s="162" t="e">
        <f t="shared" ca="1" si="962"/>
        <v>#NAME?</v>
      </c>
      <c r="BW108" s="162" t="e">
        <f t="shared" ca="1" si="962"/>
        <v>#NAME?</v>
      </c>
      <c r="BX108" s="162" t="e">
        <f t="shared" ca="1" si="962"/>
        <v>#NAME?</v>
      </c>
      <c r="BY108" s="162" t="e">
        <f t="shared" ca="1" si="962"/>
        <v>#NAME?</v>
      </c>
      <c r="BZ108" s="162" t="e">
        <f t="shared" ca="1" si="962"/>
        <v>#NAME?</v>
      </c>
      <c r="CA108" s="162" t="e">
        <f t="shared" ca="1" si="962"/>
        <v>#NAME?</v>
      </c>
      <c r="CB108" s="162" t="e">
        <f t="shared" ca="1" si="962"/>
        <v>#NAME?</v>
      </c>
      <c r="CC108" s="162" t="e">
        <f t="shared" ca="1" si="962"/>
        <v>#NAME?</v>
      </c>
      <c r="CD108" s="162" t="e">
        <f t="shared" ca="1" si="962"/>
        <v>#NAME?</v>
      </c>
      <c r="CE108" s="162" t="e">
        <f t="shared" ca="1" si="962"/>
        <v>#NAME?</v>
      </c>
      <c r="CF108" s="162" t="e">
        <f t="shared" ca="1" si="962"/>
        <v>#NAME?</v>
      </c>
      <c r="CG108" s="162" t="e">
        <f t="shared" ca="1" si="962"/>
        <v>#NAME?</v>
      </c>
      <c r="CH108" s="162" t="e">
        <f t="shared" ca="1" si="962"/>
        <v>#NAME?</v>
      </c>
      <c r="CI108" s="162" t="e">
        <f t="shared" ca="1" si="962"/>
        <v>#NAME?</v>
      </c>
      <c r="CJ108" s="162" t="e">
        <f t="shared" ca="1" si="962"/>
        <v>#NAME?</v>
      </c>
      <c r="CK108" s="162" t="e">
        <f t="shared" ref="CK108:CL108" ca="1" si="963">+CK79*CK65</f>
        <v>#NAME?</v>
      </c>
      <c r="CL108" s="162" t="e">
        <f t="shared" ca="1" si="963"/>
        <v>#NAME?</v>
      </c>
      <c r="CM108" s="21" t="e">
        <f t="shared" ref="CM108:DB108" ca="1" si="964">+CM79*CM65</f>
        <v>#NAME?</v>
      </c>
      <c r="CN108" s="21" t="e">
        <f t="shared" ca="1" si="964"/>
        <v>#NAME?</v>
      </c>
      <c r="CO108" s="21" t="e">
        <f t="shared" ca="1" si="964"/>
        <v>#NAME?</v>
      </c>
      <c r="CP108" s="21" t="e">
        <f t="shared" ca="1" si="964"/>
        <v>#NAME?</v>
      </c>
      <c r="CQ108" s="21" t="e">
        <f t="shared" ca="1" si="964"/>
        <v>#NAME?</v>
      </c>
      <c r="CR108" s="21" t="e">
        <f t="shared" ca="1" si="964"/>
        <v>#NAME?</v>
      </c>
      <c r="CS108" s="21" t="e">
        <f t="shared" ca="1" si="964"/>
        <v>#NAME?</v>
      </c>
      <c r="CT108" s="21" t="e">
        <f t="shared" ca="1" si="964"/>
        <v>#NAME?</v>
      </c>
      <c r="CU108" s="21" t="e">
        <f t="shared" ca="1" si="964"/>
        <v>#NAME?</v>
      </c>
      <c r="CV108" s="21" t="e">
        <f t="shared" ca="1" si="964"/>
        <v>#NAME?</v>
      </c>
      <c r="CW108" s="21" t="e">
        <f t="shared" ca="1" si="964"/>
        <v>#NAME?</v>
      </c>
      <c r="CX108" s="21" t="e">
        <f t="shared" ca="1" si="964"/>
        <v>#NAME?</v>
      </c>
      <c r="CY108" s="21" t="e">
        <f t="shared" ca="1" si="964"/>
        <v>#NAME?</v>
      </c>
      <c r="CZ108" s="21" t="e">
        <f t="shared" ca="1" si="964"/>
        <v>#NAME?</v>
      </c>
      <c r="DA108" s="21" t="e">
        <f t="shared" ca="1" si="964"/>
        <v>#NAME?</v>
      </c>
      <c r="DB108" s="21" t="e">
        <f t="shared" ca="1" si="964"/>
        <v>#NAME?</v>
      </c>
      <c r="DE108" s="22"/>
      <c r="DF108" s="162">
        <v>207292.25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65">+C168</f>
        <v>#NAME?</v>
      </c>
      <c r="D109" s="162" t="e">
        <f t="shared" ca="1" si="965"/>
        <v>#NAME?</v>
      </c>
      <c r="E109" s="162" t="e">
        <f t="shared" ca="1" si="965"/>
        <v>#NAME?</v>
      </c>
      <c r="F109" s="162" t="e">
        <f t="shared" ca="1" si="965"/>
        <v>#NAME?</v>
      </c>
      <c r="G109" s="162" t="e">
        <f t="shared" ca="1" si="965"/>
        <v>#NAME?</v>
      </c>
      <c r="H109" s="162" t="e">
        <f t="shared" ca="1" si="965"/>
        <v>#NAME?</v>
      </c>
      <c r="I109" s="162" t="e">
        <f t="shared" ca="1" si="965"/>
        <v>#NAME?</v>
      </c>
      <c r="J109" s="162" t="e">
        <f t="shared" ca="1" si="965"/>
        <v>#NAME?</v>
      </c>
      <c r="K109" s="162" t="e">
        <f t="shared" ca="1" si="965"/>
        <v>#NAME?</v>
      </c>
      <c r="L109" s="162" t="e">
        <f t="shared" ca="1" si="965"/>
        <v>#NAME?</v>
      </c>
      <c r="M109" s="162" t="e">
        <f t="shared" ca="1" si="965"/>
        <v>#NAME?</v>
      </c>
      <c r="N109" s="162" t="e">
        <f t="shared" ca="1" si="965"/>
        <v>#NAME?</v>
      </c>
      <c r="O109" s="162" t="e">
        <f t="shared" ca="1" si="965"/>
        <v>#NAME?</v>
      </c>
      <c r="P109" s="162" t="e">
        <f t="shared" ca="1" si="965"/>
        <v>#NAME?</v>
      </c>
      <c r="Q109" s="162" t="e">
        <f t="shared" ca="1" si="965"/>
        <v>#NAME?</v>
      </c>
      <c r="R109" s="162" t="e">
        <f t="shared" ca="1" si="965"/>
        <v>#NAME?</v>
      </c>
      <c r="S109" s="162" t="e">
        <f t="shared" ca="1" si="965"/>
        <v>#NAME?</v>
      </c>
      <c r="T109" s="162" t="e">
        <f t="shared" ca="1" si="965"/>
        <v>#NAME?</v>
      </c>
      <c r="U109" s="162" t="e">
        <f t="shared" ca="1" si="965"/>
        <v>#NAME?</v>
      </c>
      <c r="V109" s="162" t="e">
        <f t="shared" ca="1" si="965"/>
        <v>#NAME?</v>
      </c>
      <c r="W109" s="162" t="e">
        <f t="shared" ca="1" si="965"/>
        <v>#NAME?</v>
      </c>
      <c r="X109" s="162" t="e">
        <f t="shared" ref="X109:Y109" ca="1" si="966">+X168</f>
        <v>#NAME?</v>
      </c>
      <c r="Y109" s="162" t="e">
        <f t="shared" ca="1" si="966"/>
        <v>#NAME?</v>
      </c>
      <c r="Z109" s="162" t="e">
        <f t="shared" ref="Z109:AA109" ca="1" si="967">+Z168</f>
        <v>#NAME?</v>
      </c>
      <c r="AA109" s="162" t="e">
        <f t="shared" ca="1" si="967"/>
        <v>#NAME?</v>
      </c>
      <c r="AB109" s="21" t="e">
        <f t="shared" ref="AA109:AD109" ca="1" si="968">+AB168</f>
        <v>#NAME?</v>
      </c>
      <c r="AC109" s="21" t="e">
        <f t="shared" ca="1" si="968"/>
        <v>#NAME?</v>
      </c>
      <c r="AD109" s="21" t="e">
        <f t="shared" ca="1" si="968"/>
        <v>#NAME?</v>
      </c>
      <c r="AE109" s="21" t="e">
        <f t="shared" ref="AE109" ca="1" si="969">+AE168</f>
        <v>#NAME?</v>
      </c>
      <c r="AL109" s="162" t="e">
        <f t="shared" ref="AL109:AM109" ca="1" si="970">+AL168</f>
        <v>#NAME?</v>
      </c>
      <c r="AM109" s="162" t="e">
        <f t="shared" ca="1" si="970"/>
        <v>#NAME?</v>
      </c>
      <c r="AN109" s="162" t="e">
        <f t="shared" ref="AN109:AO109" ca="1" si="971">+AN168</f>
        <v>#NAME?</v>
      </c>
      <c r="AO109" s="162" t="e">
        <f t="shared" ca="1" si="971"/>
        <v>#NAME?</v>
      </c>
      <c r="AP109" s="162" t="e">
        <f t="shared" ref="AP109:CD109" ca="1" si="972">+AP168</f>
        <v>#NAME?</v>
      </c>
      <c r="AQ109" s="162" t="e">
        <f t="shared" ca="1" si="972"/>
        <v>#NAME?</v>
      </c>
      <c r="AR109" s="162" t="e">
        <f t="shared" ca="1" si="972"/>
        <v>#NAME?</v>
      </c>
      <c r="AS109" s="162" t="e">
        <f t="shared" ca="1" si="972"/>
        <v>#NAME?</v>
      </c>
      <c r="AT109" s="162" t="e">
        <f t="shared" ca="1" si="972"/>
        <v>#NAME?</v>
      </c>
      <c r="AU109" s="162" t="e">
        <f t="shared" ca="1" si="972"/>
        <v>#NAME?</v>
      </c>
      <c r="AV109" s="162" t="e">
        <f t="shared" ca="1" si="972"/>
        <v>#NAME?</v>
      </c>
      <c r="AW109" s="162" t="e">
        <f t="shared" ca="1" si="972"/>
        <v>#NAME?</v>
      </c>
      <c r="AX109" s="162" t="e">
        <f t="shared" ca="1" si="972"/>
        <v>#NAME?</v>
      </c>
      <c r="AY109" s="162" t="e">
        <f t="shared" ca="1" si="972"/>
        <v>#NAME?</v>
      </c>
      <c r="AZ109" s="162" t="e">
        <f t="shared" ca="1" si="972"/>
        <v>#NAME?</v>
      </c>
      <c r="BA109" s="162" t="e">
        <f t="shared" ca="1" si="972"/>
        <v>#NAME?</v>
      </c>
      <c r="BB109" s="162" t="e">
        <f t="shared" ca="1" si="972"/>
        <v>#NAME?</v>
      </c>
      <c r="BC109" s="162" t="e">
        <f t="shared" ca="1" si="972"/>
        <v>#NAME?</v>
      </c>
      <c r="BD109" s="162" t="e">
        <f t="shared" ca="1" si="972"/>
        <v>#NAME?</v>
      </c>
      <c r="BE109" s="162" t="e">
        <f t="shared" ca="1" si="972"/>
        <v>#NAME?</v>
      </c>
      <c r="BF109" s="162" t="e">
        <f t="shared" ca="1" si="972"/>
        <v>#NAME?</v>
      </c>
      <c r="BG109" s="162" t="e">
        <f t="shared" ca="1" si="972"/>
        <v>#NAME?</v>
      </c>
      <c r="BH109" s="162" t="e">
        <f t="shared" ca="1" si="972"/>
        <v>#NAME?</v>
      </c>
      <c r="BI109" s="162" t="e">
        <f t="shared" ca="1" si="972"/>
        <v>#NAME?</v>
      </c>
      <c r="BJ109" s="162" t="e">
        <f t="shared" ca="1" si="972"/>
        <v>#NAME?</v>
      </c>
      <c r="BK109" s="162" t="e">
        <f t="shared" ca="1" si="972"/>
        <v>#NAME?</v>
      </c>
      <c r="BL109" s="162" t="e">
        <f t="shared" ca="1" si="972"/>
        <v>#NAME?</v>
      </c>
      <c r="BM109" s="162" t="e">
        <f t="shared" ca="1" si="972"/>
        <v>#NAME?</v>
      </c>
      <c r="BN109" s="162" t="e">
        <f t="shared" ca="1" si="972"/>
        <v>#NAME?</v>
      </c>
      <c r="BO109" s="162" t="e">
        <f t="shared" ca="1" si="972"/>
        <v>#NAME?</v>
      </c>
      <c r="BP109" s="162" t="e">
        <f t="shared" ca="1" si="972"/>
        <v>#NAME?</v>
      </c>
      <c r="BQ109" s="162" t="e">
        <f t="shared" ca="1" si="972"/>
        <v>#NAME?</v>
      </c>
      <c r="BR109" s="162" t="e">
        <f t="shared" ca="1" si="972"/>
        <v>#NAME?</v>
      </c>
      <c r="BS109" s="162" t="e">
        <f t="shared" ca="1" si="972"/>
        <v>#NAME?</v>
      </c>
      <c r="BT109" s="162" t="e">
        <f t="shared" ca="1" si="972"/>
        <v>#NAME?</v>
      </c>
      <c r="BU109" s="162" t="e">
        <f t="shared" ca="1" si="972"/>
        <v>#NAME?</v>
      </c>
      <c r="BV109" s="162" t="e">
        <f t="shared" ca="1" si="972"/>
        <v>#NAME?</v>
      </c>
      <c r="BW109" s="162" t="e">
        <f t="shared" ca="1" si="972"/>
        <v>#NAME?</v>
      </c>
      <c r="BX109" s="162" t="e">
        <f t="shared" ca="1" si="972"/>
        <v>#NAME?</v>
      </c>
      <c r="BY109" s="162" t="e">
        <f t="shared" ca="1" si="972"/>
        <v>#NAME?</v>
      </c>
      <c r="BZ109" s="162" t="e">
        <f t="shared" ca="1" si="972"/>
        <v>#NAME?</v>
      </c>
      <c r="CA109" s="162" t="e">
        <f t="shared" ca="1" si="972"/>
        <v>#NAME?</v>
      </c>
      <c r="CB109" s="162" t="e">
        <f t="shared" ca="1" si="972"/>
        <v>#NAME?</v>
      </c>
      <c r="CC109" s="162" t="e">
        <f t="shared" ca="1" si="972"/>
        <v>#NAME?</v>
      </c>
      <c r="CD109" s="162" t="e">
        <f t="shared" ca="1" si="972"/>
        <v>#NAME?</v>
      </c>
      <c r="CE109" s="162" t="e">
        <f t="shared" ref="CE109:CF109" ca="1" si="973">+CE168</f>
        <v>#NAME?</v>
      </c>
      <c r="CF109" s="162" t="e">
        <f t="shared" ca="1" si="973"/>
        <v>#NAME?</v>
      </c>
      <c r="CG109" s="162" t="e">
        <f t="shared" ref="CG109:CH109" ca="1" si="974">+CG168</f>
        <v>#NAME?</v>
      </c>
      <c r="CH109" s="162" t="e">
        <f t="shared" ca="1" si="974"/>
        <v>#NAME?</v>
      </c>
      <c r="CI109" s="162" t="e">
        <f t="shared" ref="CI109:CJ109" ca="1" si="975">+CI168</f>
        <v>#NAME?</v>
      </c>
      <c r="CJ109" s="162" t="e">
        <f t="shared" ca="1" si="975"/>
        <v>#NAME?</v>
      </c>
      <c r="CK109" s="162" t="e">
        <f t="shared" ref="CK109:CL109" ca="1" si="976">+CK168</f>
        <v>#NAME?</v>
      </c>
      <c r="CL109" s="162" t="e">
        <f t="shared" ca="1" si="976"/>
        <v>#NAME?</v>
      </c>
      <c r="CM109" s="21" t="e">
        <f t="shared" ref="CM109:DB109" ca="1" si="977">+CM168</f>
        <v>#NAME?</v>
      </c>
      <c r="CN109" s="21" t="e">
        <f t="shared" ca="1" si="977"/>
        <v>#NAME?</v>
      </c>
      <c r="CO109" s="21" t="e">
        <f t="shared" ca="1" si="977"/>
        <v>#NAME?</v>
      </c>
      <c r="CP109" s="21" t="e">
        <f t="shared" ca="1" si="977"/>
        <v>#NAME?</v>
      </c>
      <c r="CQ109" s="21" t="e">
        <f t="shared" ca="1" si="977"/>
        <v>#NAME?</v>
      </c>
      <c r="CR109" s="21" t="e">
        <f t="shared" ca="1" si="977"/>
        <v>#NAME?</v>
      </c>
      <c r="CS109" s="21" t="e">
        <f t="shared" ca="1" si="977"/>
        <v>#NAME?</v>
      </c>
      <c r="CT109" s="21" t="e">
        <f t="shared" ca="1" si="977"/>
        <v>#NAME?</v>
      </c>
      <c r="CU109" s="21" t="e">
        <f t="shared" ca="1" si="977"/>
        <v>#NAME?</v>
      </c>
      <c r="CV109" s="21" t="e">
        <f t="shared" ca="1" si="977"/>
        <v>#NAME?</v>
      </c>
      <c r="CW109" s="21" t="e">
        <f t="shared" ca="1" si="977"/>
        <v>#NAME?</v>
      </c>
      <c r="CX109" s="21" t="e">
        <f t="shared" ca="1" si="977"/>
        <v>#NAME?</v>
      </c>
      <c r="CY109" s="21" t="e">
        <f t="shared" ca="1" si="977"/>
        <v>#NAME?</v>
      </c>
      <c r="CZ109" s="21" t="e">
        <f t="shared" ca="1" si="977"/>
        <v>#NAME?</v>
      </c>
      <c r="DA109" s="21" t="e">
        <f t="shared" ca="1" si="977"/>
        <v>#NAME?</v>
      </c>
      <c r="DB109" s="21" t="e">
        <f t="shared" ca="1" si="977"/>
        <v>#NAME?</v>
      </c>
      <c r="DE109" s="22"/>
      <c r="DF109" s="162">
        <v>-1316.4299999999998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78">+C107+C109</f>
        <v>#NAME?</v>
      </c>
      <c r="D110" s="162" t="e">
        <f t="shared" ca="1" si="978"/>
        <v>#NAME?</v>
      </c>
      <c r="E110" s="162">
        <f t="shared" ca="1" si="978"/>
        <v>6817.8759499999996</v>
      </c>
      <c r="F110" s="162">
        <f t="shared" ca="1" si="978"/>
        <v>6785.4739</v>
      </c>
      <c r="G110" s="162">
        <f t="shared" ca="1" si="978"/>
        <v>9591.864599999999</v>
      </c>
      <c r="H110" s="162">
        <f t="shared" ca="1" si="978"/>
        <v>12858.880400000002</v>
      </c>
      <c r="I110" s="162">
        <f t="shared" ca="1" si="978"/>
        <v>15902.113425000001</v>
      </c>
      <c r="J110" s="162">
        <f t="shared" ca="1" si="978"/>
        <v>17897.431499999999</v>
      </c>
      <c r="K110" s="162">
        <f t="shared" ca="1" si="978"/>
        <v>26049.226700000003</v>
      </c>
      <c r="L110" s="162">
        <f t="shared" ca="1" si="978"/>
        <v>40082.544800000003</v>
      </c>
      <c r="M110" s="162">
        <f t="shared" ca="1" si="978"/>
        <v>44468.4735</v>
      </c>
      <c r="N110" s="162">
        <f t="shared" ca="1" si="978"/>
        <v>48895.461275000009</v>
      </c>
      <c r="O110" s="162">
        <f t="shared" ca="1" si="978"/>
        <v>56359.121275000005</v>
      </c>
      <c r="P110" s="162">
        <f t="shared" ca="1" si="978"/>
        <v>62936.988825000008</v>
      </c>
      <c r="Q110" s="162">
        <f t="shared" ca="1" si="978"/>
        <v>70845.807925000001</v>
      </c>
      <c r="R110" s="162">
        <f t="shared" ca="1" si="978"/>
        <v>69122.485000000001</v>
      </c>
      <c r="S110" s="162">
        <f t="shared" ca="1" si="978"/>
        <v>74325.771500000017</v>
      </c>
      <c r="T110" s="162">
        <f t="shared" ca="1" si="978"/>
        <v>109305.98207500002</v>
      </c>
      <c r="U110" s="162">
        <f t="shared" ca="1" si="978"/>
        <v>143806.36500000002</v>
      </c>
      <c r="V110" s="162">
        <f t="shared" ca="1" si="978"/>
        <v>179009.040175</v>
      </c>
      <c r="W110" s="162">
        <f t="shared" ca="1" si="978"/>
        <v>197849.78792500001</v>
      </c>
      <c r="X110" s="162">
        <f t="shared" ref="X110:Y110" ca="1" si="979">+X107+X109</f>
        <v>201849.62950000004</v>
      </c>
      <c r="Y110" s="162">
        <f t="shared" ca="1" si="979"/>
        <v>266353.68917500001</v>
      </c>
      <c r="Z110" s="162">
        <f t="shared" ref="Z110:AA110" ca="1" si="980">+Z107+Z109</f>
        <v>268402.14500000002</v>
      </c>
      <c r="AA110" s="162">
        <f t="shared" ca="1" si="980"/>
        <v>268402.14500000002</v>
      </c>
      <c r="AB110" s="21">
        <f t="shared" ref="AA110:AD110" ca="1" si="981">+AB107+AB109</f>
        <v>315841.94316835143</v>
      </c>
      <c r="AC110" s="21">
        <f t="shared" ca="1" si="981"/>
        <v>341376.67350701342</v>
      </c>
      <c r="AD110" s="21">
        <f t="shared" ca="1" si="981"/>
        <v>403163.08994847577</v>
      </c>
      <c r="AE110" s="21">
        <f t="shared" ref="AE110" ca="1" si="982">+AE107+AE109</f>
        <v>475065.77888991084</v>
      </c>
      <c r="AL110" s="162" t="e">
        <f t="shared" ref="AL110" ca="1" si="983">+AL107+AL109</f>
        <v>#NAME?</v>
      </c>
      <c r="AM110" s="162" t="e">
        <f t="shared" ref="AM110:AO110" ca="1" si="984">+AM107+AM109</f>
        <v>#NAME?</v>
      </c>
      <c r="AN110" s="162" t="e">
        <f t="shared" ca="1" si="984"/>
        <v>#NAME?</v>
      </c>
      <c r="AO110" s="162" t="e">
        <f t="shared" ca="1" si="984"/>
        <v>#NAME?</v>
      </c>
      <c r="AP110" s="162" t="e">
        <f t="shared" ref="AP110:CD110" ca="1" si="985">+AP107+AP109</f>
        <v>#NAME?</v>
      </c>
      <c r="AQ110" s="162" t="e">
        <f t="shared" ca="1" si="985"/>
        <v>#NAME?</v>
      </c>
      <c r="AR110" s="162" t="e">
        <f t="shared" ca="1" si="985"/>
        <v>#NAME?</v>
      </c>
      <c r="AS110" s="162" t="e">
        <f t="shared" ca="1" si="985"/>
        <v>#NAME?</v>
      </c>
      <c r="AT110" s="162" t="e">
        <f t="shared" ca="1" si="985"/>
        <v>#NAME?</v>
      </c>
      <c r="AU110" s="162" t="e">
        <f t="shared" ca="1" si="985"/>
        <v>#NAME?</v>
      </c>
      <c r="AV110" s="162" t="e">
        <f t="shared" ca="1" si="985"/>
        <v>#NAME?</v>
      </c>
      <c r="AW110" s="162" t="e">
        <f t="shared" ca="1" si="985"/>
        <v>#NAME?</v>
      </c>
      <c r="AX110" s="162" t="e">
        <f t="shared" ca="1" si="985"/>
        <v>#NAME?</v>
      </c>
      <c r="AY110" s="162" t="e">
        <f t="shared" ca="1" si="985"/>
        <v>#NAME?</v>
      </c>
      <c r="AZ110" s="162" t="e">
        <f t="shared" ca="1" si="985"/>
        <v>#NAME?</v>
      </c>
      <c r="BA110" s="162" t="e">
        <f t="shared" ca="1" si="985"/>
        <v>#NAME?</v>
      </c>
      <c r="BB110" s="162" t="e">
        <f t="shared" ca="1" si="985"/>
        <v>#NAME?</v>
      </c>
      <c r="BC110" s="162" t="e">
        <f t="shared" ca="1" si="985"/>
        <v>#NAME?</v>
      </c>
      <c r="BD110" s="162" t="e">
        <f t="shared" ca="1" si="985"/>
        <v>#NAME?</v>
      </c>
      <c r="BE110" s="162" t="e">
        <f t="shared" ca="1" si="985"/>
        <v>#NAME?</v>
      </c>
      <c r="BF110" s="162" t="e">
        <f t="shared" ca="1" si="985"/>
        <v>#NAME?</v>
      </c>
      <c r="BG110" s="162" t="e">
        <f t="shared" ca="1" si="985"/>
        <v>#NAME?</v>
      </c>
      <c r="BH110" s="162" t="e">
        <f t="shared" ca="1" si="985"/>
        <v>#NAME?</v>
      </c>
      <c r="BI110" s="162" t="e">
        <f t="shared" ca="1" si="985"/>
        <v>#NAME?</v>
      </c>
      <c r="BJ110" s="162" t="e">
        <f t="shared" ca="1" si="985"/>
        <v>#NAME?</v>
      </c>
      <c r="BK110" s="162" t="e">
        <f t="shared" ca="1" si="985"/>
        <v>#NAME?</v>
      </c>
      <c r="BL110" s="162" t="e">
        <f t="shared" ca="1" si="985"/>
        <v>#NAME?</v>
      </c>
      <c r="BM110" s="162" t="e">
        <f t="shared" ca="1" si="985"/>
        <v>#NAME?</v>
      </c>
      <c r="BN110" s="162" t="e">
        <f t="shared" ca="1" si="985"/>
        <v>#NAME?</v>
      </c>
      <c r="BO110" s="162" t="e">
        <f t="shared" ca="1" si="985"/>
        <v>#NAME?</v>
      </c>
      <c r="BP110" s="162" t="e">
        <f t="shared" ca="1" si="985"/>
        <v>#NAME?</v>
      </c>
      <c r="BQ110" s="162" t="e">
        <f t="shared" ca="1" si="985"/>
        <v>#NAME?</v>
      </c>
      <c r="BR110" s="162" t="e">
        <f t="shared" ca="1" si="985"/>
        <v>#NAME?</v>
      </c>
      <c r="BS110" s="162" t="e">
        <f t="shared" ca="1" si="985"/>
        <v>#NAME?</v>
      </c>
      <c r="BT110" s="162" t="e">
        <f t="shared" ca="1" si="985"/>
        <v>#NAME?</v>
      </c>
      <c r="BU110" s="162" t="e">
        <f t="shared" ca="1" si="985"/>
        <v>#NAME?</v>
      </c>
      <c r="BV110" s="162" t="e">
        <f t="shared" ca="1" si="985"/>
        <v>#NAME?</v>
      </c>
      <c r="BW110" s="162" t="e">
        <f t="shared" ca="1" si="985"/>
        <v>#NAME?</v>
      </c>
      <c r="BX110" s="162" t="e">
        <f t="shared" ca="1" si="985"/>
        <v>#NAME?</v>
      </c>
      <c r="BY110" s="162" t="e">
        <f t="shared" ca="1" si="985"/>
        <v>#NAME?</v>
      </c>
      <c r="BZ110" s="162" t="e">
        <f t="shared" ca="1" si="985"/>
        <v>#NAME?</v>
      </c>
      <c r="CA110" s="162" t="e">
        <f t="shared" ca="1" si="985"/>
        <v>#NAME?</v>
      </c>
      <c r="CB110" s="162" t="e">
        <f t="shared" ca="1" si="985"/>
        <v>#NAME?</v>
      </c>
      <c r="CC110" s="162" t="e">
        <f t="shared" ca="1" si="985"/>
        <v>#NAME?</v>
      </c>
      <c r="CD110" s="162" t="e">
        <f t="shared" ca="1" si="985"/>
        <v>#NAME?</v>
      </c>
      <c r="CE110" s="162" t="e">
        <f t="shared" ref="CE110:CF110" ca="1" si="986">+CE107+CE109</f>
        <v>#NAME?</v>
      </c>
      <c r="CF110" s="162" t="e">
        <f t="shared" ca="1" si="986"/>
        <v>#NAME?</v>
      </c>
      <c r="CG110" s="162" t="e">
        <f t="shared" ref="CG110:CH110" ca="1" si="987">+CG107+CG109</f>
        <v>#NAME?</v>
      </c>
      <c r="CH110" s="162" t="e">
        <f t="shared" ca="1" si="987"/>
        <v>#NAME?</v>
      </c>
      <c r="CI110" s="162" t="e">
        <f t="shared" ref="CI110:CJ110" ca="1" si="988">+CI107+CI109</f>
        <v>#NAME?</v>
      </c>
      <c r="CJ110" s="162" t="e">
        <f t="shared" ca="1" si="988"/>
        <v>#NAME?</v>
      </c>
      <c r="CK110" s="162" t="e">
        <f t="shared" ref="CK110:CL110" ca="1" si="989">+CK107+CK109</f>
        <v>#NAME?</v>
      </c>
      <c r="CL110" s="162" t="e">
        <f t="shared" ca="1" si="989"/>
        <v>#NAME?</v>
      </c>
      <c r="CM110" s="21" t="e">
        <f t="shared" ref="CM110:DB110" ca="1" si="990">+CM107+CM109</f>
        <v>#NAME?</v>
      </c>
      <c r="CN110" s="21" t="e">
        <f t="shared" ca="1" si="990"/>
        <v>#NAME?</v>
      </c>
      <c r="CO110" s="21" t="e">
        <f t="shared" ca="1" si="990"/>
        <v>#NAME?</v>
      </c>
      <c r="CP110" s="21" t="e">
        <f t="shared" ca="1" si="990"/>
        <v>#NAME?</v>
      </c>
      <c r="CQ110" s="21" t="e">
        <f t="shared" ca="1" si="990"/>
        <v>#NAME?</v>
      </c>
      <c r="CR110" s="21" t="e">
        <f t="shared" ca="1" si="990"/>
        <v>#NAME?</v>
      </c>
      <c r="CS110" s="21" t="e">
        <f t="shared" ca="1" si="990"/>
        <v>#NAME?</v>
      </c>
      <c r="CT110" s="21" t="e">
        <f t="shared" ca="1" si="990"/>
        <v>#NAME?</v>
      </c>
      <c r="CU110" s="21" t="e">
        <f t="shared" ca="1" si="990"/>
        <v>#NAME?</v>
      </c>
      <c r="CV110" s="21" t="e">
        <f t="shared" ca="1" si="990"/>
        <v>#NAME?</v>
      </c>
      <c r="CW110" s="21" t="e">
        <f t="shared" ca="1" si="990"/>
        <v>#NAME?</v>
      </c>
      <c r="CX110" s="21" t="e">
        <f t="shared" ca="1" si="990"/>
        <v>#NAME?</v>
      </c>
      <c r="CY110" s="21" t="e">
        <f t="shared" ca="1" si="990"/>
        <v>#NAME?</v>
      </c>
      <c r="CZ110" s="21" t="e">
        <f t="shared" ca="1" si="990"/>
        <v>#NAME?</v>
      </c>
      <c r="DA110" s="21" t="e">
        <f t="shared" ca="1" si="990"/>
        <v>#NAME?</v>
      </c>
      <c r="DB110" s="21" t="e">
        <f t="shared" ca="1" si="990"/>
        <v>#NAME?</v>
      </c>
      <c r="DE110" s="22"/>
      <c r="DF110" s="162">
        <v>257046.8455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1">+C108+C109</f>
        <v>#NAME?</v>
      </c>
      <c r="D111" s="162" t="e">
        <f t="shared" ca="1" si="991"/>
        <v>#NAME?</v>
      </c>
      <c r="E111" s="162">
        <f t="shared" ca="1" si="991"/>
        <v>4748.81005</v>
      </c>
      <c r="F111" s="162">
        <f t="shared" ca="1" si="991"/>
        <v>4664.3438999999998</v>
      </c>
      <c r="G111" s="162">
        <f t="shared" ca="1" si="991"/>
        <v>4937.4304750000001</v>
      </c>
      <c r="H111" s="162">
        <f t="shared" ca="1" si="991"/>
        <v>7575.3384000000005</v>
      </c>
      <c r="I111" s="162">
        <f t="shared" ca="1" si="991"/>
        <v>8316.6633000000002</v>
      </c>
      <c r="J111" s="162">
        <f t="shared" ca="1" si="991"/>
        <v>11341.693575000001</v>
      </c>
      <c r="K111" s="162">
        <f t="shared" ca="1" si="991"/>
        <v>12917.985775000001</v>
      </c>
      <c r="L111" s="162">
        <f t="shared" ca="1" si="991"/>
        <v>23268.732950000001</v>
      </c>
      <c r="M111" s="162">
        <f t="shared" ca="1" si="991"/>
        <v>31076.430000000004</v>
      </c>
      <c r="N111" s="162">
        <f t="shared" ca="1" si="991"/>
        <v>38339.465000000004</v>
      </c>
      <c r="O111" s="162">
        <f t="shared" ca="1" si="991"/>
        <v>42332.184999999998</v>
      </c>
      <c r="P111" s="162">
        <f t="shared" ca="1" si="991"/>
        <v>42800.234000000004</v>
      </c>
      <c r="Q111" s="162">
        <f t="shared" ca="1" si="991"/>
        <v>51553.648500000003</v>
      </c>
      <c r="R111" s="162">
        <f t="shared" ca="1" si="991"/>
        <v>45982.885000000009</v>
      </c>
      <c r="S111" s="162">
        <f t="shared" ca="1" si="991"/>
        <v>53104.83</v>
      </c>
      <c r="T111" s="162">
        <f t="shared" ca="1" si="991"/>
        <v>62908.191624999992</v>
      </c>
      <c r="U111" s="162">
        <f t="shared" ca="1" si="991"/>
        <v>94423.566149999999</v>
      </c>
      <c r="V111" s="162">
        <f t="shared" ca="1" si="991"/>
        <v>118918.39142500001</v>
      </c>
      <c r="W111" s="162">
        <f t="shared" ca="1" si="991"/>
        <v>152535.22</v>
      </c>
      <c r="X111" s="162">
        <f t="shared" ref="X111:Y111" ca="1" si="992">+X108+X109</f>
        <v>153131.13</v>
      </c>
      <c r="Y111" s="162">
        <f t="shared" ca="1" si="992"/>
        <v>186013.96212499999</v>
      </c>
      <c r="Z111" s="162">
        <f t="shared" ref="Z111:AA111" ca="1" si="993">+Z108+Z109</f>
        <v>204575.41500000001</v>
      </c>
      <c r="AA111" s="162">
        <f t="shared" ca="1" si="993"/>
        <v>204575.41500000001</v>
      </c>
      <c r="AB111" s="21">
        <f t="shared" ref="AA111:AD111" ca="1" si="994">+AB108+AB109</f>
        <v>230792.18227488437</v>
      </c>
      <c r="AC111" s="21">
        <f t="shared" ca="1" si="994"/>
        <v>279648.82605333324</v>
      </c>
      <c r="AD111" s="21">
        <f t="shared" ca="1" si="994"/>
        <v>301011.87059871916</v>
      </c>
      <c r="AE111" s="21">
        <f t="shared" ref="AE111" ca="1" si="995">+AE108+AE109</f>
        <v>355769.24696578359</v>
      </c>
      <c r="AL111" s="162" t="e">
        <f t="shared" ref="AL111:AM111" ca="1" si="996">+AL108+AL109</f>
        <v>#NAME?</v>
      </c>
      <c r="AM111" s="162" t="e">
        <f t="shared" ca="1" si="996"/>
        <v>#NAME?</v>
      </c>
      <c r="AN111" s="162" t="e">
        <f t="shared" ref="AN111:AO111" ca="1" si="997">+AN108+AN109</f>
        <v>#NAME?</v>
      </c>
      <c r="AO111" s="162" t="e">
        <f t="shared" ca="1" si="997"/>
        <v>#NAME?</v>
      </c>
      <c r="AP111" s="162" t="e">
        <f t="shared" ref="AP111:CD111" ca="1" si="998">+AP108+AP109</f>
        <v>#NAME?</v>
      </c>
      <c r="AQ111" s="162" t="e">
        <f t="shared" ca="1" si="998"/>
        <v>#NAME?</v>
      </c>
      <c r="AR111" s="162" t="e">
        <f t="shared" ca="1" si="998"/>
        <v>#NAME?</v>
      </c>
      <c r="AS111" s="162" t="e">
        <f t="shared" ca="1" si="998"/>
        <v>#NAME?</v>
      </c>
      <c r="AT111" s="162" t="e">
        <f t="shared" ca="1" si="998"/>
        <v>#NAME?</v>
      </c>
      <c r="AU111" s="162" t="e">
        <f t="shared" ca="1" si="998"/>
        <v>#NAME?</v>
      </c>
      <c r="AV111" s="162" t="e">
        <f t="shared" ca="1" si="998"/>
        <v>#NAME?</v>
      </c>
      <c r="AW111" s="162" t="e">
        <f t="shared" ca="1" si="998"/>
        <v>#NAME?</v>
      </c>
      <c r="AX111" s="162" t="e">
        <f t="shared" ca="1" si="998"/>
        <v>#NAME?</v>
      </c>
      <c r="AY111" s="162" t="e">
        <f t="shared" ca="1" si="998"/>
        <v>#NAME?</v>
      </c>
      <c r="AZ111" s="162" t="e">
        <f t="shared" ca="1" si="998"/>
        <v>#NAME?</v>
      </c>
      <c r="BA111" s="162" t="e">
        <f t="shared" ca="1" si="998"/>
        <v>#NAME?</v>
      </c>
      <c r="BB111" s="162" t="e">
        <f t="shared" ca="1" si="998"/>
        <v>#NAME?</v>
      </c>
      <c r="BC111" s="162" t="e">
        <f t="shared" ca="1" si="998"/>
        <v>#NAME?</v>
      </c>
      <c r="BD111" s="162" t="e">
        <f t="shared" ca="1" si="998"/>
        <v>#NAME?</v>
      </c>
      <c r="BE111" s="162" t="e">
        <f t="shared" ca="1" si="998"/>
        <v>#NAME?</v>
      </c>
      <c r="BF111" s="162" t="e">
        <f t="shared" ca="1" si="998"/>
        <v>#NAME?</v>
      </c>
      <c r="BG111" s="162" t="e">
        <f t="shared" ca="1" si="998"/>
        <v>#NAME?</v>
      </c>
      <c r="BH111" s="162" t="e">
        <f t="shared" ca="1" si="998"/>
        <v>#NAME?</v>
      </c>
      <c r="BI111" s="162" t="e">
        <f t="shared" ca="1" si="998"/>
        <v>#NAME?</v>
      </c>
      <c r="BJ111" s="162" t="e">
        <f t="shared" ca="1" si="998"/>
        <v>#NAME?</v>
      </c>
      <c r="BK111" s="162" t="e">
        <f t="shared" ca="1" si="998"/>
        <v>#NAME?</v>
      </c>
      <c r="BL111" s="162" t="e">
        <f t="shared" ca="1" si="998"/>
        <v>#NAME?</v>
      </c>
      <c r="BM111" s="162" t="e">
        <f t="shared" ca="1" si="998"/>
        <v>#NAME?</v>
      </c>
      <c r="BN111" s="162" t="e">
        <f t="shared" ca="1" si="998"/>
        <v>#NAME?</v>
      </c>
      <c r="BO111" s="162" t="e">
        <f t="shared" ca="1" si="998"/>
        <v>#NAME?</v>
      </c>
      <c r="BP111" s="162" t="e">
        <f t="shared" ca="1" si="998"/>
        <v>#NAME?</v>
      </c>
      <c r="BQ111" s="162" t="e">
        <f t="shared" ca="1" si="998"/>
        <v>#NAME?</v>
      </c>
      <c r="BR111" s="162" t="e">
        <f t="shared" ca="1" si="998"/>
        <v>#NAME?</v>
      </c>
      <c r="BS111" s="162" t="e">
        <f t="shared" ca="1" si="998"/>
        <v>#NAME?</v>
      </c>
      <c r="BT111" s="162" t="e">
        <f t="shared" ca="1" si="998"/>
        <v>#NAME?</v>
      </c>
      <c r="BU111" s="162" t="e">
        <f t="shared" ca="1" si="998"/>
        <v>#NAME?</v>
      </c>
      <c r="BV111" s="162" t="e">
        <f t="shared" ca="1" si="998"/>
        <v>#NAME?</v>
      </c>
      <c r="BW111" s="162" t="e">
        <f t="shared" ca="1" si="998"/>
        <v>#NAME?</v>
      </c>
      <c r="BX111" s="162" t="e">
        <f t="shared" ca="1" si="998"/>
        <v>#NAME?</v>
      </c>
      <c r="BY111" s="162" t="e">
        <f t="shared" ca="1" si="998"/>
        <v>#NAME?</v>
      </c>
      <c r="BZ111" s="162" t="e">
        <f t="shared" ca="1" si="998"/>
        <v>#NAME?</v>
      </c>
      <c r="CA111" s="162" t="e">
        <f t="shared" ca="1" si="998"/>
        <v>#NAME?</v>
      </c>
      <c r="CB111" s="162" t="e">
        <f t="shared" ca="1" si="998"/>
        <v>#NAME?</v>
      </c>
      <c r="CC111" s="162" t="e">
        <f t="shared" ca="1" si="998"/>
        <v>#NAME?</v>
      </c>
      <c r="CD111" s="162" t="e">
        <f t="shared" ca="1" si="998"/>
        <v>#NAME?</v>
      </c>
      <c r="CE111" s="162" t="e">
        <f t="shared" ref="CE111:CF111" ca="1" si="999">+CE108+CE109</f>
        <v>#NAME?</v>
      </c>
      <c r="CF111" s="162" t="e">
        <f t="shared" ca="1" si="999"/>
        <v>#NAME?</v>
      </c>
      <c r="CG111" s="162" t="e">
        <f t="shared" ref="CG111:CH111" ca="1" si="1000">+CG108+CG109</f>
        <v>#NAME?</v>
      </c>
      <c r="CH111" s="162" t="e">
        <f t="shared" ca="1" si="1000"/>
        <v>#NAME?</v>
      </c>
      <c r="CI111" s="162" t="e">
        <f t="shared" ref="CI111:CJ111" ca="1" si="1001">+CI108+CI109</f>
        <v>#NAME?</v>
      </c>
      <c r="CJ111" s="162" t="e">
        <f t="shared" ca="1" si="1001"/>
        <v>#NAME?</v>
      </c>
      <c r="CK111" s="162" t="e">
        <f t="shared" ref="CK111:CL111" ca="1" si="1002">+CK108+CK109</f>
        <v>#NAME?</v>
      </c>
      <c r="CL111" s="162" t="e">
        <f t="shared" ca="1" si="1002"/>
        <v>#NAME?</v>
      </c>
      <c r="CM111" s="21" t="e">
        <f t="shared" ref="CM111:DB111" ca="1" si="1003">+CM108+CM109</f>
        <v>#NAME?</v>
      </c>
      <c r="CN111" s="21" t="e">
        <f t="shared" ca="1" si="1003"/>
        <v>#NAME?</v>
      </c>
      <c r="CO111" s="21" t="e">
        <f t="shared" ca="1" si="1003"/>
        <v>#NAME?</v>
      </c>
      <c r="CP111" s="21" t="e">
        <f t="shared" ca="1" si="1003"/>
        <v>#NAME?</v>
      </c>
      <c r="CQ111" s="21" t="e">
        <f t="shared" ca="1" si="1003"/>
        <v>#NAME?</v>
      </c>
      <c r="CR111" s="21" t="e">
        <f t="shared" ca="1" si="1003"/>
        <v>#NAME?</v>
      </c>
      <c r="CS111" s="21" t="e">
        <f t="shared" ca="1" si="1003"/>
        <v>#NAME?</v>
      </c>
      <c r="CT111" s="21" t="e">
        <f t="shared" ca="1" si="1003"/>
        <v>#NAME?</v>
      </c>
      <c r="CU111" s="21" t="e">
        <f t="shared" ca="1" si="1003"/>
        <v>#NAME?</v>
      </c>
      <c r="CV111" s="21" t="e">
        <f t="shared" ca="1" si="1003"/>
        <v>#NAME?</v>
      </c>
      <c r="CW111" s="21" t="e">
        <f t="shared" ca="1" si="1003"/>
        <v>#NAME?</v>
      </c>
      <c r="CX111" s="21" t="e">
        <f t="shared" ca="1" si="1003"/>
        <v>#NAME?</v>
      </c>
      <c r="CY111" s="21" t="e">
        <f t="shared" ca="1" si="1003"/>
        <v>#NAME?</v>
      </c>
      <c r="CZ111" s="21" t="e">
        <f t="shared" ca="1" si="1003"/>
        <v>#NAME?</v>
      </c>
      <c r="DA111" s="21" t="e">
        <f t="shared" ca="1" si="1003"/>
        <v>#NAME?</v>
      </c>
      <c r="DB111" s="21" t="e">
        <f t="shared" ca="1" si="1003"/>
        <v>#NAME?</v>
      </c>
      <c r="DE111" s="22"/>
      <c r="DF111" s="162">
        <v>205975.82</v>
      </c>
    </row>
    <row r="112" spans="1:110" s="162" customFormat="1" x14ac:dyDescent="0.2">
      <c r="A112" s="49" t="s">
        <v>13</v>
      </c>
      <c r="B112" s="162" t="e">
        <f t="shared" ref="B112:AE112" ca="1" si="1004">+B28</f>
        <v>#NAME?</v>
      </c>
      <c r="C112" s="162" t="e">
        <f t="shared" ca="1" si="1004"/>
        <v>#NAME?</v>
      </c>
      <c r="D112" s="162" t="e">
        <f t="shared" ca="1" si="1004"/>
        <v>#NAME?</v>
      </c>
      <c r="E112" s="162" t="e">
        <f t="shared" ca="1" si="1004"/>
        <v>#NAME?</v>
      </c>
      <c r="F112" s="162" t="e">
        <f t="shared" ca="1" si="1004"/>
        <v>#NAME?</v>
      </c>
      <c r="G112" s="162" t="e">
        <f t="shared" ca="1" si="1004"/>
        <v>#NAME?</v>
      </c>
      <c r="H112" s="162" t="e">
        <f t="shared" ca="1" si="1004"/>
        <v>#NAME?</v>
      </c>
      <c r="I112" s="162" t="e">
        <f t="shared" ca="1" si="1004"/>
        <v>#NAME?</v>
      </c>
      <c r="J112" s="162" t="e">
        <f t="shared" ca="1" si="1004"/>
        <v>#NAME?</v>
      </c>
      <c r="K112" s="162" t="e">
        <f t="shared" ca="1" si="1004"/>
        <v>#NAME?</v>
      </c>
      <c r="L112" s="162" t="e">
        <f t="shared" ca="1" si="1004"/>
        <v>#NAME?</v>
      </c>
      <c r="M112" s="162" t="e">
        <f t="shared" ca="1" si="1004"/>
        <v>#NAME?</v>
      </c>
      <c r="N112" s="162" t="e">
        <f t="shared" ca="1" si="1004"/>
        <v>#NAME?</v>
      </c>
      <c r="O112" s="162" t="e">
        <f t="shared" ca="1" si="1004"/>
        <v>#NAME?</v>
      </c>
      <c r="P112" s="162" t="e">
        <f t="shared" ca="1" si="1004"/>
        <v>#NAME?</v>
      </c>
      <c r="Q112" s="162" t="e">
        <f t="shared" ca="1" si="1004"/>
        <v>#NAME?</v>
      </c>
      <c r="R112" s="162" t="e">
        <f t="shared" ca="1" si="1004"/>
        <v>#NAME?</v>
      </c>
      <c r="S112" s="162" t="e">
        <f t="shared" ca="1" si="1004"/>
        <v>#NAME?</v>
      </c>
      <c r="T112" s="162" t="e">
        <f t="shared" ca="1" si="1004"/>
        <v>#NAME?</v>
      </c>
      <c r="U112" s="162" t="e">
        <f t="shared" ca="1" si="1004"/>
        <v>#NAME?</v>
      </c>
      <c r="V112" s="162" t="e">
        <f t="shared" ca="1" si="1004"/>
        <v>#NAME?</v>
      </c>
      <c r="W112" s="162" t="e">
        <f t="shared" ca="1" si="1004"/>
        <v>#NAME?</v>
      </c>
      <c r="X112" s="162" t="e">
        <f t="shared" ca="1" si="1004"/>
        <v>#NAME?</v>
      </c>
      <c r="Y112" s="162" t="e">
        <f t="shared" ca="1" si="1004"/>
        <v>#NAME?</v>
      </c>
      <c r="Z112" s="162" t="e">
        <f t="shared" ca="1" si="1004"/>
        <v>#NAME?</v>
      </c>
      <c r="AA112" s="162" t="e">
        <f t="shared" ref="AA112" ca="1" si="1005">+AA28</f>
        <v>#NAME?</v>
      </c>
      <c r="AB112" s="21" t="e">
        <f t="shared" ca="1" si="1004"/>
        <v>#NAME?</v>
      </c>
      <c r="AC112" s="21" t="e">
        <f t="shared" ca="1" si="1004"/>
        <v>#NAME?</v>
      </c>
      <c r="AD112" s="21" t="e">
        <f t="shared" ca="1" si="1004"/>
        <v>#NAME?</v>
      </c>
      <c r="AE112" s="21" t="e">
        <f t="shared" ca="1" si="1004"/>
        <v>#NAME?</v>
      </c>
      <c r="AL112" s="162" t="e">
        <f t="shared" ref="AL112:BQ112" ca="1" si="1006">+SUM(AI28:AL28)</f>
        <v>#NAME?</v>
      </c>
      <c r="AM112" s="162" t="e">
        <f t="shared" ca="1" si="1006"/>
        <v>#NAME?</v>
      </c>
      <c r="AN112" s="162" t="e">
        <f t="shared" ca="1" si="1006"/>
        <v>#NAME?</v>
      </c>
      <c r="AO112" s="162" t="e">
        <f t="shared" ca="1" si="1006"/>
        <v>#NAME?</v>
      </c>
      <c r="AP112" s="162" t="e">
        <f t="shared" ca="1" si="1006"/>
        <v>#NAME?</v>
      </c>
      <c r="AQ112" s="162" t="e">
        <f t="shared" ca="1" si="1006"/>
        <v>#NAME?</v>
      </c>
      <c r="AR112" s="162" t="e">
        <f t="shared" ca="1" si="1006"/>
        <v>#NAME?</v>
      </c>
      <c r="AS112" s="162" t="e">
        <f t="shared" ca="1" si="1006"/>
        <v>#NAME?</v>
      </c>
      <c r="AT112" s="162" t="e">
        <f t="shared" ca="1" si="1006"/>
        <v>#NAME?</v>
      </c>
      <c r="AU112" s="162" t="e">
        <f t="shared" ca="1" si="1006"/>
        <v>#NAME?</v>
      </c>
      <c r="AV112" s="162" t="e">
        <f t="shared" ca="1" si="1006"/>
        <v>#NAME?</v>
      </c>
      <c r="AW112" s="162" t="e">
        <f t="shared" ca="1" si="1006"/>
        <v>#NAME?</v>
      </c>
      <c r="AX112" s="162" t="e">
        <f t="shared" ca="1" si="1006"/>
        <v>#NAME?</v>
      </c>
      <c r="AY112" s="162" t="e">
        <f t="shared" ca="1" si="1006"/>
        <v>#NAME?</v>
      </c>
      <c r="AZ112" s="162" t="e">
        <f t="shared" ca="1" si="1006"/>
        <v>#NAME?</v>
      </c>
      <c r="BA112" s="162" t="e">
        <f t="shared" ca="1" si="1006"/>
        <v>#NAME?</v>
      </c>
      <c r="BB112" s="162" t="e">
        <f t="shared" ca="1" si="1006"/>
        <v>#NAME?</v>
      </c>
      <c r="BC112" s="162" t="e">
        <f t="shared" ca="1" si="1006"/>
        <v>#NAME?</v>
      </c>
      <c r="BD112" s="162" t="e">
        <f t="shared" ca="1" si="1006"/>
        <v>#NAME?</v>
      </c>
      <c r="BE112" s="162" t="e">
        <f t="shared" ca="1" si="1006"/>
        <v>#NAME?</v>
      </c>
      <c r="BF112" s="162" t="e">
        <f t="shared" ca="1" si="1006"/>
        <v>#NAME?</v>
      </c>
      <c r="BG112" s="162" t="e">
        <f t="shared" ca="1" si="1006"/>
        <v>#NAME?</v>
      </c>
      <c r="BH112" s="162" t="e">
        <f t="shared" ca="1" si="1006"/>
        <v>#NAME?</v>
      </c>
      <c r="BI112" s="162" t="e">
        <f t="shared" ca="1" si="1006"/>
        <v>#NAME?</v>
      </c>
      <c r="BJ112" s="162" t="e">
        <f t="shared" ca="1" si="1006"/>
        <v>#NAME?</v>
      </c>
      <c r="BK112" s="162" t="e">
        <f t="shared" ca="1" si="1006"/>
        <v>#NAME?</v>
      </c>
      <c r="BL112" s="162" t="e">
        <f t="shared" ca="1" si="1006"/>
        <v>#NAME?</v>
      </c>
      <c r="BM112" s="162" t="e">
        <f t="shared" ca="1" si="1006"/>
        <v>#NAME?</v>
      </c>
      <c r="BN112" s="162" t="e">
        <f t="shared" ca="1" si="1006"/>
        <v>#NAME?</v>
      </c>
      <c r="BO112" s="162" t="e">
        <f t="shared" ca="1" si="1006"/>
        <v>#NAME?</v>
      </c>
      <c r="BP112" s="162" t="e">
        <f t="shared" ca="1" si="1006"/>
        <v>#NAME?</v>
      </c>
      <c r="BQ112" s="162" t="e">
        <f t="shared" ca="1" si="1006"/>
        <v>#NAME?</v>
      </c>
      <c r="BR112" s="162" t="e">
        <f t="shared" ref="BR112:CW112" ca="1" si="1007">+SUM(BO28:BR28)</f>
        <v>#NAME?</v>
      </c>
      <c r="BS112" s="162" t="e">
        <f t="shared" ca="1" si="1007"/>
        <v>#NAME?</v>
      </c>
      <c r="BT112" s="162" t="e">
        <f t="shared" ca="1" si="1007"/>
        <v>#NAME?</v>
      </c>
      <c r="BU112" s="162" t="e">
        <f t="shared" ca="1" si="1007"/>
        <v>#NAME?</v>
      </c>
      <c r="BV112" s="162" t="e">
        <f t="shared" ca="1" si="1007"/>
        <v>#NAME?</v>
      </c>
      <c r="BW112" s="162" t="e">
        <f t="shared" ca="1" si="1007"/>
        <v>#NAME?</v>
      </c>
      <c r="BX112" s="162" t="e">
        <f t="shared" ca="1" si="1007"/>
        <v>#NAME?</v>
      </c>
      <c r="BY112" s="162" t="e">
        <f t="shared" ca="1" si="1007"/>
        <v>#NAME?</v>
      </c>
      <c r="BZ112" s="162" t="e">
        <f t="shared" ca="1" si="1007"/>
        <v>#NAME?</v>
      </c>
      <c r="CA112" s="162" t="e">
        <f t="shared" ca="1" si="1007"/>
        <v>#NAME?</v>
      </c>
      <c r="CB112" s="162" t="e">
        <f t="shared" ca="1" si="1007"/>
        <v>#NAME?</v>
      </c>
      <c r="CC112" s="162" t="e">
        <f t="shared" ca="1" si="1007"/>
        <v>#NAME?</v>
      </c>
      <c r="CD112" s="162" t="e">
        <f t="shared" ca="1" si="1007"/>
        <v>#NAME?</v>
      </c>
      <c r="CE112" s="162" t="e">
        <f t="shared" ca="1" si="1007"/>
        <v>#NAME?</v>
      </c>
      <c r="CF112" s="162" t="e">
        <f t="shared" ca="1" si="1007"/>
        <v>#NAME?</v>
      </c>
      <c r="CG112" s="162" t="e">
        <f t="shared" ca="1" si="1007"/>
        <v>#NAME?</v>
      </c>
      <c r="CH112" s="162" t="e">
        <f t="shared" ca="1" si="1007"/>
        <v>#NAME?</v>
      </c>
      <c r="CI112" s="162" t="e">
        <f t="shared" ca="1" si="1007"/>
        <v>#NAME?</v>
      </c>
      <c r="CJ112" s="162" t="e">
        <f t="shared" ca="1" si="1007"/>
        <v>#NAME?</v>
      </c>
      <c r="CK112" s="162" t="e">
        <f t="shared" ca="1" si="1007"/>
        <v>#NAME?</v>
      </c>
      <c r="CL112" s="162" t="e">
        <f t="shared" ca="1" si="1007"/>
        <v>#NAME?</v>
      </c>
      <c r="CM112" s="21" t="e">
        <f t="shared" ca="1" si="1007"/>
        <v>#NAME?</v>
      </c>
      <c r="CN112" s="21" t="e">
        <f t="shared" ca="1" si="1007"/>
        <v>#NAME?</v>
      </c>
      <c r="CO112" s="21" t="e">
        <f t="shared" ca="1" si="1007"/>
        <v>#NAME?</v>
      </c>
      <c r="CP112" s="21" t="e">
        <f t="shared" ca="1" si="1007"/>
        <v>#NAME?</v>
      </c>
      <c r="CQ112" s="21" t="e">
        <f t="shared" ca="1" si="1007"/>
        <v>#NAME?</v>
      </c>
      <c r="CR112" s="21" t="e">
        <f t="shared" ca="1" si="1007"/>
        <v>#NAME?</v>
      </c>
      <c r="CS112" s="21" t="e">
        <f t="shared" ca="1" si="1007"/>
        <v>#NAME?</v>
      </c>
      <c r="CT112" s="21" t="e">
        <f t="shared" ca="1" si="1007"/>
        <v>#NAME?</v>
      </c>
      <c r="CU112" s="21" t="e">
        <f t="shared" ca="1" si="1007"/>
        <v>#NAME?</v>
      </c>
      <c r="CV112" s="21" t="e">
        <f t="shared" ca="1" si="1007"/>
        <v>#NAME?</v>
      </c>
      <c r="CW112" s="21" t="e">
        <f t="shared" ca="1" si="1007"/>
        <v>#NAME?</v>
      </c>
      <c r="CX112" s="21" t="e">
        <f t="shared" ref="CX112:DB112" ca="1" si="1008">+SUM(CU28:CX28)</f>
        <v>#NAME?</v>
      </c>
      <c r="CY112" s="21" t="e">
        <f t="shared" ca="1" si="1008"/>
        <v>#NAME?</v>
      </c>
      <c r="CZ112" s="21" t="e">
        <f t="shared" ca="1" si="1008"/>
        <v>#NAME?</v>
      </c>
      <c r="DA112" s="21" t="e">
        <f t="shared" ca="1" si="1008"/>
        <v>#NAME?</v>
      </c>
      <c r="DB112" s="21" t="e">
        <f t="shared" ca="1" si="1008"/>
        <v>#NAME?</v>
      </c>
      <c r="DE112" s="22"/>
      <c r="DF112" s="162">
        <v>5235.91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09">+C110/C112</f>
        <v>#NAME?</v>
      </c>
      <c r="D113" s="162" t="e">
        <f t="shared" ca="1" si="1009"/>
        <v>#NAME?</v>
      </c>
      <c r="E113" s="162">
        <f t="shared" ca="1" si="1009"/>
        <v>16.251673228158751</v>
      </c>
      <c r="F113" s="162">
        <f t="shared" ca="1" si="1009"/>
        <v>16.080918697851761</v>
      </c>
      <c r="G113" s="162">
        <f t="shared" ca="1" si="1009"/>
        <v>19.194205397305836</v>
      </c>
      <c r="H113" s="162">
        <f t="shared" ca="1" si="1009"/>
        <v>24.416864445931022</v>
      </c>
      <c r="I113" s="162">
        <f t="shared" ca="1" si="1009"/>
        <v>23.427803228187436</v>
      </c>
      <c r="J113" s="162">
        <f t="shared" ca="1" si="1009"/>
        <v>21.486938448614911</v>
      </c>
      <c r="K113" s="162">
        <f t="shared" ca="1" si="1009"/>
        <v>26.263380934477844</v>
      </c>
      <c r="L113" s="162">
        <f t="shared" ca="1" si="1009"/>
        <v>32.553454812492909</v>
      </c>
      <c r="M113" s="162">
        <f t="shared" ca="1" si="1009"/>
        <v>29.270980450236962</v>
      </c>
      <c r="N113" s="162">
        <f t="shared" ca="1" si="1009"/>
        <v>26.787043112516042</v>
      </c>
      <c r="O113" s="162">
        <f t="shared" ca="1" si="1009"/>
        <v>28.938026307006634</v>
      </c>
      <c r="P113" s="162">
        <f t="shared" ca="1" si="1009"/>
        <v>30.852826264394011</v>
      </c>
      <c r="Q113" s="162">
        <f t="shared" ca="1" si="1009"/>
        <v>45.56205612149742</v>
      </c>
      <c r="R113" s="162">
        <f t="shared" ca="1" si="1009"/>
        <v>37.366737123210662</v>
      </c>
      <c r="S113" s="162">
        <f t="shared" ca="1" si="1009"/>
        <v>35.451804410144391</v>
      </c>
      <c r="T113" s="162">
        <f t="shared" ca="1" si="1009"/>
        <v>41.773731789484124</v>
      </c>
      <c r="U113" s="162">
        <f t="shared" ca="1" si="1009"/>
        <v>49.176001600372047</v>
      </c>
      <c r="V113" s="162">
        <f t="shared" ca="1" si="1009"/>
        <v>55.999824868610375</v>
      </c>
      <c r="W113" s="162">
        <f t="shared" ca="1" si="1009"/>
        <v>55.538341546429379</v>
      </c>
      <c r="X113" s="162">
        <f t="shared" ref="X113:Y113" ca="1" si="1010">+X110/X112</f>
        <v>54.461369590614815</v>
      </c>
      <c r="Y113" s="162">
        <f t="shared" ca="1" si="1010"/>
        <v>45.584155241549041</v>
      </c>
      <c r="Z113" s="162">
        <f t="shared" ref="Z113:AA113" ca="1" si="1011">+Z110/Z112</f>
        <v>56.253108672005503</v>
      </c>
      <c r="AA113" s="162">
        <f t="shared" ca="1" si="1011"/>
        <v>56.253108672005503</v>
      </c>
      <c r="AB113" s="21">
        <f t="shared" ref="AA113:AD113" ca="1" si="1012">+AB110/AB112</f>
        <v>49.840576315768658</v>
      </c>
      <c r="AC113" s="21">
        <f t="shared" ca="1" si="1012"/>
        <v>51.617913493306936</v>
      </c>
      <c r="AD113" s="21">
        <f t="shared" ca="1" si="1012"/>
        <v>55.486044764253826</v>
      </c>
      <c r="AE113" s="21">
        <f t="shared" ref="AE113" ca="1" si="1013">+AE110/AE112</f>
        <v>59.425786463337239</v>
      </c>
      <c r="AL113" s="162" t="e">
        <f t="shared" ref="AL113" ca="1" si="1014">+AL110/AL112</f>
        <v>#NAME?</v>
      </c>
      <c r="AM113" s="162" t="e">
        <f t="shared" ref="AM113:AO113" ca="1" si="1015">+AM110/AM112</f>
        <v>#NAME?</v>
      </c>
      <c r="AN113" s="162" t="e">
        <f t="shared" ca="1" si="1015"/>
        <v>#NAME?</v>
      </c>
      <c r="AO113" s="162" t="e">
        <f t="shared" ca="1" si="1015"/>
        <v>#NAME?</v>
      </c>
      <c r="AP113" s="162" t="e">
        <f t="shared" ref="AP113:CD113" ca="1" si="1016">+AP110/AP112</f>
        <v>#NAME?</v>
      </c>
      <c r="AQ113" s="162" t="e">
        <f t="shared" ca="1" si="1016"/>
        <v>#NAME?</v>
      </c>
      <c r="AR113" s="162" t="e">
        <f t="shared" ca="1" si="1016"/>
        <v>#NAME?</v>
      </c>
      <c r="AS113" s="162" t="e">
        <f t="shared" ca="1" si="1016"/>
        <v>#NAME?</v>
      </c>
      <c r="AT113" s="162" t="e">
        <f t="shared" ca="1" si="1016"/>
        <v>#NAME?</v>
      </c>
      <c r="AU113" s="162" t="e">
        <f t="shared" ca="1" si="1016"/>
        <v>#NAME?</v>
      </c>
      <c r="AV113" s="162" t="e">
        <f t="shared" ca="1" si="1016"/>
        <v>#NAME?</v>
      </c>
      <c r="AW113" s="162" t="e">
        <f t="shared" ca="1" si="1016"/>
        <v>#NAME?</v>
      </c>
      <c r="AX113" s="162" t="e">
        <f t="shared" ca="1" si="1016"/>
        <v>#NAME?</v>
      </c>
      <c r="AY113" s="162" t="e">
        <f t="shared" ca="1" si="1016"/>
        <v>#NAME?</v>
      </c>
      <c r="AZ113" s="162" t="e">
        <f t="shared" ca="1" si="1016"/>
        <v>#NAME?</v>
      </c>
      <c r="BA113" s="162" t="e">
        <f t="shared" ca="1" si="1016"/>
        <v>#NAME?</v>
      </c>
      <c r="BB113" s="162" t="e">
        <f t="shared" ca="1" si="1016"/>
        <v>#NAME?</v>
      </c>
      <c r="BC113" s="162" t="e">
        <f t="shared" ca="1" si="1016"/>
        <v>#NAME?</v>
      </c>
      <c r="BD113" s="162" t="e">
        <f t="shared" ca="1" si="1016"/>
        <v>#NAME?</v>
      </c>
      <c r="BE113" s="162" t="e">
        <f t="shared" ca="1" si="1016"/>
        <v>#NAME?</v>
      </c>
      <c r="BF113" s="162" t="e">
        <f t="shared" ca="1" si="1016"/>
        <v>#NAME?</v>
      </c>
      <c r="BG113" s="162" t="e">
        <f t="shared" ca="1" si="1016"/>
        <v>#NAME?</v>
      </c>
      <c r="BH113" s="162" t="e">
        <f t="shared" ca="1" si="1016"/>
        <v>#NAME?</v>
      </c>
      <c r="BI113" s="162" t="e">
        <f t="shared" ca="1" si="1016"/>
        <v>#NAME?</v>
      </c>
      <c r="BJ113" s="162" t="e">
        <f t="shared" ca="1" si="1016"/>
        <v>#NAME?</v>
      </c>
      <c r="BK113" s="162" t="e">
        <f t="shared" ca="1" si="1016"/>
        <v>#NAME?</v>
      </c>
      <c r="BL113" s="162" t="e">
        <f t="shared" ca="1" si="1016"/>
        <v>#NAME?</v>
      </c>
      <c r="BM113" s="162" t="e">
        <f t="shared" ca="1" si="1016"/>
        <v>#NAME?</v>
      </c>
      <c r="BN113" s="162" t="e">
        <f t="shared" ca="1" si="1016"/>
        <v>#NAME?</v>
      </c>
      <c r="BO113" s="162" t="e">
        <f t="shared" ca="1" si="1016"/>
        <v>#NAME?</v>
      </c>
      <c r="BP113" s="162" t="e">
        <f t="shared" ca="1" si="1016"/>
        <v>#NAME?</v>
      </c>
      <c r="BQ113" s="162" t="e">
        <f t="shared" ca="1" si="1016"/>
        <v>#NAME?</v>
      </c>
      <c r="BR113" s="162" t="e">
        <f t="shared" ca="1" si="1016"/>
        <v>#NAME?</v>
      </c>
      <c r="BS113" s="162" t="e">
        <f t="shared" ca="1" si="1016"/>
        <v>#NAME?</v>
      </c>
      <c r="BT113" s="162" t="e">
        <f t="shared" ca="1" si="1016"/>
        <v>#NAME?</v>
      </c>
      <c r="BU113" s="162" t="e">
        <f t="shared" ca="1" si="1016"/>
        <v>#NAME?</v>
      </c>
      <c r="BV113" s="162" t="e">
        <f t="shared" ca="1" si="1016"/>
        <v>#NAME?</v>
      </c>
      <c r="BW113" s="162" t="e">
        <f t="shared" ca="1" si="1016"/>
        <v>#NAME?</v>
      </c>
      <c r="BX113" s="162" t="e">
        <f t="shared" ca="1" si="1016"/>
        <v>#NAME?</v>
      </c>
      <c r="BY113" s="162" t="e">
        <f t="shared" ca="1" si="1016"/>
        <v>#NAME?</v>
      </c>
      <c r="BZ113" s="162" t="e">
        <f t="shared" ca="1" si="1016"/>
        <v>#NAME?</v>
      </c>
      <c r="CA113" s="162" t="e">
        <f t="shared" ca="1" si="1016"/>
        <v>#NAME?</v>
      </c>
      <c r="CB113" s="162" t="e">
        <f t="shared" ca="1" si="1016"/>
        <v>#NAME?</v>
      </c>
      <c r="CC113" s="162" t="e">
        <f t="shared" ca="1" si="1016"/>
        <v>#NAME?</v>
      </c>
      <c r="CD113" s="162" t="e">
        <f t="shared" ca="1" si="1016"/>
        <v>#NAME?</v>
      </c>
      <c r="CE113" s="162" t="e">
        <f t="shared" ref="CE113:CF113" ca="1" si="1017">+CE110/CE112</f>
        <v>#NAME?</v>
      </c>
      <c r="CF113" s="162" t="e">
        <f t="shared" ca="1" si="1017"/>
        <v>#NAME?</v>
      </c>
      <c r="CG113" s="162" t="e">
        <f t="shared" ref="CG113:CH113" ca="1" si="1018">+CG110/CG112</f>
        <v>#NAME?</v>
      </c>
      <c r="CH113" s="162" t="e">
        <f t="shared" ca="1" si="1018"/>
        <v>#NAME?</v>
      </c>
      <c r="CI113" s="162" t="e">
        <f t="shared" ref="CI113:CJ113" ca="1" si="1019">+CI110/CI112</f>
        <v>#NAME?</v>
      </c>
      <c r="CJ113" s="162" t="e">
        <f t="shared" ca="1" si="1019"/>
        <v>#NAME?</v>
      </c>
      <c r="CK113" s="162" t="e">
        <f t="shared" ref="CK113:CL113" ca="1" si="1020">+CK110/CK112</f>
        <v>#NAME?</v>
      </c>
      <c r="CL113" s="162" t="e">
        <f t="shared" ca="1" si="1020"/>
        <v>#NAME?</v>
      </c>
      <c r="CM113" s="21" t="e">
        <f t="shared" ref="CM113:DB113" ca="1" si="1021">+CM110/CM112</f>
        <v>#NAME?</v>
      </c>
      <c r="CN113" s="21" t="e">
        <f t="shared" ca="1" si="1021"/>
        <v>#NAME?</v>
      </c>
      <c r="CO113" s="21" t="e">
        <f t="shared" ca="1" si="1021"/>
        <v>#NAME?</v>
      </c>
      <c r="CP113" s="21" t="e">
        <f t="shared" ca="1" si="1021"/>
        <v>#NAME?</v>
      </c>
      <c r="CQ113" s="21" t="e">
        <f t="shared" ca="1" si="1021"/>
        <v>#NAME?</v>
      </c>
      <c r="CR113" s="21" t="e">
        <f t="shared" ca="1" si="1021"/>
        <v>#NAME?</v>
      </c>
      <c r="CS113" s="21" t="e">
        <f t="shared" ca="1" si="1021"/>
        <v>#NAME?</v>
      </c>
      <c r="CT113" s="21" t="e">
        <f t="shared" ca="1" si="1021"/>
        <v>#NAME?</v>
      </c>
      <c r="CU113" s="21" t="e">
        <f t="shared" ca="1" si="1021"/>
        <v>#NAME?</v>
      </c>
      <c r="CV113" s="21" t="e">
        <f t="shared" ca="1" si="1021"/>
        <v>#NAME?</v>
      </c>
      <c r="CW113" s="21" t="e">
        <f t="shared" ca="1" si="1021"/>
        <v>#NAME?</v>
      </c>
      <c r="CX113" s="21" t="e">
        <f t="shared" ca="1" si="1021"/>
        <v>#NAME?</v>
      </c>
      <c r="CY113" s="21" t="e">
        <f t="shared" ca="1" si="1021"/>
        <v>#NAME?</v>
      </c>
      <c r="CZ113" s="21" t="e">
        <f t="shared" ca="1" si="1021"/>
        <v>#NAME?</v>
      </c>
      <c r="DA113" s="21" t="e">
        <f t="shared" ca="1" si="1021"/>
        <v>#NAME?</v>
      </c>
      <c r="DB113" s="21" t="e">
        <f t="shared" ca="1" si="1021"/>
        <v>#NAME?</v>
      </c>
      <c r="DE113" s="22"/>
      <c r="DF113" s="162">
        <v>49.093060327622133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2">+C111/C112</f>
        <v>#NAME?</v>
      </c>
      <c r="D114" s="162" t="e">
        <f t="shared" ca="1" si="1022"/>
        <v>#NAME?</v>
      </c>
      <c r="E114" s="162">
        <f t="shared" ca="1" si="1022"/>
        <v>11.319670484059808</v>
      </c>
      <c r="F114" s="162">
        <f t="shared" ca="1" si="1022"/>
        <v>11.054045176523456</v>
      </c>
      <c r="G114" s="162">
        <f t="shared" ca="1" si="1022"/>
        <v>9.8802535924107318</v>
      </c>
      <c r="H114" s="162">
        <f t="shared" ca="1" si="1022"/>
        <v>14.384301361482137</v>
      </c>
      <c r="I114" s="162">
        <f t="shared" ca="1" si="1022"/>
        <v>12.252531855368019</v>
      </c>
      <c r="J114" s="162">
        <f t="shared" ca="1" si="1022"/>
        <v>13.616382426108252</v>
      </c>
      <c r="K114" s="162">
        <f t="shared" ca="1" si="1022"/>
        <v>13.024186292447254</v>
      </c>
      <c r="L114" s="162">
        <f t="shared" ca="1" si="1022"/>
        <v>18.897942992676199</v>
      </c>
      <c r="M114" s="162">
        <f t="shared" ca="1" si="1022"/>
        <v>20.455785939968404</v>
      </c>
      <c r="N114" s="162">
        <f t="shared" ca="1" si="1022"/>
        <v>21.004012951011877</v>
      </c>
      <c r="O114" s="162">
        <f t="shared" ca="1" si="1022"/>
        <v>21.735787490115928</v>
      </c>
      <c r="P114" s="162">
        <f t="shared" ca="1" si="1022"/>
        <v>20.981432514179541</v>
      </c>
      <c r="Q114" s="162">
        <f t="shared" ca="1" si="1022"/>
        <v>33.154964210607545</v>
      </c>
      <c r="R114" s="162">
        <f t="shared" ca="1" si="1022"/>
        <v>24.857763374129664</v>
      </c>
      <c r="S114" s="162">
        <f t="shared" ca="1" si="1022"/>
        <v>25.329868878575557</v>
      </c>
      <c r="T114" s="162">
        <f t="shared" ca="1" si="1022"/>
        <v>24.041775888359773</v>
      </c>
      <c r="U114" s="162">
        <f t="shared" ca="1" si="1022"/>
        <v>32.289067595201615</v>
      </c>
      <c r="V114" s="162">
        <f t="shared" ca="1" si="1022"/>
        <v>37.201523939498202</v>
      </c>
      <c r="W114" s="162">
        <f t="shared" ca="1" si="1022"/>
        <v>42.81810577139008</v>
      </c>
      <c r="X114" s="162">
        <f t="shared" ref="X114:Y114" ca="1" si="1023">+X111/X112</f>
        <v>41.316553750515965</v>
      </c>
      <c r="Y114" s="162">
        <f t="shared" ca="1" si="1023"/>
        <v>31.834698264796895</v>
      </c>
      <c r="Z114" s="162">
        <f t="shared" ref="Z114:AA114" ca="1" si="1024">+Z111/Z112</f>
        <v>42.875972737161341</v>
      </c>
      <c r="AA114" s="162">
        <f t="shared" ca="1" si="1024"/>
        <v>42.875972737161341</v>
      </c>
      <c r="AB114" s="21">
        <f t="shared" ref="AA114:AD114" ca="1" si="1025">+AB111/AB112</f>
        <v>36.419530789243169</v>
      </c>
      <c r="AC114" s="21">
        <f t="shared" ca="1" si="1025"/>
        <v>42.284344631500531</v>
      </c>
      <c r="AD114" s="21">
        <f t="shared" ca="1" si="1025"/>
        <v>41.42729962890904</v>
      </c>
      <c r="AE114" s="21">
        <f t="shared" ref="AE114" ca="1" si="1026">+AE111/AE112</f>
        <v>44.50303145348267</v>
      </c>
      <c r="AL114" s="162" t="e">
        <f t="shared" ref="AL114:AM114" ca="1" si="1027">+AL111/AL112</f>
        <v>#NAME?</v>
      </c>
      <c r="AM114" s="162" t="e">
        <f t="shared" ca="1" si="1027"/>
        <v>#NAME?</v>
      </c>
      <c r="AN114" s="162" t="e">
        <f t="shared" ref="AN114:AO114" ca="1" si="1028">+AN111/AN112</f>
        <v>#NAME?</v>
      </c>
      <c r="AO114" s="162" t="e">
        <f t="shared" ca="1" si="1028"/>
        <v>#NAME?</v>
      </c>
      <c r="AP114" s="162" t="e">
        <f t="shared" ref="AP114:CD114" ca="1" si="1029">+AP111/AP112</f>
        <v>#NAME?</v>
      </c>
      <c r="AQ114" s="162" t="e">
        <f t="shared" ca="1" si="1029"/>
        <v>#NAME?</v>
      </c>
      <c r="AR114" s="162" t="e">
        <f t="shared" ca="1" si="1029"/>
        <v>#NAME?</v>
      </c>
      <c r="AS114" s="162" t="e">
        <f t="shared" ca="1" si="1029"/>
        <v>#NAME?</v>
      </c>
      <c r="AT114" s="162" t="e">
        <f t="shared" ca="1" si="1029"/>
        <v>#NAME?</v>
      </c>
      <c r="AU114" s="162" t="e">
        <f t="shared" ca="1" si="1029"/>
        <v>#NAME?</v>
      </c>
      <c r="AV114" s="162" t="e">
        <f t="shared" ca="1" si="1029"/>
        <v>#NAME?</v>
      </c>
      <c r="AW114" s="162" t="e">
        <f t="shared" ca="1" si="1029"/>
        <v>#NAME?</v>
      </c>
      <c r="AX114" s="162" t="e">
        <f t="shared" ca="1" si="1029"/>
        <v>#NAME?</v>
      </c>
      <c r="AY114" s="162" t="e">
        <f t="shared" ca="1" si="1029"/>
        <v>#NAME?</v>
      </c>
      <c r="AZ114" s="162" t="e">
        <f t="shared" ca="1" si="1029"/>
        <v>#NAME?</v>
      </c>
      <c r="BA114" s="162" t="e">
        <f t="shared" ca="1" si="1029"/>
        <v>#NAME?</v>
      </c>
      <c r="BB114" s="162" t="e">
        <f t="shared" ca="1" si="1029"/>
        <v>#NAME?</v>
      </c>
      <c r="BC114" s="162" t="e">
        <f t="shared" ca="1" si="1029"/>
        <v>#NAME?</v>
      </c>
      <c r="BD114" s="162" t="e">
        <f t="shared" ca="1" si="1029"/>
        <v>#NAME?</v>
      </c>
      <c r="BE114" s="162" t="e">
        <f t="shared" ca="1" si="1029"/>
        <v>#NAME?</v>
      </c>
      <c r="BF114" s="162" t="e">
        <f t="shared" ca="1" si="1029"/>
        <v>#NAME?</v>
      </c>
      <c r="BG114" s="162" t="e">
        <f t="shared" ca="1" si="1029"/>
        <v>#NAME?</v>
      </c>
      <c r="BH114" s="162" t="e">
        <f t="shared" ca="1" si="1029"/>
        <v>#NAME?</v>
      </c>
      <c r="BI114" s="162" t="e">
        <f t="shared" ca="1" si="1029"/>
        <v>#NAME?</v>
      </c>
      <c r="BJ114" s="162" t="e">
        <f t="shared" ca="1" si="1029"/>
        <v>#NAME?</v>
      </c>
      <c r="BK114" s="162" t="e">
        <f t="shared" ca="1" si="1029"/>
        <v>#NAME?</v>
      </c>
      <c r="BL114" s="162" t="e">
        <f t="shared" ca="1" si="1029"/>
        <v>#NAME?</v>
      </c>
      <c r="BM114" s="162" t="e">
        <f t="shared" ca="1" si="1029"/>
        <v>#NAME?</v>
      </c>
      <c r="BN114" s="162" t="e">
        <f t="shared" ca="1" si="1029"/>
        <v>#NAME?</v>
      </c>
      <c r="BO114" s="162" t="e">
        <f t="shared" ca="1" si="1029"/>
        <v>#NAME?</v>
      </c>
      <c r="BP114" s="162" t="e">
        <f t="shared" ca="1" si="1029"/>
        <v>#NAME?</v>
      </c>
      <c r="BQ114" s="162" t="e">
        <f t="shared" ca="1" si="1029"/>
        <v>#NAME?</v>
      </c>
      <c r="BR114" s="162" t="e">
        <f t="shared" ca="1" si="1029"/>
        <v>#NAME?</v>
      </c>
      <c r="BS114" s="162" t="e">
        <f t="shared" ca="1" si="1029"/>
        <v>#NAME?</v>
      </c>
      <c r="BT114" s="162" t="e">
        <f t="shared" ca="1" si="1029"/>
        <v>#NAME?</v>
      </c>
      <c r="BU114" s="162" t="e">
        <f t="shared" ca="1" si="1029"/>
        <v>#NAME?</v>
      </c>
      <c r="BV114" s="162" t="e">
        <f t="shared" ca="1" si="1029"/>
        <v>#NAME?</v>
      </c>
      <c r="BW114" s="162" t="e">
        <f t="shared" ca="1" si="1029"/>
        <v>#NAME?</v>
      </c>
      <c r="BX114" s="162" t="e">
        <f t="shared" ca="1" si="1029"/>
        <v>#NAME?</v>
      </c>
      <c r="BY114" s="162" t="e">
        <f t="shared" ca="1" si="1029"/>
        <v>#NAME?</v>
      </c>
      <c r="BZ114" s="162" t="e">
        <f t="shared" ca="1" si="1029"/>
        <v>#NAME?</v>
      </c>
      <c r="CA114" s="162" t="e">
        <f t="shared" ca="1" si="1029"/>
        <v>#NAME?</v>
      </c>
      <c r="CB114" s="162" t="e">
        <f t="shared" ca="1" si="1029"/>
        <v>#NAME?</v>
      </c>
      <c r="CC114" s="162" t="e">
        <f t="shared" ca="1" si="1029"/>
        <v>#NAME?</v>
      </c>
      <c r="CD114" s="162" t="e">
        <f t="shared" ca="1" si="1029"/>
        <v>#NAME?</v>
      </c>
      <c r="CE114" s="162" t="e">
        <f t="shared" ref="CE114:CF114" ca="1" si="1030">+CE111/CE112</f>
        <v>#NAME?</v>
      </c>
      <c r="CF114" s="162" t="e">
        <f t="shared" ca="1" si="1030"/>
        <v>#NAME?</v>
      </c>
      <c r="CG114" s="162" t="e">
        <f t="shared" ref="CG114:CH114" ca="1" si="1031">+CG111/CG112</f>
        <v>#NAME?</v>
      </c>
      <c r="CH114" s="162" t="e">
        <f t="shared" ca="1" si="1031"/>
        <v>#NAME?</v>
      </c>
      <c r="CI114" s="162" t="e">
        <f t="shared" ref="CI114:CJ114" ca="1" si="1032">+CI111/CI112</f>
        <v>#NAME?</v>
      </c>
      <c r="CJ114" s="162" t="e">
        <f t="shared" ca="1" si="1032"/>
        <v>#NAME?</v>
      </c>
      <c r="CK114" s="162" t="e">
        <f t="shared" ref="CK114:CL114" ca="1" si="1033">+CK111/CK112</f>
        <v>#NAME?</v>
      </c>
      <c r="CL114" s="162" t="e">
        <f t="shared" ca="1" si="1033"/>
        <v>#NAME?</v>
      </c>
      <c r="CM114" s="21" t="e">
        <f t="shared" ref="CM114:DB114" ca="1" si="1034">+CM111/CM112</f>
        <v>#NAME?</v>
      </c>
      <c r="CN114" s="21" t="e">
        <f t="shared" ca="1" si="1034"/>
        <v>#NAME?</v>
      </c>
      <c r="CO114" s="21" t="e">
        <f t="shared" ca="1" si="1034"/>
        <v>#NAME?</v>
      </c>
      <c r="CP114" s="21" t="e">
        <f t="shared" ca="1" si="1034"/>
        <v>#NAME?</v>
      </c>
      <c r="CQ114" s="21" t="e">
        <f t="shared" ca="1" si="1034"/>
        <v>#NAME?</v>
      </c>
      <c r="CR114" s="21" t="e">
        <f t="shared" ca="1" si="1034"/>
        <v>#NAME?</v>
      </c>
      <c r="CS114" s="21" t="e">
        <f t="shared" ca="1" si="1034"/>
        <v>#NAME?</v>
      </c>
      <c r="CT114" s="21" t="e">
        <f t="shared" ca="1" si="1034"/>
        <v>#NAME?</v>
      </c>
      <c r="CU114" s="21" t="e">
        <f t="shared" ca="1" si="1034"/>
        <v>#NAME?</v>
      </c>
      <c r="CV114" s="21" t="e">
        <f t="shared" ca="1" si="1034"/>
        <v>#NAME?</v>
      </c>
      <c r="CW114" s="21" t="e">
        <f t="shared" ca="1" si="1034"/>
        <v>#NAME?</v>
      </c>
      <c r="CX114" s="21" t="e">
        <f t="shared" ca="1" si="1034"/>
        <v>#NAME?</v>
      </c>
      <c r="CY114" s="21" t="e">
        <f t="shared" ca="1" si="1034"/>
        <v>#NAME?</v>
      </c>
      <c r="CZ114" s="21" t="e">
        <f t="shared" ca="1" si="1034"/>
        <v>#NAME?</v>
      </c>
      <c r="DA114" s="21" t="e">
        <f t="shared" ca="1" si="1034"/>
        <v>#NAME?</v>
      </c>
      <c r="DB114" s="21" t="e">
        <f t="shared" ca="1" si="1034"/>
        <v>#NAME?</v>
      </c>
      <c r="DE114" s="22"/>
      <c r="DF114" s="162">
        <v>39.339068089405664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</row>
    <row r="117" spans="1:110" s="23" customFormat="1" outlineLevel="1" x14ac:dyDescent="0.2">
      <c r="A117" s="23" t="s">
        <v>41</v>
      </c>
      <c r="B117" s="23" t="e">
        <f ca="1">'Annual Raw'!C42</f>
        <v>#NAME?</v>
      </c>
      <c r="C117" s="23" t="e">
        <f ca="1">'Annual Raw'!D42</f>
        <v>#NAME?</v>
      </c>
      <c r="D117" s="23" t="e">
        <f ca="1">'Annual Raw'!E42</f>
        <v>#NAME?</v>
      </c>
      <c r="E117" s="23" t="e">
        <f ca="1">'Annual Raw'!F42</f>
        <v>#NAME?</v>
      </c>
      <c r="F117" s="23" t="e">
        <f ca="1">'Annual Raw'!G42</f>
        <v>#NAME?</v>
      </c>
      <c r="G117" s="23" t="e">
        <f ca="1">'Annual Raw'!H42</f>
        <v>#NAME?</v>
      </c>
      <c r="H117" s="23" t="e">
        <f ca="1">'Annual Raw'!I42</f>
        <v>#NAME?</v>
      </c>
      <c r="I117" s="23" t="e">
        <f ca="1">'Annual Raw'!J42</f>
        <v>#NAME?</v>
      </c>
      <c r="J117" s="23" t="e">
        <f ca="1">'Annual Raw'!K42</f>
        <v>#NAME?</v>
      </c>
      <c r="K117" s="23" t="e">
        <f ca="1">'Annual Raw'!L42</f>
        <v>#NAME?</v>
      </c>
      <c r="L117" s="23" t="e">
        <f ca="1">'Annual Raw'!M42</f>
        <v>#NAME?</v>
      </c>
      <c r="M117" s="23" t="e">
        <f ca="1">'Annual Raw'!N42</f>
        <v>#NAME?</v>
      </c>
      <c r="N117" s="23" t="e">
        <f ca="1">'Annual Raw'!O42</f>
        <v>#NAME?</v>
      </c>
      <c r="O117" s="23" t="e">
        <f ca="1">'Annual Raw'!P42</f>
        <v>#NAME?</v>
      </c>
      <c r="P117" s="23" t="e">
        <f ca="1">'Annual Raw'!Q42</f>
        <v>#NAME?</v>
      </c>
      <c r="Q117" s="23" t="e">
        <f ca="1">'Annual Raw'!R42</f>
        <v>#NAME?</v>
      </c>
      <c r="R117" s="23" t="e">
        <f ca="1">'Annual Raw'!S42</f>
        <v>#NAME?</v>
      </c>
      <c r="S117" s="23" t="e">
        <f ca="1">'Annual Raw'!T42</f>
        <v>#NAME?</v>
      </c>
      <c r="T117" s="23" t="e">
        <f ca="1">'Annual Raw'!U42</f>
        <v>#NAME?</v>
      </c>
      <c r="U117" s="23" t="e">
        <f ca="1">'Annual Raw'!V42</f>
        <v>#NAME?</v>
      </c>
      <c r="V117" s="23" t="e">
        <f ca="1">'Annual Raw'!W42</f>
        <v>#NAME?</v>
      </c>
      <c r="W117" s="23" t="e">
        <f ca="1">'Annual Raw'!X42</f>
        <v>#NAME?</v>
      </c>
      <c r="X117" s="23" t="e">
        <f ca="1">'Annual Raw'!Y42</f>
        <v>#NAME?</v>
      </c>
      <c r="Y117" s="23" t="e">
        <f ca="1">'Annual Raw'!Z42</f>
        <v>#NAME?</v>
      </c>
      <c r="Z117" s="23" t="e">
        <f ca="1">'Annual Raw'!AA42</f>
        <v>#NAME?</v>
      </c>
      <c r="AA117" s="23" t="e">
        <f ca="1">'Annual Raw'!AB42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35">+AJ117</f>
        <v>#NAME?</v>
      </c>
      <c r="AL117" s="23" t="e">
        <f ca="1">+'QTR Raw'!F56</f>
        <v>#NAME?</v>
      </c>
      <c r="AM117" s="23" t="e">
        <f t="shared" ca="1" si="1035"/>
        <v>#NAME?</v>
      </c>
      <c r="AN117" s="23" t="e">
        <f ca="1">+'QTR Raw'!H56</f>
        <v>#NAME?</v>
      </c>
      <c r="AO117" s="23" t="e">
        <f t="shared" ca="1" si="1035"/>
        <v>#NAME?</v>
      </c>
      <c r="AP117" s="23" t="e">
        <f ca="1">+'QTR Raw'!J56</f>
        <v>#NAME?</v>
      </c>
      <c r="AQ117" s="23" t="e">
        <f t="shared" ca="1" si="1035"/>
        <v>#NAME?</v>
      </c>
      <c r="AR117" s="23" t="e">
        <f ca="1">+'QTR Raw'!L56</f>
        <v>#NAME?</v>
      </c>
      <c r="AS117" s="23" t="e">
        <f t="shared" ca="1" si="1035"/>
        <v>#NAME?</v>
      </c>
      <c r="AT117" s="23" t="e">
        <f ca="1">+'QTR Raw'!N56</f>
        <v>#NAME?</v>
      </c>
      <c r="AU117" s="23" t="e">
        <f t="shared" ca="1" si="1035"/>
        <v>#NAME?</v>
      </c>
      <c r="AV117" s="23" t="e">
        <f ca="1">+'QTR Raw'!P56</f>
        <v>#NAME?</v>
      </c>
      <c r="AW117" s="23" t="e">
        <f t="shared" ca="1" si="1035"/>
        <v>#NAME?</v>
      </c>
      <c r="AX117" s="23" t="e">
        <f ca="1">+'QTR Raw'!R56</f>
        <v>#NAME?</v>
      </c>
      <c r="AY117" s="23" t="e">
        <f t="shared" ca="1" si="1035"/>
        <v>#NAME?</v>
      </c>
      <c r="AZ117" s="23" t="e">
        <f ca="1">+'QTR Raw'!T56</f>
        <v>#NAME?</v>
      </c>
      <c r="BA117" s="23" t="e">
        <f t="shared" ca="1" si="1035"/>
        <v>#NAME?</v>
      </c>
      <c r="BB117" s="23" t="e">
        <f ca="1">+'QTR Raw'!V56</f>
        <v>#NAME?</v>
      </c>
      <c r="BC117" s="23" t="e">
        <f t="shared" ca="1" si="1035"/>
        <v>#NAME?</v>
      </c>
      <c r="BD117" s="23" t="e">
        <f ca="1">+'QTR Raw'!X56</f>
        <v>#NAME?</v>
      </c>
      <c r="BE117" s="23" t="e">
        <f t="shared" ca="1" si="1035"/>
        <v>#NAME?</v>
      </c>
      <c r="BF117" s="23" t="e">
        <f ca="1">+'QTR Raw'!Z56</f>
        <v>#NAME?</v>
      </c>
      <c r="BG117" s="23" t="e">
        <f t="shared" ca="1" si="1035"/>
        <v>#NAME?</v>
      </c>
      <c r="BH117" s="23" t="e">
        <f ca="1">+'QTR Raw'!AB56</f>
        <v>#NAME?</v>
      </c>
      <c r="BI117" s="23" t="e">
        <f t="shared" ca="1" si="1035"/>
        <v>#NAME?</v>
      </c>
      <c r="BJ117" s="23" t="e">
        <f ca="1">+'QTR Raw'!AD56</f>
        <v>#NAME?</v>
      </c>
      <c r="BK117" s="23" t="e">
        <f t="shared" ca="1" si="1035"/>
        <v>#NAME?</v>
      </c>
      <c r="BL117" s="23" t="e">
        <f ca="1">+'QTR Raw'!AF56</f>
        <v>#NAME?</v>
      </c>
      <c r="BM117" s="23" t="e">
        <f t="shared" ca="1" si="1035"/>
        <v>#NAME?</v>
      </c>
      <c r="BN117" s="23" t="e">
        <f ca="1">+'QTR Raw'!AH56</f>
        <v>#NAME?</v>
      </c>
      <c r="BO117" s="23" t="e">
        <f t="shared" ca="1" si="1035"/>
        <v>#NAME?</v>
      </c>
      <c r="BP117" s="23" t="e">
        <f ca="1">+'QTR Raw'!AJ56</f>
        <v>#NAME?</v>
      </c>
      <c r="BQ117" s="23" t="e">
        <f t="shared" ca="1" si="1035"/>
        <v>#NAME?</v>
      </c>
      <c r="BR117" s="23" t="e">
        <f ca="1">+'QTR Raw'!AL56</f>
        <v>#NAME?</v>
      </c>
      <c r="BS117" s="23" t="e">
        <f t="shared" ca="1" si="1035"/>
        <v>#NAME?</v>
      </c>
      <c r="BT117" s="23" t="e">
        <f ca="1">+'QTR Raw'!AN56</f>
        <v>#NAME?</v>
      </c>
      <c r="BU117" s="23" t="e">
        <f t="shared" ca="1" si="1035"/>
        <v>#NAME?</v>
      </c>
      <c r="BV117" s="23" t="e">
        <f ca="1">+'QTR Raw'!AP56</f>
        <v>#NAME?</v>
      </c>
      <c r="BW117" s="23" t="e">
        <f t="shared" ca="1" si="1035"/>
        <v>#NAME?</v>
      </c>
      <c r="BX117" s="23" t="e">
        <f ca="1">+'QTR Raw'!AR56</f>
        <v>#NAME?</v>
      </c>
      <c r="BY117" s="23" t="e">
        <f t="shared" ca="1" si="1035"/>
        <v>#NAME?</v>
      </c>
      <c r="BZ117" s="23" t="e">
        <f ca="1">+'QTR Raw'!AT56</f>
        <v>#NAME?</v>
      </c>
      <c r="CA117" s="23" t="e">
        <f t="shared" ca="1" si="1035"/>
        <v>#NAME?</v>
      </c>
      <c r="CB117" s="23" t="e">
        <f ca="1">+'QTR Raw'!AV56</f>
        <v>#NAME?</v>
      </c>
      <c r="CC117" s="23" t="e">
        <f t="shared" ca="1" si="1035"/>
        <v>#NAME?</v>
      </c>
      <c r="CD117" s="23" t="e">
        <f ca="1">+'QTR Raw'!AX56</f>
        <v>#NAME?</v>
      </c>
      <c r="CE117" s="23" t="e">
        <f t="shared" ca="1" si="1035"/>
        <v>#NAME?</v>
      </c>
      <c r="CF117" s="23" t="e">
        <f ca="1">+'QTR Raw'!AZ56</f>
        <v>#NAME?</v>
      </c>
      <c r="CG117" s="23" t="e">
        <f t="shared" ref="CG117:CG118" ca="1" si="1036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3" t="e">
        <f t="shared" ref="CK117:DB117" ca="1" si="1037">CJ117</f>
        <v>#NAME?</v>
      </c>
      <c r="CL117" s="23" t="e">
        <f ca="1">+'QTR Raw'!BF56</f>
        <v>#NAME?</v>
      </c>
      <c r="CM117" s="24" t="e">
        <f t="shared" ca="1" si="1037"/>
        <v>#NAME?</v>
      </c>
      <c r="CN117" s="24" t="e">
        <f t="shared" ca="1" si="1037"/>
        <v>#NAME?</v>
      </c>
      <c r="CO117" s="24" t="e">
        <f t="shared" ca="1" si="1037"/>
        <v>#NAME?</v>
      </c>
      <c r="CP117" s="24" t="e">
        <f t="shared" ca="1" si="1037"/>
        <v>#NAME?</v>
      </c>
      <c r="CQ117" s="24" t="e">
        <f t="shared" ca="1" si="1037"/>
        <v>#NAME?</v>
      </c>
      <c r="CR117" s="24" t="e">
        <f t="shared" ca="1" si="1037"/>
        <v>#NAME?</v>
      </c>
      <c r="CS117" s="24" t="e">
        <f t="shared" ca="1" si="1037"/>
        <v>#NAME?</v>
      </c>
      <c r="CT117" s="24" t="e">
        <f t="shared" ca="1" si="1037"/>
        <v>#NAME?</v>
      </c>
      <c r="CU117" s="24" t="e">
        <f t="shared" ca="1" si="1037"/>
        <v>#NAME?</v>
      </c>
      <c r="CV117" s="24" t="e">
        <f t="shared" ca="1" si="1037"/>
        <v>#NAME?</v>
      </c>
      <c r="CW117" s="24" t="e">
        <f t="shared" ca="1" si="1037"/>
        <v>#NAME?</v>
      </c>
      <c r="CX117" s="24" t="e">
        <f t="shared" ca="1" si="1037"/>
        <v>#NAME?</v>
      </c>
      <c r="CY117" s="24" t="e">
        <f t="shared" ca="1" si="1037"/>
        <v>#NAME?</v>
      </c>
      <c r="CZ117" s="24" t="e">
        <f t="shared" ca="1" si="1037"/>
        <v>#NAME?</v>
      </c>
      <c r="DA117" s="24" t="e">
        <f t="shared" ca="1" si="1037"/>
        <v>#NAME?</v>
      </c>
      <c r="DB117" s="24" t="e">
        <f t="shared" ca="1" si="1037"/>
        <v>#NAME?</v>
      </c>
      <c r="DE117" s="123"/>
      <c r="DF117" s="23">
        <v>192.83</v>
      </c>
    </row>
    <row r="118" spans="1:110" s="23" customFormat="1" outlineLevel="1" x14ac:dyDescent="0.2">
      <c r="A118" s="23" t="s">
        <v>42</v>
      </c>
      <c r="B118" s="23" t="e">
        <f ca="1">'Annual Raw'!C43</f>
        <v>#NAME?</v>
      </c>
      <c r="C118" s="23" t="e">
        <f ca="1">'Annual Raw'!D43</f>
        <v>#NAME?</v>
      </c>
      <c r="D118" s="23" t="e">
        <f ca="1">'Annual Raw'!E43</f>
        <v>#NAME?</v>
      </c>
      <c r="E118" s="23" t="e">
        <f ca="1">'Annual Raw'!F43</f>
        <v>#NAME?</v>
      </c>
      <c r="F118" s="23" t="e">
        <f ca="1">'Annual Raw'!G43</f>
        <v>#NAME?</v>
      </c>
      <c r="G118" s="23" t="e">
        <f ca="1">'Annual Raw'!H43</f>
        <v>#NAME?</v>
      </c>
      <c r="H118" s="23" t="e">
        <f ca="1">'Annual Raw'!I43</f>
        <v>#NAME?</v>
      </c>
      <c r="I118" s="23" t="e">
        <f ca="1">'Annual Raw'!J43</f>
        <v>#NAME?</v>
      </c>
      <c r="J118" s="23" t="e">
        <f ca="1">'Annual Raw'!K43</f>
        <v>#NAME?</v>
      </c>
      <c r="K118" s="23" t="e">
        <f ca="1">'Annual Raw'!L43</f>
        <v>#NAME?</v>
      </c>
      <c r="L118" s="23" t="e">
        <f ca="1">'Annual Raw'!M43</f>
        <v>#NAME?</v>
      </c>
      <c r="M118" s="23" t="e">
        <f ca="1">'Annual Raw'!N43</f>
        <v>#NAME?</v>
      </c>
      <c r="N118" s="23" t="e">
        <f ca="1">'Annual Raw'!O43</f>
        <v>#NAME?</v>
      </c>
      <c r="O118" s="23" t="e">
        <f ca="1">'Annual Raw'!P43</f>
        <v>#NAME?</v>
      </c>
      <c r="P118" s="23" t="e">
        <f ca="1">'Annual Raw'!Q43</f>
        <v>#NAME?</v>
      </c>
      <c r="Q118" s="23" t="e">
        <f ca="1">'Annual Raw'!R43</f>
        <v>#NAME?</v>
      </c>
      <c r="R118" s="23" t="e">
        <f ca="1">'Annual Raw'!S43</f>
        <v>#NAME?</v>
      </c>
      <c r="S118" s="23" t="e">
        <f ca="1">'Annual Raw'!T43</f>
        <v>#NAME?</v>
      </c>
      <c r="T118" s="23" t="e">
        <f ca="1">'Annual Raw'!U43</f>
        <v>#NAME?</v>
      </c>
      <c r="U118" s="23" t="e">
        <f ca="1">'Annual Raw'!V43</f>
        <v>#NAME?</v>
      </c>
      <c r="V118" s="23" t="e">
        <f ca="1">'Annual Raw'!W43</f>
        <v>#NAME?</v>
      </c>
      <c r="W118" s="23" t="e">
        <f ca="1">'Annual Raw'!X43</f>
        <v>#NAME?</v>
      </c>
      <c r="X118" s="23" t="e">
        <f ca="1">'Annual Raw'!Y43</f>
        <v>#NAME?</v>
      </c>
      <c r="Y118" s="23" t="e">
        <f ca="1">'Annual Raw'!Z43</f>
        <v>#NAME?</v>
      </c>
      <c r="Z118" s="23" t="e">
        <f ca="1">'Annual Raw'!AA43</f>
        <v>#NAME?</v>
      </c>
      <c r="AA118" s="23" t="e">
        <f ca="1">'Annual Raw'!AB43</f>
        <v>#NAME?</v>
      </c>
      <c r="AB118" s="24" t="e">
        <f t="shared" ref="AB118:AB119" ca="1" si="1038">+CP118</f>
        <v>#NAME?</v>
      </c>
      <c r="AC118" s="24" t="e">
        <f t="shared" ref="AC118:AC119" ca="1" si="1039">+CT118</f>
        <v>#NAME?</v>
      </c>
      <c r="AD118" s="24" t="e">
        <f t="shared" ref="AD118:AD119" ca="1" si="1040">+CX118</f>
        <v>#NAME?</v>
      </c>
      <c r="AE118" s="24" t="e">
        <f t="shared" ref="AE118:AE119" ca="1" si="1041">+DB118</f>
        <v>#NAME?</v>
      </c>
      <c r="AJ118" s="23" t="e">
        <f ca="1">+'QTR Raw'!D57</f>
        <v>#NAME?</v>
      </c>
      <c r="AK118" s="23" t="e">
        <f t="shared" ref="AK118:CE118" ca="1" si="1042">+AJ118</f>
        <v>#NAME?</v>
      </c>
      <c r="AL118" s="23" t="e">
        <f ca="1">+'QTR Raw'!F57</f>
        <v>#NAME?</v>
      </c>
      <c r="AM118" s="23" t="e">
        <f t="shared" ca="1" si="1042"/>
        <v>#NAME?</v>
      </c>
      <c r="AN118" s="23" t="e">
        <f ca="1">+'QTR Raw'!H57</f>
        <v>#NAME?</v>
      </c>
      <c r="AO118" s="23" t="e">
        <f t="shared" ca="1" si="1042"/>
        <v>#NAME?</v>
      </c>
      <c r="AP118" s="23" t="e">
        <f ca="1">+'QTR Raw'!J57</f>
        <v>#NAME?</v>
      </c>
      <c r="AQ118" s="23" t="e">
        <f t="shared" ca="1" si="1042"/>
        <v>#NAME?</v>
      </c>
      <c r="AR118" s="23" t="e">
        <f ca="1">+'QTR Raw'!L57</f>
        <v>#NAME?</v>
      </c>
      <c r="AS118" s="23" t="e">
        <f t="shared" ca="1" si="1042"/>
        <v>#NAME?</v>
      </c>
      <c r="AT118" s="23" t="e">
        <f ca="1">+'QTR Raw'!N57</f>
        <v>#NAME?</v>
      </c>
      <c r="AU118" s="23" t="e">
        <f t="shared" ca="1" si="1042"/>
        <v>#NAME?</v>
      </c>
      <c r="AV118" s="23" t="e">
        <f ca="1">+'QTR Raw'!P57</f>
        <v>#NAME?</v>
      </c>
      <c r="AW118" s="23" t="e">
        <f t="shared" ca="1" si="1042"/>
        <v>#NAME?</v>
      </c>
      <c r="AX118" s="23" t="e">
        <f ca="1">+'QTR Raw'!R57</f>
        <v>#NAME?</v>
      </c>
      <c r="AY118" s="23" t="e">
        <f t="shared" ca="1" si="1042"/>
        <v>#NAME?</v>
      </c>
      <c r="AZ118" s="23" t="e">
        <f ca="1">+'QTR Raw'!T57</f>
        <v>#NAME?</v>
      </c>
      <c r="BA118" s="23" t="e">
        <f t="shared" ca="1" si="1042"/>
        <v>#NAME?</v>
      </c>
      <c r="BB118" s="23" t="e">
        <f ca="1">+'QTR Raw'!V57</f>
        <v>#NAME?</v>
      </c>
      <c r="BC118" s="23" t="e">
        <f t="shared" ca="1" si="1042"/>
        <v>#NAME?</v>
      </c>
      <c r="BD118" s="23" t="e">
        <f ca="1">+'QTR Raw'!X57</f>
        <v>#NAME?</v>
      </c>
      <c r="BE118" s="23" t="e">
        <f t="shared" ca="1" si="1042"/>
        <v>#NAME?</v>
      </c>
      <c r="BF118" s="23" t="e">
        <f ca="1">+'QTR Raw'!Z57</f>
        <v>#NAME?</v>
      </c>
      <c r="BG118" s="23" t="e">
        <f t="shared" ca="1" si="1042"/>
        <v>#NAME?</v>
      </c>
      <c r="BH118" s="23" t="e">
        <f ca="1">+'QTR Raw'!AB57</f>
        <v>#NAME?</v>
      </c>
      <c r="BI118" s="23" t="e">
        <f t="shared" ca="1" si="1042"/>
        <v>#NAME?</v>
      </c>
      <c r="BJ118" s="23" t="e">
        <f ca="1">+'QTR Raw'!AD57</f>
        <v>#NAME?</v>
      </c>
      <c r="BK118" s="23" t="e">
        <f t="shared" ca="1" si="1042"/>
        <v>#NAME?</v>
      </c>
      <c r="BL118" s="23" t="e">
        <f ca="1">+'QTR Raw'!AF57</f>
        <v>#NAME?</v>
      </c>
      <c r="BM118" s="23" t="e">
        <f t="shared" ca="1" si="1042"/>
        <v>#NAME?</v>
      </c>
      <c r="BN118" s="23" t="e">
        <f ca="1">+'QTR Raw'!AH57</f>
        <v>#NAME?</v>
      </c>
      <c r="BO118" s="23" t="e">
        <f t="shared" ca="1" si="1042"/>
        <v>#NAME?</v>
      </c>
      <c r="BP118" s="23" t="e">
        <f ca="1">+'QTR Raw'!AJ57</f>
        <v>#NAME?</v>
      </c>
      <c r="BQ118" s="23" t="e">
        <f t="shared" ca="1" si="1042"/>
        <v>#NAME?</v>
      </c>
      <c r="BR118" s="23" t="e">
        <f ca="1">+'QTR Raw'!AL57</f>
        <v>#NAME?</v>
      </c>
      <c r="BS118" s="23" t="e">
        <f t="shared" ca="1" si="1042"/>
        <v>#NAME?</v>
      </c>
      <c r="BT118" s="23" t="e">
        <f ca="1">+'QTR Raw'!AN57</f>
        <v>#NAME?</v>
      </c>
      <c r="BU118" s="23" t="e">
        <f t="shared" ca="1" si="1042"/>
        <v>#NAME?</v>
      </c>
      <c r="BV118" s="23" t="e">
        <f ca="1">+'QTR Raw'!AP57</f>
        <v>#NAME?</v>
      </c>
      <c r="BW118" s="23" t="e">
        <f t="shared" ca="1" si="1042"/>
        <v>#NAME?</v>
      </c>
      <c r="BX118" s="23" t="e">
        <f ca="1">+'QTR Raw'!AR57</f>
        <v>#NAME?</v>
      </c>
      <c r="BY118" s="23" t="e">
        <f t="shared" ca="1" si="1042"/>
        <v>#NAME?</v>
      </c>
      <c r="BZ118" s="23" t="e">
        <f ca="1">+'QTR Raw'!AT57</f>
        <v>#NAME?</v>
      </c>
      <c r="CA118" s="23" t="e">
        <f t="shared" ca="1" si="1042"/>
        <v>#NAME?</v>
      </c>
      <c r="CB118" s="23" t="e">
        <f ca="1">+'QTR Raw'!AV57</f>
        <v>#NAME?</v>
      </c>
      <c r="CC118" s="23" t="e">
        <f t="shared" ca="1" si="1042"/>
        <v>#NAME?</v>
      </c>
      <c r="CD118" s="23" t="e">
        <f ca="1">+'QTR Raw'!AX57</f>
        <v>#NAME?</v>
      </c>
      <c r="CE118" s="23" t="e">
        <f t="shared" ca="1" si="1042"/>
        <v>#NAME?</v>
      </c>
      <c r="CF118" s="23" t="e">
        <f ca="1">+'QTR Raw'!AZ57</f>
        <v>#NAME?</v>
      </c>
      <c r="CG118" s="23" t="e">
        <f t="shared" ca="1" si="1036"/>
        <v>#NAME?</v>
      </c>
      <c r="CH118" s="23" t="e">
        <f t="shared" ref="CH118:CH119" ca="1" si="1043">Z118</f>
        <v>#NAME?</v>
      </c>
      <c r="CI118" s="23" t="e">
        <f ca="1">CH118</f>
        <v>#NAME?</v>
      </c>
      <c r="CJ118" s="23" t="e">
        <f ca="1">+'QTR Raw'!BD57</f>
        <v>#NAME?</v>
      </c>
      <c r="CK118" s="23" t="e">
        <f t="shared" ref="CK118:DB118" ca="1" si="1044">CJ118</f>
        <v>#NAME?</v>
      </c>
      <c r="CL118" s="23" t="e">
        <f ca="1">+'QTR Raw'!BF57</f>
        <v>#NAME?</v>
      </c>
      <c r="CM118" s="24" t="e">
        <f t="shared" ca="1" si="1044"/>
        <v>#NAME?</v>
      </c>
      <c r="CN118" s="24" t="e">
        <f t="shared" ca="1" si="1044"/>
        <v>#NAME?</v>
      </c>
      <c r="CO118" s="24" t="e">
        <f t="shared" ca="1" si="1044"/>
        <v>#NAME?</v>
      </c>
      <c r="CP118" s="24" t="e">
        <f t="shared" ca="1" si="1044"/>
        <v>#NAME?</v>
      </c>
      <c r="CQ118" s="24" t="e">
        <f t="shared" ca="1" si="1044"/>
        <v>#NAME?</v>
      </c>
      <c r="CR118" s="24" t="e">
        <f t="shared" ca="1" si="1044"/>
        <v>#NAME?</v>
      </c>
      <c r="CS118" s="24" t="e">
        <f t="shared" ca="1" si="1044"/>
        <v>#NAME?</v>
      </c>
      <c r="CT118" s="24" t="e">
        <f t="shared" ca="1" si="1044"/>
        <v>#NAME?</v>
      </c>
      <c r="CU118" s="24" t="e">
        <f t="shared" ca="1" si="1044"/>
        <v>#NAME?</v>
      </c>
      <c r="CV118" s="24" t="e">
        <f t="shared" ca="1" si="1044"/>
        <v>#NAME?</v>
      </c>
      <c r="CW118" s="24" t="e">
        <f t="shared" ca="1" si="1044"/>
        <v>#NAME?</v>
      </c>
      <c r="CX118" s="24" t="e">
        <f t="shared" ca="1" si="1044"/>
        <v>#NAME?</v>
      </c>
      <c r="CY118" s="24" t="e">
        <f t="shared" ca="1" si="1044"/>
        <v>#NAME?</v>
      </c>
      <c r="CZ118" s="24" t="e">
        <f t="shared" ca="1" si="1044"/>
        <v>#NAME?</v>
      </c>
      <c r="DA118" s="24" t="e">
        <f t="shared" ca="1" si="1044"/>
        <v>#NAME?</v>
      </c>
      <c r="DB118" s="24" t="e">
        <f t="shared" ca="1" si="1044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Raw'!C44</f>
        <v>#NAME?</v>
      </c>
      <c r="C119" s="23" t="e">
        <f ca="1">'Annual Raw'!D44</f>
        <v>#NAME?</v>
      </c>
      <c r="D119" s="23" t="e">
        <f ca="1">'Annual Raw'!E44</f>
        <v>#NAME?</v>
      </c>
      <c r="E119" s="23" t="e">
        <f ca="1">'Annual Raw'!F44</f>
        <v>#NAME?</v>
      </c>
      <c r="F119" s="23" t="e">
        <f ca="1">'Annual Raw'!G44</f>
        <v>#NAME?</v>
      </c>
      <c r="G119" s="23" t="e">
        <f ca="1">'Annual Raw'!H44</f>
        <v>#NAME?</v>
      </c>
      <c r="H119" s="23" t="e">
        <f ca="1">'Annual Raw'!I44</f>
        <v>#NAME?</v>
      </c>
      <c r="I119" s="23" t="e">
        <f ca="1">'Annual Raw'!J44</f>
        <v>#NAME?</v>
      </c>
      <c r="J119" s="23" t="e">
        <f ca="1">'Annual Raw'!K44</f>
        <v>#NAME?</v>
      </c>
      <c r="K119" s="23" t="e">
        <f ca="1">'Annual Raw'!L44</f>
        <v>#NAME?</v>
      </c>
      <c r="L119" s="23" t="e">
        <f ca="1">'Annual Raw'!M44</f>
        <v>#NAME?</v>
      </c>
      <c r="M119" s="23" t="e">
        <f ca="1">'Annual Raw'!N44</f>
        <v>#NAME?</v>
      </c>
      <c r="N119" s="23" t="e">
        <f ca="1">'Annual Raw'!O44</f>
        <v>#NAME?</v>
      </c>
      <c r="O119" s="23" t="e">
        <f ca="1">'Annual Raw'!P44</f>
        <v>#NAME?</v>
      </c>
      <c r="P119" s="23" t="e">
        <f ca="1">'Annual Raw'!Q44</f>
        <v>#NAME?</v>
      </c>
      <c r="Q119" s="23" t="e">
        <f ca="1">'Annual Raw'!R44</f>
        <v>#NAME?</v>
      </c>
      <c r="R119" s="23" t="e">
        <f ca="1">'Annual Raw'!S44</f>
        <v>#NAME?</v>
      </c>
      <c r="S119" s="23" t="e">
        <f ca="1">'Annual Raw'!T44</f>
        <v>#NAME?</v>
      </c>
      <c r="T119" s="23" t="e">
        <f ca="1">'Annual Raw'!U44</f>
        <v>#NAME?</v>
      </c>
      <c r="U119" s="23" t="e">
        <f ca="1">'Annual Raw'!V44</f>
        <v>#NAME?</v>
      </c>
      <c r="V119" s="23" t="e">
        <f ca="1">'Annual Raw'!W44</f>
        <v>#NAME?</v>
      </c>
      <c r="W119" s="23" t="e">
        <f ca="1">'Annual Raw'!X44</f>
        <v>#NAME?</v>
      </c>
      <c r="X119" s="23" t="e">
        <f ca="1">'Annual Raw'!Y44</f>
        <v>#NAME?</v>
      </c>
      <c r="Y119" s="23" t="e">
        <f ca="1">'Annual Raw'!Z44</f>
        <v>#NAME?</v>
      </c>
      <c r="Z119" s="23" t="e">
        <f ca="1">'Annual Raw'!AA44</f>
        <v>#NAME?</v>
      </c>
      <c r="AA119" s="23" t="e">
        <f ca="1">'Annual Raw'!AB44</f>
        <v>#NAME?</v>
      </c>
      <c r="AB119" s="24" t="e">
        <f t="shared" ca="1" si="1038"/>
        <v>#NAME?</v>
      </c>
      <c r="AC119" s="24" t="e">
        <f t="shared" ca="1" si="1039"/>
        <v>#NAME?</v>
      </c>
      <c r="AD119" s="24" t="e">
        <f t="shared" ca="1" si="1040"/>
        <v>#NAME?</v>
      </c>
      <c r="AE119" s="24" t="e">
        <f t="shared" ca="1" si="1041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3"/>
        <v>#NAME?</v>
      </c>
      <c r="CI119" s="23" t="e">
        <f ca="1">CH119+CI48</f>
        <v>#NAME?</v>
      </c>
      <c r="CJ119" s="23" t="e">
        <f ca="1">+'QTR Raw'!BD58</f>
        <v>#NAME?</v>
      </c>
      <c r="CK119" s="23" t="e">
        <f t="shared" ref="CK119:DB119" ca="1" si="1045">CJ119+CK48</f>
        <v>#NAME?</v>
      </c>
      <c r="CL119" s="23" t="e">
        <f ca="1">+'QTR Raw'!BF58</f>
        <v>#NAME?</v>
      </c>
      <c r="CM119" s="24" t="e">
        <f t="shared" ca="1" si="1045"/>
        <v>#NAME?</v>
      </c>
      <c r="CN119" s="24" t="e">
        <f t="shared" ca="1" si="1045"/>
        <v>#NAME?</v>
      </c>
      <c r="CO119" s="24" t="e">
        <f t="shared" ca="1" si="1045"/>
        <v>#NAME?</v>
      </c>
      <c r="CP119" s="24" t="e">
        <f t="shared" ca="1" si="1045"/>
        <v>#NAME?</v>
      </c>
      <c r="CQ119" s="24" t="e">
        <f t="shared" ca="1" si="1045"/>
        <v>#NAME?</v>
      </c>
      <c r="CR119" s="24" t="e">
        <f t="shared" ca="1" si="1045"/>
        <v>#NAME?</v>
      </c>
      <c r="CS119" s="24" t="e">
        <f t="shared" ca="1" si="1045"/>
        <v>#NAME?</v>
      </c>
      <c r="CT119" s="24" t="e">
        <f t="shared" ca="1" si="1045"/>
        <v>#NAME?</v>
      </c>
      <c r="CU119" s="24" t="e">
        <f t="shared" ca="1" si="1045"/>
        <v>#NAME?</v>
      </c>
      <c r="CV119" s="24" t="e">
        <f t="shared" ca="1" si="1045"/>
        <v>#NAME?</v>
      </c>
      <c r="CW119" s="24" t="e">
        <f t="shared" ca="1" si="1045"/>
        <v>#NAME?</v>
      </c>
      <c r="CX119" s="24" t="e">
        <f t="shared" ca="1" si="1045"/>
        <v>#NAME?</v>
      </c>
      <c r="CY119" s="24" t="e">
        <f t="shared" ca="1" si="1045"/>
        <v>#NAME?</v>
      </c>
      <c r="CZ119" s="24" t="e">
        <f t="shared" ca="1" si="1045"/>
        <v>#NAME?</v>
      </c>
      <c r="DA119" s="24" t="e">
        <f t="shared" ca="1" si="1045"/>
        <v>#NAME?</v>
      </c>
      <c r="DB119" s="24" t="e">
        <f t="shared" ca="1" si="1045"/>
        <v>#NAME?</v>
      </c>
      <c r="DE119" s="123"/>
      <c r="DF119" s="23">
        <v>4964.1400000000003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46">C117+C118+C119</f>
        <v>#NAME?</v>
      </c>
      <c r="D120" s="22" t="e">
        <f t="shared" ca="1" si="1046"/>
        <v>#NAME?</v>
      </c>
      <c r="E120" s="22" t="e">
        <f t="shared" ca="1" si="1046"/>
        <v>#NAME?</v>
      </c>
      <c r="F120" s="22" t="e">
        <f t="shared" ca="1" si="1046"/>
        <v>#NAME?</v>
      </c>
      <c r="G120" s="22" t="e">
        <f t="shared" ca="1" si="1046"/>
        <v>#NAME?</v>
      </c>
      <c r="H120" s="22" t="e">
        <f t="shared" ca="1" si="1046"/>
        <v>#NAME?</v>
      </c>
      <c r="I120" s="22" t="e">
        <f t="shared" ca="1" si="1046"/>
        <v>#NAME?</v>
      </c>
      <c r="J120" s="22" t="e">
        <f t="shared" ca="1" si="1046"/>
        <v>#NAME?</v>
      </c>
      <c r="K120" s="22" t="e">
        <f t="shared" ca="1" si="1046"/>
        <v>#NAME?</v>
      </c>
      <c r="L120" s="22" t="e">
        <f t="shared" ca="1" si="1046"/>
        <v>#NAME?</v>
      </c>
      <c r="M120" s="22" t="e">
        <f ca="1">M117+M118+M119</f>
        <v>#NAME?</v>
      </c>
      <c r="N120" s="22" t="e">
        <f t="shared" ca="1" si="1046"/>
        <v>#NAME?</v>
      </c>
      <c r="O120" s="22" t="e">
        <f t="shared" ca="1" si="1046"/>
        <v>#NAME?</v>
      </c>
      <c r="P120" s="22" t="e">
        <f t="shared" ca="1" si="1046"/>
        <v>#NAME?</v>
      </c>
      <c r="Q120" s="22" t="e">
        <f t="shared" ca="1" si="1046"/>
        <v>#NAME?</v>
      </c>
      <c r="R120" s="22" t="e">
        <f t="shared" ca="1" si="1046"/>
        <v>#NAME?</v>
      </c>
      <c r="S120" s="22" t="e">
        <f t="shared" ca="1" si="1046"/>
        <v>#NAME?</v>
      </c>
      <c r="T120" s="22" t="e">
        <f t="shared" ca="1" si="1046"/>
        <v>#NAME?</v>
      </c>
      <c r="U120" s="22" t="e">
        <f t="shared" ca="1" si="1046"/>
        <v>#NAME?</v>
      </c>
      <c r="V120" s="22" t="e">
        <f t="shared" ca="1" si="1046"/>
        <v>#NAME?</v>
      </c>
      <c r="W120" s="22" t="e">
        <f t="shared" ref="W120" ca="1" si="1047">W117+W118+W119</f>
        <v>#NAME?</v>
      </c>
      <c r="X120" s="22" t="e">
        <f t="shared" ref="X120:Y120" ca="1" si="1048">X117+X118+X119</f>
        <v>#NAME?</v>
      </c>
      <c r="Y120" s="22" t="e">
        <f t="shared" ca="1" si="1048"/>
        <v>#NAME?</v>
      </c>
      <c r="Z120" s="22" t="e">
        <f t="shared" ref="Z120:AA120" ca="1" si="1049">Z117+Z118+Z119</f>
        <v>#NAME?</v>
      </c>
      <c r="AA120" s="22" t="e">
        <f t="shared" ca="1" si="1049"/>
        <v>#NAME?</v>
      </c>
      <c r="AB120" s="21" t="e">
        <f t="shared" ref="AA120:AD120" ca="1" si="1050">AB117+AB118+AB119</f>
        <v>#NAME?</v>
      </c>
      <c r="AC120" s="21" t="e">
        <f t="shared" ca="1" si="1050"/>
        <v>#NAME?</v>
      </c>
      <c r="AD120" s="21" t="e">
        <f t="shared" ca="1" si="1050"/>
        <v>#NAME?</v>
      </c>
      <c r="AE120" s="21" t="e">
        <f t="shared" ref="AE120" ca="1" si="1051">AE117+AE118+AE119</f>
        <v>#NAME?</v>
      </c>
      <c r="AJ120" s="22" t="e">
        <f t="shared" ref="AJ120" ca="1" si="1052">AJ117+AJ118+AJ119</f>
        <v>#NAME?</v>
      </c>
      <c r="AK120" s="22" t="e">
        <f t="shared" ref="AK120" ca="1" si="1053">AK117+AK118+AK119</f>
        <v>#NAME?</v>
      </c>
      <c r="AL120" s="22" t="e">
        <f t="shared" ref="AL120:AM120" ca="1" si="1054">AL117+AL118+AL119</f>
        <v>#NAME?</v>
      </c>
      <c r="AM120" s="22" t="e">
        <f t="shared" ca="1" si="1054"/>
        <v>#NAME?</v>
      </c>
      <c r="AN120" s="22" t="e">
        <f t="shared" ref="AN120:AO120" ca="1" si="1055">AN117+AN118+AN119</f>
        <v>#NAME?</v>
      </c>
      <c r="AO120" s="22" t="e">
        <f t="shared" ca="1" si="1055"/>
        <v>#NAME?</v>
      </c>
      <c r="AP120" s="22" t="e">
        <f t="shared" ref="AP120:CE120" ca="1" si="1056">AP117+AP118+AP119</f>
        <v>#NAME?</v>
      </c>
      <c r="AQ120" s="22" t="e">
        <f t="shared" ca="1" si="1056"/>
        <v>#NAME?</v>
      </c>
      <c r="AR120" s="22" t="e">
        <f t="shared" ca="1" si="1056"/>
        <v>#NAME?</v>
      </c>
      <c r="AS120" s="22" t="e">
        <f t="shared" ca="1" si="1056"/>
        <v>#NAME?</v>
      </c>
      <c r="AT120" s="22" t="e">
        <f t="shared" ca="1" si="1056"/>
        <v>#NAME?</v>
      </c>
      <c r="AU120" s="22" t="e">
        <f t="shared" ca="1" si="1056"/>
        <v>#NAME?</v>
      </c>
      <c r="AV120" s="22" t="e">
        <f t="shared" ca="1" si="1056"/>
        <v>#NAME?</v>
      </c>
      <c r="AW120" s="22" t="e">
        <f t="shared" ca="1" si="1056"/>
        <v>#NAME?</v>
      </c>
      <c r="AX120" s="22" t="e">
        <f t="shared" ca="1" si="1056"/>
        <v>#NAME?</v>
      </c>
      <c r="AY120" s="22" t="e">
        <f t="shared" ca="1" si="1056"/>
        <v>#NAME?</v>
      </c>
      <c r="AZ120" s="22" t="e">
        <f t="shared" ca="1" si="1056"/>
        <v>#NAME?</v>
      </c>
      <c r="BA120" s="22" t="e">
        <f t="shared" ca="1" si="1056"/>
        <v>#NAME?</v>
      </c>
      <c r="BB120" s="22" t="e">
        <f t="shared" ca="1" si="1056"/>
        <v>#NAME?</v>
      </c>
      <c r="BC120" s="22" t="e">
        <f t="shared" ca="1" si="1056"/>
        <v>#NAME?</v>
      </c>
      <c r="BD120" s="22" t="e">
        <f t="shared" ca="1" si="1056"/>
        <v>#NAME?</v>
      </c>
      <c r="BE120" s="22" t="e">
        <f t="shared" ca="1" si="1056"/>
        <v>#NAME?</v>
      </c>
      <c r="BF120" s="22" t="e">
        <f t="shared" ca="1" si="1056"/>
        <v>#NAME?</v>
      </c>
      <c r="BG120" s="22" t="e">
        <f t="shared" ca="1" si="1056"/>
        <v>#NAME?</v>
      </c>
      <c r="BH120" s="22" t="e">
        <f t="shared" ca="1" si="1056"/>
        <v>#NAME?</v>
      </c>
      <c r="BI120" s="22" t="e">
        <f t="shared" ca="1" si="1056"/>
        <v>#NAME?</v>
      </c>
      <c r="BJ120" s="22" t="e">
        <f t="shared" ca="1" si="1056"/>
        <v>#NAME?</v>
      </c>
      <c r="BK120" s="22" t="e">
        <f t="shared" ca="1" si="1056"/>
        <v>#NAME?</v>
      </c>
      <c r="BL120" s="22" t="e">
        <f t="shared" ca="1" si="1056"/>
        <v>#NAME?</v>
      </c>
      <c r="BM120" s="22" t="e">
        <f t="shared" ca="1" si="1056"/>
        <v>#NAME?</v>
      </c>
      <c r="BN120" s="22" t="e">
        <f t="shared" ca="1" si="1056"/>
        <v>#NAME?</v>
      </c>
      <c r="BO120" s="22" t="e">
        <f t="shared" ca="1" si="1056"/>
        <v>#NAME?</v>
      </c>
      <c r="BP120" s="22" t="e">
        <f t="shared" ca="1" si="1056"/>
        <v>#NAME?</v>
      </c>
      <c r="BQ120" s="22" t="e">
        <f t="shared" ca="1" si="1056"/>
        <v>#NAME?</v>
      </c>
      <c r="BR120" s="22" t="e">
        <f t="shared" ca="1" si="1056"/>
        <v>#NAME?</v>
      </c>
      <c r="BS120" s="22" t="e">
        <f t="shared" ca="1" si="1056"/>
        <v>#NAME?</v>
      </c>
      <c r="BT120" s="22" t="e">
        <f t="shared" ca="1" si="1056"/>
        <v>#NAME?</v>
      </c>
      <c r="BU120" s="22" t="e">
        <f t="shared" ca="1" si="1056"/>
        <v>#NAME?</v>
      </c>
      <c r="BV120" s="22" t="e">
        <f t="shared" ca="1" si="1056"/>
        <v>#NAME?</v>
      </c>
      <c r="BW120" s="22" t="e">
        <f t="shared" ca="1" si="1056"/>
        <v>#NAME?</v>
      </c>
      <c r="BX120" s="22" t="e">
        <f t="shared" ca="1" si="1056"/>
        <v>#NAME?</v>
      </c>
      <c r="BY120" s="22" t="e">
        <f t="shared" ca="1" si="1056"/>
        <v>#NAME?</v>
      </c>
      <c r="BZ120" s="22" t="e">
        <f t="shared" ca="1" si="1056"/>
        <v>#NAME?</v>
      </c>
      <c r="CA120" s="22" t="e">
        <f t="shared" ca="1" si="1056"/>
        <v>#NAME?</v>
      </c>
      <c r="CB120" s="22" t="e">
        <f t="shared" ca="1" si="1056"/>
        <v>#NAME?</v>
      </c>
      <c r="CC120" s="22" t="e">
        <f t="shared" ca="1" si="1056"/>
        <v>#NAME?</v>
      </c>
      <c r="CD120" s="22" t="e">
        <f t="shared" ca="1" si="1056"/>
        <v>#NAME?</v>
      </c>
      <c r="CE120" s="22" t="e">
        <f t="shared" ca="1" si="1056"/>
        <v>#NAME?</v>
      </c>
      <c r="CF120" s="22" t="e">
        <f t="shared" ref="CF120:CG120" ca="1" si="1057">CF117+CF118+CF119</f>
        <v>#NAME?</v>
      </c>
      <c r="CG120" s="22" t="e">
        <f t="shared" ca="1" si="1057"/>
        <v>#NAME?</v>
      </c>
      <c r="CH120" s="22" t="e">
        <f t="shared" ref="CH120:CI120" ca="1" si="1058">CH117+CH118+CH119</f>
        <v>#NAME?</v>
      </c>
      <c r="CI120" s="22" t="e">
        <f t="shared" ca="1" si="1058"/>
        <v>#NAME?</v>
      </c>
      <c r="CJ120" s="22" t="e">
        <f t="shared" ref="CJ120:DB120" ca="1" si="1059">CJ117+CJ118+CJ119</f>
        <v>#NAME?</v>
      </c>
      <c r="CK120" s="22" t="e">
        <f t="shared" ca="1" si="1059"/>
        <v>#NAME?</v>
      </c>
      <c r="CL120" s="22" t="e">
        <f t="shared" ref="CL120" ca="1" si="1060">CL117+CL118+CL119</f>
        <v>#NAME?</v>
      </c>
      <c r="CM120" s="21" t="e">
        <f t="shared" ca="1" si="1059"/>
        <v>#NAME?</v>
      </c>
      <c r="CN120" s="21" t="e">
        <f t="shared" ca="1" si="1059"/>
        <v>#NAME?</v>
      </c>
      <c r="CO120" s="21" t="e">
        <f t="shared" ca="1" si="1059"/>
        <v>#NAME?</v>
      </c>
      <c r="CP120" s="21" t="e">
        <f t="shared" ca="1" si="1059"/>
        <v>#NAME?</v>
      </c>
      <c r="CQ120" s="21" t="e">
        <f t="shared" ca="1" si="1059"/>
        <v>#NAME?</v>
      </c>
      <c r="CR120" s="21" t="e">
        <f t="shared" ca="1" si="1059"/>
        <v>#NAME?</v>
      </c>
      <c r="CS120" s="21" t="e">
        <f t="shared" ca="1" si="1059"/>
        <v>#NAME?</v>
      </c>
      <c r="CT120" s="21" t="e">
        <f t="shared" ca="1" si="1059"/>
        <v>#NAME?</v>
      </c>
      <c r="CU120" s="21" t="e">
        <f t="shared" ca="1" si="1059"/>
        <v>#NAME?</v>
      </c>
      <c r="CV120" s="21" t="e">
        <f t="shared" ca="1" si="1059"/>
        <v>#NAME?</v>
      </c>
      <c r="CW120" s="21" t="e">
        <f t="shared" ca="1" si="1059"/>
        <v>#NAME?</v>
      </c>
      <c r="CX120" s="21" t="e">
        <f t="shared" ca="1" si="1059"/>
        <v>#NAME?</v>
      </c>
      <c r="CY120" s="21" t="e">
        <f t="shared" ca="1" si="1059"/>
        <v>#NAME?</v>
      </c>
      <c r="CZ120" s="21" t="e">
        <f t="shared" ca="1" si="1059"/>
        <v>#NAME?</v>
      </c>
      <c r="DA120" s="21" t="e">
        <f t="shared" ca="1" si="1059"/>
        <v>#NAME?</v>
      </c>
      <c r="DB120" s="21" t="e">
        <f t="shared" ca="1" si="1059"/>
        <v>#NAME?</v>
      </c>
      <c r="DE120" s="126"/>
      <c r="DF120" s="22">
        <v>5156.97</v>
      </c>
    </row>
    <row r="121" spans="1:110" s="22" customFormat="1" x14ac:dyDescent="0.2"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Raw'!C46</f>
        <v>#NAME?</v>
      </c>
      <c r="C122" s="23" t="e">
        <f ca="1">'Annual Raw'!D46</f>
        <v>#NAME?</v>
      </c>
      <c r="D122" s="23" t="e">
        <f ca="1">'Annual Raw'!E46</f>
        <v>#NAME?</v>
      </c>
      <c r="E122" s="23" t="e">
        <f ca="1">'Annual Raw'!F46</f>
        <v>#NAME?</v>
      </c>
      <c r="F122" s="23" t="e">
        <f ca="1">'Annual Raw'!G46</f>
        <v>#NAME?</v>
      </c>
      <c r="G122" s="23" t="e">
        <f ca="1">'Annual Raw'!H46</f>
        <v>#NAME?</v>
      </c>
      <c r="H122" s="23" t="e">
        <f ca="1">'Annual Raw'!I46</f>
        <v>#NAME?</v>
      </c>
      <c r="I122" s="23" t="e">
        <f ca="1">'Annual Raw'!J46</f>
        <v>#NAME?</v>
      </c>
      <c r="J122" s="23" t="e">
        <f ca="1">'Annual Raw'!K46</f>
        <v>#NAME?</v>
      </c>
      <c r="K122" s="23" t="e">
        <f ca="1">'Annual Raw'!L46</f>
        <v>#NAME?</v>
      </c>
      <c r="L122" s="23" t="e">
        <f ca="1">'Annual Raw'!M46</f>
        <v>#NAME?</v>
      </c>
      <c r="M122" s="23" t="e">
        <f ca="1">'Annual Raw'!N46</f>
        <v>#NAME?</v>
      </c>
      <c r="N122" s="23" t="e">
        <f ca="1">'Annual Raw'!O46</f>
        <v>#NAME?</v>
      </c>
      <c r="O122" s="23" t="e">
        <f ca="1">'Annual Raw'!P46</f>
        <v>#NAME?</v>
      </c>
      <c r="P122" s="23" t="e">
        <f ca="1">'Annual Raw'!Q46</f>
        <v>#NAME?</v>
      </c>
      <c r="Q122" s="23" t="e">
        <f ca="1">'Annual Raw'!R46</f>
        <v>#NAME?</v>
      </c>
      <c r="R122" s="23" t="e">
        <f ca="1">'Annual Raw'!S46</f>
        <v>#NAME?</v>
      </c>
      <c r="S122" s="23" t="e">
        <f ca="1">'Annual Raw'!T46</f>
        <v>#NAME?</v>
      </c>
      <c r="T122" s="23" t="e">
        <f ca="1">'Annual Raw'!U46</f>
        <v>#NAME?</v>
      </c>
      <c r="U122" s="23" t="e">
        <f ca="1">'Annual Raw'!V46</f>
        <v>#NAME?</v>
      </c>
      <c r="V122" s="23" t="e">
        <f ca="1">'Annual Raw'!W46</f>
        <v>#NAME?</v>
      </c>
      <c r="W122" s="23" t="e">
        <f ca="1">'Annual Raw'!X46</f>
        <v>#NAME?</v>
      </c>
      <c r="X122" s="23" t="e">
        <f ca="1">'Annual Raw'!Y46</f>
        <v>#NAME?</v>
      </c>
      <c r="Y122" s="23" t="e">
        <f ca="1">'Annual Raw'!Z46</f>
        <v>#NAME?</v>
      </c>
      <c r="Z122" s="23" t="e">
        <f ca="1">'Annual Raw'!AA46</f>
        <v>#NAME?</v>
      </c>
      <c r="AA122" s="23" t="e">
        <f ca="1">'Annual Raw'!AB46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1">+AJ122</f>
        <v>#NAME?</v>
      </c>
      <c r="AL122" s="23" t="e">
        <f ca="1">+'QTR Raw'!F60</f>
        <v>#NAME?</v>
      </c>
      <c r="AM122" s="23" t="e">
        <f t="shared" ca="1" si="1061"/>
        <v>#NAME?</v>
      </c>
      <c r="AN122" s="23" t="e">
        <f ca="1">+'QTR Raw'!H60</f>
        <v>#NAME?</v>
      </c>
      <c r="AO122" s="23" t="e">
        <f t="shared" ca="1" si="1061"/>
        <v>#NAME?</v>
      </c>
      <c r="AP122" s="23" t="e">
        <f ca="1">+'QTR Raw'!J60</f>
        <v>#NAME?</v>
      </c>
      <c r="AQ122" s="23" t="e">
        <f t="shared" ca="1" si="1061"/>
        <v>#NAME?</v>
      </c>
      <c r="AR122" s="23" t="e">
        <f ca="1">+'QTR Raw'!L60</f>
        <v>#NAME?</v>
      </c>
      <c r="AS122" s="23" t="e">
        <f t="shared" ca="1" si="1061"/>
        <v>#NAME?</v>
      </c>
      <c r="AT122" s="23" t="e">
        <f ca="1">+'QTR Raw'!N60</f>
        <v>#NAME?</v>
      </c>
      <c r="AU122" s="23" t="e">
        <f t="shared" ca="1" si="1061"/>
        <v>#NAME?</v>
      </c>
      <c r="AV122" s="23" t="e">
        <f ca="1">+'QTR Raw'!P60</f>
        <v>#NAME?</v>
      </c>
      <c r="AW122" s="23" t="e">
        <f t="shared" ca="1" si="1061"/>
        <v>#NAME?</v>
      </c>
      <c r="AX122" s="23" t="e">
        <f ca="1">+'QTR Raw'!R60</f>
        <v>#NAME?</v>
      </c>
      <c r="AY122" s="23" t="e">
        <f t="shared" ca="1" si="1061"/>
        <v>#NAME?</v>
      </c>
      <c r="AZ122" s="23" t="e">
        <f ca="1">+'QTR Raw'!T60</f>
        <v>#NAME?</v>
      </c>
      <c r="BA122" s="23" t="e">
        <f t="shared" ca="1" si="1061"/>
        <v>#NAME?</v>
      </c>
      <c r="BB122" s="23" t="e">
        <f ca="1">+'QTR Raw'!V60</f>
        <v>#NAME?</v>
      </c>
      <c r="BC122" s="23" t="e">
        <f t="shared" ca="1" si="1061"/>
        <v>#NAME?</v>
      </c>
      <c r="BD122" s="23" t="e">
        <f ca="1">+'QTR Raw'!X60</f>
        <v>#NAME?</v>
      </c>
      <c r="BE122" s="23" t="e">
        <f t="shared" ca="1" si="1061"/>
        <v>#NAME?</v>
      </c>
      <c r="BF122" s="23" t="e">
        <f ca="1">+'QTR Raw'!Z60</f>
        <v>#NAME?</v>
      </c>
      <c r="BG122" s="23" t="e">
        <f t="shared" ca="1" si="1061"/>
        <v>#NAME?</v>
      </c>
      <c r="BH122" s="22" t="e">
        <f ca="1">+'QTR Raw'!AB60</f>
        <v>#NAME?</v>
      </c>
      <c r="BI122" s="23" t="e">
        <f t="shared" ca="1" si="1061"/>
        <v>#NAME?</v>
      </c>
      <c r="BJ122" s="23" t="e">
        <f ca="1">+'QTR Raw'!AD60</f>
        <v>#NAME?</v>
      </c>
      <c r="BK122" s="23" t="e">
        <f t="shared" ca="1" si="1061"/>
        <v>#NAME?</v>
      </c>
      <c r="BL122" s="23" t="e">
        <f ca="1">+'QTR Raw'!AF60</f>
        <v>#NAME?</v>
      </c>
      <c r="BM122" s="23" t="e">
        <f t="shared" ca="1" si="1061"/>
        <v>#NAME?</v>
      </c>
      <c r="BN122" s="23" t="e">
        <f ca="1">+'QTR Raw'!AH60</f>
        <v>#NAME?</v>
      </c>
      <c r="BO122" s="23" t="e">
        <f t="shared" ca="1" si="1061"/>
        <v>#NAME?</v>
      </c>
      <c r="BP122" s="23" t="e">
        <f ca="1">+'QTR Raw'!AJ60</f>
        <v>#NAME?</v>
      </c>
      <c r="BQ122" s="23" t="e">
        <f t="shared" ca="1" si="1061"/>
        <v>#NAME?</v>
      </c>
      <c r="BR122" s="23" t="e">
        <f ca="1">+'QTR Raw'!AL60</f>
        <v>#NAME?</v>
      </c>
      <c r="BS122" s="23" t="e">
        <f t="shared" ca="1" si="1061"/>
        <v>#NAME?</v>
      </c>
      <c r="BT122" s="23" t="e">
        <f ca="1">+'QTR Raw'!AN60</f>
        <v>#NAME?</v>
      </c>
      <c r="BU122" s="23" t="e">
        <f t="shared" ca="1" si="1061"/>
        <v>#NAME?</v>
      </c>
      <c r="BV122" s="23" t="e">
        <f ca="1">+'QTR Raw'!AP60</f>
        <v>#NAME?</v>
      </c>
      <c r="BW122" s="23" t="e">
        <f t="shared" ca="1" si="1061"/>
        <v>#NAME?</v>
      </c>
      <c r="BX122" s="23" t="e">
        <f ca="1">+'QTR Raw'!AR60</f>
        <v>#NAME?</v>
      </c>
      <c r="BY122" s="23" t="e">
        <f t="shared" ca="1" si="1061"/>
        <v>#NAME?</v>
      </c>
      <c r="BZ122" s="23" t="e">
        <f ca="1">+'QTR Raw'!AT60</f>
        <v>#NAME?</v>
      </c>
      <c r="CA122" s="23" t="e">
        <f t="shared" ca="1" si="1061"/>
        <v>#NAME?</v>
      </c>
      <c r="CB122" s="23" t="e">
        <f ca="1">+'QTR Raw'!AV60</f>
        <v>#NAME?</v>
      </c>
      <c r="CC122" s="23" t="e">
        <f t="shared" ca="1" si="1061"/>
        <v>#NAME?</v>
      </c>
      <c r="CD122" s="23" t="e">
        <f ca="1">+'QTR Raw'!AX60</f>
        <v>#NAME?</v>
      </c>
      <c r="CE122" s="23" t="e">
        <f t="shared" ca="1" si="1061"/>
        <v>#NAME?</v>
      </c>
      <c r="CF122" s="23" t="e">
        <f ca="1">+'QTR Raw'!AZ60</f>
        <v>#NAME?</v>
      </c>
      <c r="CG122" s="23" t="e">
        <f t="shared" ref="CG122:CI122" ca="1" si="1062">+CF122</f>
        <v>#NAME?</v>
      </c>
      <c r="CH122" s="23" t="e">
        <f t="shared" ref="CH122:CH127" ca="1" si="1063">Z122</f>
        <v>#NAME?</v>
      </c>
      <c r="CI122" s="23" t="e">
        <f t="shared" ca="1" si="1062"/>
        <v>#NAME?</v>
      </c>
      <c r="CJ122" s="23" t="e">
        <f ca="1">+'QTR Raw'!BD60</f>
        <v>#NAME?</v>
      </c>
      <c r="CK122" s="23" t="e">
        <f t="shared" ref="CK122" ca="1" si="1064">+CJ122</f>
        <v>#NAME?</v>
      </c>
      <c r="CL122" s="23" t="e">
        <f ca="1">+'QTR Raw'!BF60</f>
        <v>#NAME?</v>
      </c>
      <c r="CM122" s="24" t="e">
        <f t="shared" ref="CM122" ca="1" si="1065">+CL122</f>
        <v>#NAME?</v>
      </c>
      <c r="CN122" s="24" t="e">
        <f t="shared" ref="CN122" ca="1" si="1066">+CM122</f>
        <v>#NAME?</v>
      </c>
      <c r="CO122" s="24" t="e">
        <f t="shared" ref="CO122" ca="1" si="1067">+CN122</f>
        <v>#NAME?</v>
      </c>
      <c r="CP122" s="24" t="e">
        <f t="shared" ref="CP122" ca="1" si="1068">+CO122</f>
        <v>#NAME?</v>
      </c>
      <c r="CQ122" s="24" t="e">
        <f t="shared" ref="CQ122" ca="1" si="1069">+CP122</f>
        <v>#NAME?</v>
      </c>
      <c r="CR122" s="24" t="e">
        <f t="shared" ref="CR122" ca="1" si="1070">+CQ122</f>
        <v>#NAME?</v>
      </c>
      <c r="CS122" s="24" t="e">
        <f t="shared" ref="CS122" ca="1" si="1071">+CR122</f>
        <v>#NAME?</v>
      </c>
      <c r="CT122" s="24" t="e">
        <f t="shared" ref="CT122" ca="1" si="1072">+CS122</f>
        <v>#NAME?</v>
      </c>
      <c r="CU122" s="24" t="e">
        <f t="shared" ref="CU122" ca="1" si="1073">+CT122</f>
        <v>#NAME?</v>
      </c>
      <c r="CV122" s="24" t="e">
        <f t="shared" ref="CV122" ca="1" si="1074">+CU122</f>
        <v>#NAME?</v>
      </c>
      <c r="CW122" s="24" t="e">
        <f t="shared" ref="CW122" ca="1" si="1075">+CV122</f>
        <v>#NAME?</v>
      </c>
      <c r="CX122" s="24" t="e">
        <f t="shared" ref="CX122" ca="1" si="1076">+CW122</f>
        <v>#NAME?</v>
      </c>
      <c r="CY122" s="24" t="e">
        <f t="shared" ref="CY122" ca="1" si="1077">+CX122</f>
        <v>#NAME?</v>
      </c>
      <c r="CZ122" s="24" t="e">
        <f t="shared" ref="CZ122" ca="1" si="1078">+CY122</f>
        <v>#NAME?</v>
      </c>
      <c r="DA122" s="24" t="e">
        <f t="shared" ref="DA122" ca="1" si="1079">+CZ122</f>
        <v>#NAME?</v>
      </c>
      <c r="DB122" s="24" t="e">
        <f t="shared" ref="DB122" ca="1" si="1080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Raw'!C48</f>
        <v>#NAME?</v>
      </c>
      <c r="C124" s="23" t="e">
        <f ca="1">'Annual Raw'!D48</f>
        <v>#NAME?</v>
      </c>
      <c r="D124" s="23" t="e">
        <f ca="1">'Annual Raw'!E48</f>
        <v>#NAME?</v>
      </c>
      <c r="E124" s="23" t="e">
        <f ca="1">'Annual Raw'!F48</f>
        <v>#NAME?</v>
      </c>
      <c r="F124" s="23" t="e">
        <f ca="1">'Annual Raw'!G48</f>
        <v>#NAME?</v>
      </c>
      <c r="G124" s="23" t="e">
        <f ca="1">'Annual Raw'!H48</f>
        <v>#NAME?</v>
      </c>
      <c r="H124" s="23" t="e">
        <f ca="1">'Annual Raw'!I48</f>
        <v>#NAME?</v>
      </c>
      <c r="I124" s="23" t="e">
        <f ca="1">'Annual Raw'!J48</f>
        <v>#NAME?</v>
      </c>
      <c r="J124" s="23" t="e">
        <f ca="1">'Annual Raw'!K48</f>
        <v>#NAME?</v>
      </c>
      <c r="K124" s="23" t="e">
        <f ca="1">'Annual Raw'!L48</f>
        <v>#NAME?</v>
      </c>
      <c r="L124" s="23" t="e">
        <f ca="1">'Annual Raw'!M48</f>
        <v>#NAME?</v>
      </c>
      <c r="M124" s="23" t="e">
        <f ca="1">'Annual Raw'!N48</f>
        <v>#NAME?</v>
      </c>
      <c r="N124" s="23" t="e">
        <f ca="1">'Annual Raw'!O48</f>
        <v>#NAME?</v>
      </c>
      <c r="O124" s="23" t="e">
        <f ca="1">'Annual Raw'!P48</f>
        <v>#NAME?</v>
      </c>
      <c r="P124" s="23" t="e">
        <f ca="1">'Annual Raw'!Q48</f>
        <v>#NAME?</v>
      </c>
      <c r="Q124" s="23" t="e">
        <f ca="1">'Annual Raw'!R48</f>
        <v>#NAME?</v>
      </c>
      <c r="R124" s="23" t="e">
        <f ca="1">'Annual Raw'!S48</f>
        <v>#NAME?</v>
      </c>
      <c r="S124" s="23" t="e">
        <f ca="1">'Annual Raw'!T48</f>
        <v>#NAME?</v>
      </c>
      <c r="T124" s="23" t="e">
        <f ca="1">'Annual Raw'!U48</f>
        <v>#NAME?</v>
      </c>
      <c r="U124" s="23" t="e">
        <f ca="1">'Annual Raw'!V48</f>
        <v>#NAME?</v>
      </c>
      <c r="V124" s="23" t="e">
        <f ca="1">'Annual Raw'!W48</f>
        <v>#NAME?</v>
      </c>
      <c r="W124" s="23" t="e">
        <f ca="1">'Annual Raw'!X48</f>
        <v>#NAME?</v>
      </c>
      <c r="X124" s="23" t="e">
        <f ca="1">'Annual Raw'!Y48</f>
        <v>#NAME?</v>
      </c>
      <c r="Y124" s="23" t="e">
        <f ca="1">'Annual Raw'!Z48</f>
        <v>#NAME?</v>
      </c>
      <c r="Z124" s="23" t="e">
        <f ca="1">'Annual Raw'!AA48</f>
        <v>#NAME?</v>
      </c>
      <c r="AA124" s="23" t="e">
        <f ca="1">'Annual Raw'!AB48</f>
        <v>#NAME?</v>
      </c>
      <c r="AB124" s="24" t="e">
        <f t="shared" ref="AB124:AB127" ca="1" si="1081">+CP124</f>
        <v>#NAME?</v>
      </c>
      <c r="AC124" s="24" t="e">
        <f t="shared" ref="AC124:AC127" ca="1" si="1082">+CT124</f>
        <v>#NAME?</v>
      </c>
      <c r="AD124" s="24" t="e">
        <f t="shared" ref="AD124:AD127" ca="1" si="1083">+CX124</f>
        <v>#NAME?</v>
      </c>
      <c r="AE124" s="24" t="e">
        <f t="shared" ref="AE124:AE127" ca="1" si="1084">+DB124</f>
        <v>#NAME?</v>
      </c>
      <c r="AJ124" s="23" t="e">
        <f ca="1">+'QTR Raw'!D62</f>
        <v>#NAME?</v>
      </c>
      <c r="AK124" s="23" t="e">
        <f t="shared" ref="AK124:CC127" ca="1" si="1085">+AJ124</f>
        <v>#NAME?</v>
      </c>
      <c r="AL124" s="23" t="e">
        <f ca="1">+'QTR Raw'!F62</f>
        <v>#NAME?</v>
      </c>
      <c r="AM124" s="23" t="e">
        <f t="shared" ca="1" si="1085"/>
        <v>#NAME?</v>
      </c>
      <c r="AN124" s="23" t="e">
        <f ca="1">+'QTR Raw'!H62</f>
        <v>#NAME?</v>
      </c>
      <c r="AO124" s="23" t="e">
        <f t="shared" ca="1" si="1085"/>
        <v>#NAME?</v>
      </c>
      <c r="AP124" s="23" t="e">
        <f ca="1">+'QTR Raw'!J62</f>
        <v>#NAME?</v>
      </c>
      <c r="AQ124" s="23" t="e">
        <f t="shared" ca="1" si="1085"/>
        <v>#NAME?</v>
      </c>
      <c r="AR124" s="23" t="e">
        <f ca="1">+'QTR Raw'!L62</f>
        <v>#NAME?</v>
      </c>
      <c r="AS124" s="23" t="e">
        <f t="shared" ca="1" si="1085"/>
        <v>#NAME?</v>
      </c>
      <c r="AT124" s="23" t="e">
        <f ca="1">+'QTR Raw'!N62</f>
        <v>#NAME?</v>
      </c>
      <c r="AU124" s="23" t="e">
        <f t="shared" ca="1" si="1085"/>
        <v>#NAME?</v>
      </c>
      <c r="AV124" s="23" t="e">
        <f ca="1">+'QTR Raw'!P62</f>
        <v>#NAME?</v>
      </c>
      <c r="AW124" s="23" t="e">
        <f t="shared" ca="1" si="1085"/>
        <v>#NAME?</v>
      </c>
      <c r="AX124" s="23" t="e">
        <f ca="1">+'QTR Raw'!R62</f>
        <v>#NAME?</v>
      </c>
      <c r="AY124" s="23" t="e">
        <f t="shared" ca="1" si="1085"/>
        <v>#NAME?</v>
      </c>
      <c r="AZ124" s="23" t="e">
        <f ca="1">+'QTR Raw'!T62</f>
        <v>#NAME?</v>
      </c>
      <c r="BA124" s="23" t="e">
        <f t="shared" ca="1" si="1085"/>
        <v>#NAME?</v>
      </c>
      <c r="BB124" s="23" t="e">
        <f ca="1">+'QTR Raw'!V62</f>
        <v>#NAME?</v>
      </c>
      <c r="BC124" s="23" t="e">
        <f t="shared" ca="1" si="1085"/>
        <v>#NAME?</v>
      </c>
      <c r="BD124" s="23" t="e">
        <f ca="1">+'QTR Raw'!X62</f>
        <v>#NAME?</v>
      </c>
      <c r="BE124" s="23" t="e">
        <f t="shared" ca="1" si="1085"/>
        <v>#NAME?</v>
      </c>
      <c r="BF124" s="23" t="e">
        <f ca="1">+'QTR Raw'!Z62</f>
        <v>#NAME?</v>
      </c>
      <c r="BG124" s="23" t="e">
        <f t="shared" ca="1" si="1085"/>
        <v>#NAME?</v>
      </c>
      <c r="BH124" s="22" t="e">
        <f ca="1">+'QTR Raw'!AB62</f>
        <v>#NAME?</v>
      </c>
      <c r="BI124" s="23" t="e">
        <f t="shared" ca="1" si="1085"/>
        <v>#NAME?</v>
      </c>
      <c r="BJ124" s="23" t="e">
        <f ca="1">+'QTR Raw'!AD62</f>
        <v>#NAME?</v>
      </c>
      <c r="BK124" s="23" t="e">
        <f t="shared" ca="1" si="1085"/>
        <v>#NAME?</v>
      </c>
      <c r="BL124" s="23" t="e">
        <f ca="1">+'QTR Raw'!AF62</f>
        <v>#NAME?</v>
      </c>
      <c r="BM124" s="23" t="e">
        <f t="shared" ca="1" si="1085"/>
        <v>#NAME?</v>
      </c>
      <c r="BN124" s="23" t="e">
        <f ca="1">+'QTR Raw'!AH62</f>
        <v>#NAME?</v>
      </c>
      <c r="BO124" s="23" t="e">
        <f t="shared" ca="1" si="1085"/>
        <v>#NAME?</v>
      </c>
      <c r="BP124" s="23" t="e">
        <f ca="1">+'QTR Raw'!AJ62</f>
        <v>#NAME?</v>
      </c>
      <c r="BQ124" s="23" t="e">
        <f t="shared" ca="1" si="1085"/>
        <v>#NAME?</v>
      </c>
      <c r="BR124" s="23" t="e">
        <f ca="1">+'QTR Raw'!AL62</f>
        <v>#NAME?</v>
      </c>
      <c r="BS124" s="23" t="e">
        <f t="shared" ca="1" si="1085"/>
        <v>#NAME?</v>
      </c>
      <c r="BT124" s="23" t="e">
        <f ca="1">+'QTR Raw'!AN62</f>
        <v>#NAME?</v>
      </c>
      <c r="BU124" s="23" t="e">
        <f t="shared" ca="1" si="1085"/>
        <v>#NAME?</v>
      </c>
      <c r="BV124" s="23" t="e">
        <f ca="1">+'QTR Raw'!AP62</f>
        <v>#NAME?</v>
      </c>
      <c r="BW124" s="23" t="e">
        <f t="shared" ca="1" si="1085"/>
        <v>#NAME?</v>
      </c>
      <c r="BX124" s="23" t="e">
        <f ca="1">+'QTR Raw'!AR62</f>
        <v>#NAME?</v>
      </c>
      <c r="BY124" s="23" t="e">
        <f t="shared" ca="1" si="1085"/>
        <v>#NAME?</v>
      </c>
      <c r="BZ124" s="23" t="e">
        <f ca="1">+'QTR Raw'!AT62</f>
        <v>#NAME?</v>
      </c>
      <c r="CA124" s="23" t="e">
        <f t="shared" ca="1" si="1085"/>
        <v>#NAME?</v>
      </c>
      <c r="CB124" s="23" t="e">
        <f ca="1">+'QTR Raw'!AV62</f>
        <v>#NAME?</v>
      </c>
      <c r="CC124" s="23" t="e">
        <f t="shared" ca="1" si="1085"/>
        <v>#NAME?</v>
      </c>
      <c r="CD124" s="23" t="e">
        <f ca="1">+'QTR Raw'!AX62</f>
        <v>#NAME?</v>
      </c>
      <c r="CE124" s="23" t="e">
        <f t="shared" ref="CE124:CE127" ca="1" si="1086">+CD124</f>
        <v>#NAME?</v>
      </c>
      <c r="CF124" s="23" t="e">
        <f ca="1">+'QTR Raw'!AZ62</f>
        <v>#NAME?</v>
      </c>
      <c r="CG124" s="23" t="e">
        <f t="shared" ref="CG124:CI127" ca="1" si="1087">+CF124</f>
        <v>#NAME?</v>
      </c>
      <c r="CH124" s="23" t="e">
        <f t="shared" ca="1" si="1063"/>
        <v>#NAME?</v>
      </c>
      <c r="CI124" s="23" t="e">
        <f t="shared" ca="1" si="1087"/>
        <v>#NAME?</v>
      </c>
      <c r="CJ124" s="23" t="e">
        <f ca="1">+'QTR Raw'!BD62</f>
        <v>#NAME?</v>
      </c>
      <c r="CK124" s="23" t="e">
        <f t="shared" ref="CK124:CK127" ca="1" si="1088">+CJ124</f>
        <v>#NAME?</v>
      </c>
      <c r="CL124" s="23" t="e">
        <f ca="1">+'QTR Raw'!BF62</f>
        <v>#NAME?</v>
      </c>
      <c r="CM124" s="24" t="e">
        <f t="shared" ref="CM124:CM127" ca="1" si="1089">+CL124</f>
        <v>#NAME?</v>
      </c>
      <c r="CN124" s="24" t="e">
        <f t="shared" ref="CN124:CN127" ca="1" si="1090">+CM124</f>
        <v>#NAME?</v>
      </c>
      <c r="CO124" s="24" t="e">
        <f t="shared" ref="CO124:CO127" ca="1" si="1091">+CN124</f>
        <v>#NAME?</v>
      </c>
      <c r="CP124" s="24" t="e">
        <f t="shared" ref="CP124:CP127" ca="1" si="1092">+CO124</f>
        <v>#NAME?</v>
      </c>
      <c r="CQ124" s="24" t="e">
        <f t="shared" ref="CQ124:CQ127" ca="1" si="1093">+CP124</f>
        <v>#NAME?</v>
      </c>
      <c r="CR124" s="24" t="e">
        <f t="shared" ref="CR124:CR127" ca="1" si="1094">+CQ124</f>
        <v>#NAME?</v>
      </c>
      <c r="CS124" s="24" t="e">
        <f t="shared" ref="CS124:CS127" ca="1" si="1095">+CR124</f>
        <v>#NAME?</v>
      </c>
      <c r="CT124" s="24" t="e">
        <f t="shared" ref="CT124:CT127" ca="1" si="1096">+CS124</f>
        <v>#NAME?</v>
      </c>
      <c r="CU124" s="24" t="e">
        <f t="shared" ref="CU124:CU127" ca="1" si="1097">+CT124</f>
        <v>#NAME?</v>
      </c>
      <c r="CV124" s="24" t="e">
        <f t="shared" ref="CV124:CV127" ca="1" si="1098">+CU124</f>
        <v>#NAME?</v>
      </c>
      <c r="CW124" s="24" t="e">
        <f t="shared" ref="CW124:CW127" ca="1" si="1099">+CV124</f>
        <v>#NAME?</v>
      </c>
      <c r="CX124" s="24" t="e">
        <f t="shared" ref="CX124:CX127" ca="1" si="1100">+CW124</f>
        <v>#NAME?</v>
      </c>
      <c r="CY124" s="24" t="e">
        <f t="shared" ref="CY124:CY127" ca="1" si="1101">+CX124</f>
        <v>#NAME?</v>
      </c>
      <c r="CZ124" s="24" t="e">
        <f t="shared" ref="CZ124:CZ127" ca="1" si="1102">+CY124</f>
        <v>#NAME?</v>
      </c>
      <c r="DA124" s="24" t="e">
        <f t="shared" ref="DA124:DA127" ca="1" si="1103">+CZ124</f>
        <v>#NAME?</v>
      </c>
      <c r="DB124" s="24" t="e">
        <f t="shared" ref="DB124:DB127" ca="1" si="1104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Raw'!C49</f>
        <v>#NAME?</v>
      </c>
      <c r="C125" s="23" t="e">
        <f ca="1">'Annual Raw'!D49</f>
        <v>#NAME?</v>
      </c>
      <c r="D125" s="23" t="e">
        <f ca="1">'Annual Raw'!E49</f>
        <v>#NAME?</v>
      </c>
      <c r="E125" s="23" t="e">
        <f ca="1">'Annual Raw'!F49</f>
        <v>#NAME?</v>
      </c>
      <c r="F125" s="23" t="e">
        <f ca="1">'Annual Raw'!G49</f>
        <v>#NAME?</v>
      </c>
      <c r="G125" s="23" t="e">
        <f ca="1">'Annual Raw'!H49</f>
        <v>#NAME?</v>
      </c>
      <c r="H125" s="23" t="e">
        <f ca="1">'Annual Raw'!I49</f>
        <v>#NAME?</v>
      </c>
      <c r="I125" s="23" t="e">
        <f ca="1">'Annual Raw'!J49</f>
        <v>#NAME?</v>
      </c>
      <c r="J125" s="23" t="e">
        <f ca="1">'Annual Raw'!K49</f>
        <v>#NAME?</v>
      </c>
      <c r="K125" s="23" t="e">
        <f ca="1">'Annual Raw'!L49</f>
        <v>#NAME?</v>
      </c>
      <c r="L125" s="23" t="e">
        <f ca="1">'Annual Raw'!M49</f>
        <v>#NAME?</v>
      </c>
      <c r="M125" s="23" t="e">
        <f ca="1">'Annual Raw'!N49</f>
        <v>#NAME?</v>
      </c>
      <c r="N125" s="23" t="e">
        <f ca="1">'Annual Raw'!O49</f>
        <v>#NAME?</v>
      </c>
      <c r="O125" s="23" t="e">
        <f ca="1">'Annual Raw'!P49</f>
        <v>#NAME?</v>
      </c>
      <c r="P125" s="23" t="e">
        <f ca="1">'Annual Raw'!Q49</f>
        <v>#NAME?</v>
      </c>
      <c r="Q125" s="23" t="e">
        <f ca="1">'Annual Raw'!R49</f>
        <v>#NAME?</v>
      </c>
      <c r="R125" s="23" t="e">
        <f ca="1">'Annual Raw'!S49</f>
        <v>#NAME?</v>
      </c>
      <c r="S125" s="23" t="e">
        <f ca="1">'Annual Raw'!T49</f>
        <v>#NAME?</v>
      </c>
      <c r="T125" s="23" t="e">
        <f ca="1">'Annual Raw'!U49</f>
        <v>#NAME?</v>
      </c>
      <c r="U125" s="23" t="e">
        <f ca="1">'Annual Raw'!V49</f>
        <v>#NAME?</v>
      </c>
      <c r="V125" s="23" t="e">
        <f ca="1">'Annual Raw'!W49</f>
        <v>#NAME?</v>
      </c>
      <c r="W125" s="23" t="e">
        <f ca="1">'Annual Raw'!X49</f>
        <v>#NAME?</v>
      </c>
      <c r="X125" s="23" t="e">
        <f ca="1">'Annual Raw'!Y49</f>
        <v>#NAME?</v>
      </c>
      <c r="Y125" s="23" t="e">
        <f ca="1">'Annual Raw'!Z49</f>
        <v>#NAME?</v>
      </c>
      <c r="Z125" s="23" t="e">
        <f ca="1">'Annual Raw'!AA49</f>
        <v>#NAME?</v>
      </c>
      <c r="AA125" s="23" t="e">
        <f ca="1">'Annual Raw'!AB49</f>
        <v>#NAME?</v>
      </c>
      <c r="AB125" s="24" t="e">
        <f t="shared" ca="1" si="1081"/>
        <v>#NAME?</v>
      </c>
      <c r="AC125" s="24" t="e">
        <f t="shared" ca="1" si="1082"/>
        <v>#NAME?</v>
      </c>
      <c r="AD125" s="24" t="e">
        <f t="shared" ca="1" si="1083"/>
        <v>#NAME?</v>
      </c>
      <c r="AE125" s="24" t="e">
        <f t="shared" ca="1" si="1084"/>
        <v>#NAME?</v>
      </c>
      <c r="AJ125" s="23" t="e">
        <f ca="1">+'QTR Raw'!D63</f>
        <v>#NAME?</v>
      </c>
      <c r="AK125" s="23" t="e">
        <f t="shared" ca="1" si="1085"/>
        <v>#NAME?</v>
      </c>
      <c r="AL125" s="23" t="e">
        <f ca="1">+'QTR Raw'!F63</f>
        <v>#NAME?</v>
      </c>
      <c r="AM125" s="23" t="e">
        <f t="shared" ca="1" si="1085"/>
        <v>#NAME?</v>
      </c>
      <c r="AN125" s="23" t="e">
        <f ca="1">+'QTR Raw'!H63</f>
        <v>#NAME?</v>
      </c>
      <c r="AO125" s="23" t="e">
        <f t="shared" ca="1" si="1085"/>
        <v>#NAME?</v>
      </c>
      <c r="AP125" s="23" t="e">
        <f ca="1">+'QTR Raw'!J63</f>
        <v>#NAME?</v>
      </c>
      <c r="AQ125" s="23" t="e">
        <f t="shared" ca="1" si="1085"/>
        <v>#NAME?</v>
      </c>
      <c r="AR125" s="23" t="e">
        <f ca="1">+'QTR Raw'!L63</f>
        <v>#NAME?</v>
      </c>
      <c r="AS125" s="23" t="e">
        <f t="shared" ca="1" si="1085"/>
        <v>#NAME?</v>
      </c>
      <c r="AT125" s="23" t="e">
        <f ca="1">+'QTR Raw'!N63</f>
        <v>#NAME?</v>
      </c>
      <c r="AU125" s="23" t="e">
        <f t="shared" ca="1" si="1085"/>
        <v>#NAME?</v>
      </c>
      <c r="AV125" s="23" t="e">
        <f ca="1">+'QTR Raw'!P63</f>
        <v>#NAME?</v>
      </c>
      <c r="AW125" s="23" t="e">
        <f t="shared" ca="1" si="1085"/>
        <v>#NAME?</v>
      </c>
      <c r="AX125" s="23" t="e">
        <f ca="1">+'QTR Raw'!R63</f>
        <v>#NAME?</v>
      </c>
      <c r="AY125" s="23" t="e">
        <f t="shared" ca="1" si="1085"/>
        <v>#NAME?</v>
      </c>
      <c r="AZ125" s="23" t="e">
        <f ca="1">+'QTR Raw'!T63</f>
        <v>#NAME?</v>
      </c>
      <c r="BA125" s="23" t="e">
        <f t="shared" ca="1" si="1085"/>
        <v>#NAME?</v>
      </c>
      <c r="BB125" s="23" t="e">
        <f ca="1">+'QTR Raw'!V63</f>
        <v>#NAME?</v>
      </c>
      <c r="BC125" s="23" t="e">
        <f t="shared" ca="1" si="1085"/>
        <v>#NAME?</v>
      </c>
      <c r="BD125" s="23" t="e">
        <f ca="1">+'QTR Raw'!X63</f>
        <v>#NAME?</v>
      </c>
      <c r="BE125" s="23" t="e">
        <f t="shared" ca="1" si="1085"/>
        <v>#NAME?</v>
      </c>
      <c r="BF125" s="23" t="e">
        <f ca="1">+'QTR Raw'!Z63</f>
        <v>#NAME?</v>
      </c>
      <c r="BG125" s="23" t="e">
        <f t="shared" ca="1" si="1085"/>
        <v>#NAME?</v>
      </c>
      <c r="BH125" s="23" t="e">
        <f ca="1">+'QTR Raw'!AB63</f>
        <v>#NAME?</v>
      </c>
      <c r="BI125" s="23" t="e">
        <f t="shared" ca="1" si="1085"/>
        <v>#NAME?</v>
      </c>
      <c r="BJ125" s="23" t="e">
        <f ca="1">+'QTR Raw'!AD63</f>
        <v>#NAME?</v>
      </c>
      <c r="BK125" s="23" t="e">
        <f t="shared" ca="1" si="1085"/>
        <v>#NAME?</v>
      </c>
      <c r="BL125" s="23" t="e">
        <f ca="1">+'QTR Raw'!AF63</f>
        <v>#NAME?</v>
      </c>
      <c r="BM125" s="23" t="e">
        <f t="shared" ca="1" si="1085"/>
        <v>#NAME?</v>
      </c>
      <c r="BN125" s="23" t="e">
        <f ca="1">+'QTR Raw'!AH63</f>
        <v>#NAME?</v>
      </c>
      <c r="BO125" s="23" t="e">
        <f t="shared" ca="1" si="1085"/>
        <v>#NAME?</v>
      </c>
      <c r="BP125" s="23" t="e">
        <f ca="1">+'QTR Raw'!AJ63</f>
        <v>#NAME?</v>
      </c>
      <c r="BQ125" s="23" t="e">
        <f t="shared" ca="1" si="1085"/>
        <v>#NAME?</v>
      </c>
      <c r="BR125" s="23" t="e">
        <f ca="1">+'QTR Raw'!AL63</f>
        <v>#NAME?</v>
      </c>
      <c r="BS125" s="23" t="e">
        <f t="shared" ca="1" si="1085"/>
        <v>#NAME?</v>
      </c>
      <c r="BT125" s="23" t="e">
        <f ca="1">+'QTR Raw'!AN63</f>
        <v>#NAME?</v>
      </c>
      <c r="BU125" s="23" t="e">
        <f t="shared" ca="1" si="1085"/>
        <v>#NAME?</v>
      </c>
      <c r="BV125" s="23" t="e">
        <f ca="1">+'QTR Raw'!AP63</f>
        <v>#NAME?</v>
      </c>
      <c r="BW125" s="23" t="e">
        <f t="shared" ca="1" si="1085"/>
        <v>#NAME?</v>
      </c>
      <c r="BX125" s="23" t="e">
        <f ca="1">+'QTR Raw'!AR63</f>
        <v>#NAME?</v>
      </c>
      <c r="BY125" s="23" t="e">
        <f t="shared" ca="1" si="1085"/>
        <v>#NAME?</v>
      </c>
      <c r="BZ125" s="23" t="e">
        <f ca="1">+'QTR Raw'!AT63</f>
        <v>#NAME?</v>
      </c>
      <c r="CA125" s="23" t="e">
        <f t="shared" ca="1" si="1085"/>
        <v>#NAME?</v>
      </c>
      <c r="CB125" s="23" t="e">
        <f ca="1">+'QTR Raw'!AV63</f>
        <v>#NAME?</v>
      </c>
      <c r="CC125" s="23" t="e">
        <f t="shared" ca="1" si="1085"/>
        <v>#NAME?</v>
      </c>
      <c r="CD125" s="23" t="e">
        <f ca="1">+'QTR Raw'!AX63</f>
        <v>#NAME?</v>
      </c>
      <c r="CE125" s="23" t="e">
        <f t="shared" ca="1" si="1086"/>
        <v>#NAME?</v>
      </c>
      <c r="CF125" s="23" t="e">
        <f ca="1">+'QTR Raw'!AZ63</f>
        <v>#NAME?</v>
      </c>
      <c r="CG125" s="23" t="e">
        <f t="shared" ca="1" si="1087"/>
        <v>#NAME?</v>
      </c>
      <c r="CH125" s="23" t="e">
        <f t="shared" ca="1" si="1063"/>
        <v>#NAME?</v>
      </c>
      <c r="CI125" s="23" t="e">
        <f t="shared" ca="1" si="1087"/>
        <v>#NAME?</v>
      </c>
      <c r="CJ125" s="23" t="e">
        <f ca="1">+'QTR Raw'!BD63</f>
        <v>#NAME?</v>
      </c>
      <c r="CK125" s="23" t="e">
        <f t="shared" ca="1" si="1088"/>
        <v>#NAME?</v>
      </c>
      <c r="CL125" s="23" t="e">
        <f ca="1">+'QTR Raw'!BF63</f>
        <v>#NAME?</v>
      </c>
      <c r="CM125" s="24" t="e">
        <f t="shared" ca="1" si="1089"/>
        <v>#NAME?</v>
      </c>
      <c r="CN125" s="24" t="e">
        <f t="shared" ca="1" si="1090"/>
        <v>#NAME?</v>
      </c>
      <c r="CO125" s="24" t="e">
        <f t="shared" ca="1" si="1091"/>
        <v>#NAME?</v>
      </c>
      <c r="CP125" s="24" t="e">
        <f t="shared" ca="1" si="1092"/>
        <v>#NAME?</v>
      </c>
      <c r="CQ125" s="24" t="e">
        <f t="shared" ca="1" si="1093"/>
        <v>#NAME?</v>
      </c>
      <c r="CR125" s="24" t="e">
        <f t="shared" ca="1" si="1094"/>
        <v>#NAME?</v>
      </c>
      <c r="CS125" s="24" t="e">
        <f t="shared" ca="1" si="1095"/>
        <v>#NAME?</v>
      </c>
      <c r="CT125" s="24" t="e">
        <f t="shared" ca="1" si="1096"/>
        <v>#NAME?</v>
      </c>
      <c r="CU125" s="24" t="e">
        <f t="shared" ca="1" si="1097"/>
        <v>#NAME?</v>
      </c>
      <c r="CV125" s="24" t="e">
        <f t="shared" ca="1" si="1098"/>
        <v>#NAME?</v>
      </c>
      <c r="CW125" s="24" t="e">
        <f t="shared" ca="1" si="1099"/>
        <v>#NAME?</v>
      </c>
      <c r="CX125" s="24" t="e">
        <f t="shared" ca="1" si="1100"/>
        <v>#NAME?</v>
      </c>
      <c r="CY125" s="24" t="e">
        <f t="shared" ca="1" si="1101"/>
        <v>#NAME?</v>
      </c>
      <c r="CZ125" s="24" t="e">
        <f t="shared" ca="1" si="1102"/>
        <v>#NAME?</v>
      </c>
      <c r="DA125" s="24" t="e">
        <f t="shared" ca="1" si="1103"/>
        <v>#NAME?</v>
      </c>
      <c r="DB125" s="24" t="e">
        <f t="shared" ca="1" si="1104"/>
        <v>#NAME?</v>
      </c>
      <c r="DE125" s="123"/>
      <c r="DF125" s="23">
        <v>20.29</v>
      </c>
    </row>
    <row r="126" spans="1:110" s="23" customFormat="1" outlineLevel="1" x14ac:dyDescent="0.2">
      <c r="A126" s="23" t="s">
        <v>47</v>
      </c>
      <c r="B126" s="23" t="e">
        <f ca="1">'Annual Raw'!C88+'Annual Raw'!C89+'Annual Raw'!C90+'Annual Raw'!C91</f>
        <v>#NAME?</v>
      </c>
      <c r="C126" s="23" t="e">
        <f ca="1">'Annual Raw'!D88+'Annual Raw'!D89+'Annual Raw'!D90+'Annual Raw'!D91</f>
        <v>#NAME?</v>
      </c>
      <c r="D126" s="23" t="e">
        <f ca="1">'Annual Raw'!E88+'Annual Raw'!E89+'Annual Raw'!E90+'Annual Raw'!E91</f>
        <v>#NAME?</v>
      </c>
      <c r="E126" s="23" t="e">
        <f ca="1">'Annual Raw'!F88+'Annual Raw'!F89+'Annual Raw'!F90+'Annual Raw'!F91</f>
        <v>#NAME?</v>
      </c>
      <c r="F126" s="23" t="e">
        <f ca="1">'Annual Raw'!G88+'Annual Raw'!G89+'Annual Raw'!G90+'Annual Raw'!G91</f>
        <v>#NAME?</v>
      </c>
      <c r="G126" s="23" t="e">
        <f ca="1">'Annual Raw'!H88+'Annual Raw'!H89+'Annual Raw'!H90+'Annual Raw'!H91</f>
        <v>#NAME?</v>
      </c>
      <c r="H126" s="23" t="e">
        <f ca="1">'Annual Raw'!I88+'Annual Raw'!I89+'Annual Raw'!I90+'Annual Raw'!I91</f>
        <v>#NAME?</v>
      </c>
      <c r="I126" s="23" t="e">
        <f ca="1">'Annual Raw'!J88+'Annual Raw'!J89+'Annual Raw'!J90+'Annual Raw'!J91</f>
        <v>#NAME?</v>
      </c>
      <c r="J126" s="23" t="e">
        <f ca="1">'Annual Raw'!K88+'Annual Raw'!K89+'Annual Raw'!K90+'Annual Raw'!K91</f>
        <v>#NAME?</v>
      </c>
      <c r="K126" s="23" t="e">
        <f ca="1">'Annual Raw'!L88+'Annual Raw'!L89+'Annual Raw'!L90+'Annual Raw'!L91</f>
        <v>#NAME?</v>
      </c>
      <c r="L126" s="23" t="e">
        <f ca="1">'Annual Raw'!M88+'Annual Raw'!M89+'Annual Raw'!M90+'Annual Raw'!M91</f>
        <v>#NAME?</v>
      </c>
      <c r="M126" s="23" t="e">
        <f ca="1">'Annual Raw'!N88+'Annual Raw'!N89+'Annual Raw'!N90+'Annual Raw'!N91</f>
        <v>#NAME?</v>
      </c>
      <c r="N126" s="23" t="e">
        <f ca="1">'Annual Raw'!O88+'Annual Raw'!O89+'Annual Raw'!O90+'Annual Raw'!O91</f>
        <v>#NAME?</v>
      </c>
      <c r="O126" s="23" t="e">
        <f ca="1">'Annual Raw'!P88+'Annual Raw'!P89+'Annual Raw'!P90+'Annual Raw'!P91</f>
        <v>#NAME?</v>
      </c>
      <c r="P126" s="23" t="e">
        <f ca="1">'Annual Raw'!Q88+'Annual Raw'!Q89+'Annual Raw'!Q90+'Annual Raw'!Q91</f>
        <v>#NAME?</v>
      </c>
      <c r="Q126" s="23" t="e">
        <f ca="1">'Annual Raw'!R88+'Annual Raw'!R89+'Annual Raw'!R90+'Annual Raw'!R91</f>
        <v>#NAME?</v>
      </c>
      <c r="R126" s="23" t="e">
        <f ca="1">'Annual Raw'!S88+'Annual Raw'!S89+'Annual Raw'!S90+'Annual Raw'!S91</f>
        <v>#NAME?</v>
      </c>
      <c r="S126" s="23" t="e">
        <f ca="1">'Annual Raw'!T88+'Annual Raw'!T89+'Annual Raw'!T90+'Annual Raw'!T91</f>
        <v>#NAME?</v>
      </c>
      <c r="T126" s="23" t="e">
        <f ca="1">'Annual Raw'!U88+'Annual Raw'!U89+'Annual Raw'!U90+'Annual Raw'!U91</f>
        <v>#NAME?</v>
      </c>
      <c r="U126" s="23" t="e">
        <f ca="1">'Annual Raw'!V88+'Annual Raw'!V89+'Annual Raw'!V90+'Annual Raw'!V91</f>
        <v>#NAME?</v>
      </c>
      <c r="V126" s="23" t="e">
        <f ca="1">'Annual Raw'!W88+'Annual Raw'!W89+'Annual Raw'!W90+'Annual Raw'!W91</f>
        <v>#NAME?</v>
      </c>
      <c r="W126" s="23" t="e">
        <f ca="1">'Annual Raw'!X88+'Annual Raw'!X89+'Annual Raw'!X90+'Annual Raw'!X91</f>
        <v>#NAME?</v>
      </c>
      <c r="X126" s="23" t="e">
        <f ca="1">'Annual Raw'!Y88+'Annual Raw'!Y89+'Annual Raw'!Y90+'Annual Raw'!Y91</f>
        <v>#NAME?</v>
      </c>
      <c r="Y126" s="23" t="e">
        <f ca="1">'Annual Raw'!Z88+'Annual Raw'!Z89+'Annual Raw'!Z90+'Annual Raw'!Z91</f>
        <v>#NAME?</v>
      </c>
      <c r="Z126" s="23" t="e">
        <f ca="1">'Annual Raw'!AA88+'Annual Raw'!AA89+'Annual Raw'!AA90+'Annual Raw'!AA91</f>
        <v>#NAME?</v>
      </c>
      <c r="AA126" s="23" t="e">
        <f ca="1">'Annual Raw'!AB88+'Annual Raw'!AB89+'Annual Raw'!AB90+'Annual Raw'!AB91</f>
        <v>#NAME?</v>
      </c>
      <c r="AB126" s="24" t="e">
        <f t="shared" ca="1" si="1081"/>
        <v>#NAME?</v>
      </c>
      <c r="AC126" s="24" t="e">
        <f t="shared" ca="1" si="1082"/>
        <v>#NAME?</v>
      </c>
      <c r="AD126" s="24" t="e">
        <f t="shared" ca="1" si="1083"/>
        <v>#NAME?</v>
      </c>
      <c r="AE126" s="24" t="e">
        <f t="shared" ca="1" si="1084"/>
        <v>#NAME?</v>
      </c>
      <c r="AJ126" s="23" t="e">
        <f ca="1">+'QTR Raw'!D90</f>
        <v>#NAME?</v>
      </c>
      <c r="AK126" s="23" t="e">
        <f t="shared" ca="1" si="1085"/>
        <v>#NAME?</v>
      </c>
      <c r="AL126" s="23" t="e">
        <f ca="1">+'QTR Raw'!F90</f>
        <v>#NAME?</v>
      </c>
      <c r="AM126" s="23" t="e">
        <f t="shared" ca="1" si="1085"/>
        <v>#NAME?</v>
      </c>
      <c r="AN126" s="23" t="e">
        <f ca="1">+'QTR Raw'!H90</f>
        <v>#NAME?</v>
      </c>
      <c r="AO126" s="23" t="e">
        <f t="shared" ca="1" si="1085"/>
        <v>#NAME?</v>
      </c>
      <c r="AP126" s="23" t="e">
        <f ca="1">+'QTR Raw'!J90</f>
        <v>#NAME?</v>
      </c>
      <c r="AQ126" s="23" t="e">
        <f t="shared" ca="1" si="1085"/>
        <v>#NAME?</v>
      </c>
      <c r="AR126" s="23" t="e">
        <f ca="1">+'QTR Raw'!L90</f>
        <v>#NAME?</v>
      </c>
      <c r="AS126" s="23" t="e">
        <f t="shared" ca="1" si="1085"/>
        <v>#NAME?</v>
      </c>
      <c r="AT126" s="23" t="e">
        <f ca="1">+'QTR Raw'!N90</f>
        <v>#NAME?</v>
      </c>
      <c r="AU126" s="23" t="e">
        <f t="shared" ca="1" si="1085"/>
        <v>#NAME?</v>
      </c>
      <c r="AV126" s="23" t="e">
        <f ca="1">+'QTR Raw'!P90</f>
        <v>#NAME?</v>
      </c>
      <c r="AW126" s="23" t="e">
        <f t="shared" ca="1" si="1085"/>
        <v>#NAME?</v>
      </c>
      <c r="AX126" s="23" t="e">
        <f ca="1">+'QTR Raw'!R90</f>
        <v>#NAME?</v>
      </c>
      <c r="AY126" s="23" t="e">
        <f t="shared" ca="1" si="1085"/>
        <v>#NAME?</v>
      </c>
      <c r="AZ126" s="23" t="e">
        <f ca="1">+'QTR Raw'!T90</f>
        <v>#NAME?</v>
      </c>
      <c r="BA126" s="23" t="e">
        <f t="shared" ca="1" si="1085"/>
        <v>#NAME?</v>
      </c>
      <c r="BB126" s="23" t="e">
        <f ca="1">+'QTR Raw'!V90</f>
        <v>#NAME?</v>
      </c>
      <c r="BC126" s="23" t="e">
        <f t="shared" ca="1" si="1085"/>
        <v>#NAME?</v>
      </c>
      <c r="BD126" s="23" t="e">
        <f ca="1">+'QTR Raw'!X90</f>
        <v>#NAME?</v>
      </c>
      <c r="BE126" s="23" t="e">
        <f t="shared" ca="1" si="1085"/>
        <v>#NAME?</v>
      </c>
      <c r="BF126" s="23" t="e">
        <f ca="1">+'QTR Raw'!Z90</f>
        <v>#NAME?</v>
      </c>
      <c r="BG126" s="23" t="e">
        <f t="shared" ca="1" si="1085"/>
        <v>#NAME?</v>
      </c>
      <c r="BH126" s="22" t="e">
        <f ca="1">+'QTR Raw'!AB90</f>
        <v>#NAME?</v>
      </c>
      <c r="BI126" s="23" t="e">
        <f t="shared" ca="1" si="1085"/>
        <v>#NAME?</v>
      </c>
      <c r="BJ126" s="23" t="e">
        <f ca="1">+'QTR Raw'!AD90</f>
        <v>#NAME?</v>
      </c>
      <c r="BK126" s="23" t="e">
        <f t="shared" ca="1" si="1085"/>
        <v>#NAME?</v>
      </c>
      <c r="BL126" s="23" t="e">
        <f ca="1">+'QTR Raw'!AF90</f>
        <v>#NAME?</v>
      </c>
      <c r="BM126" s="23" t="e">
        <f t="shared" ca="1" si="1085"/>
        <v>#NAME?</v>
      </c>
      <c r="BN126" s="23" t="e">
        <f ca="1">+'QTR Raw'!AH90</f>
        <v>#NAME?</v>
      </c>
      <c r="BO126" s="23" t="e">
        <f t="shared" ca="1" si="1085"/>
        <v>#NAME?</v>
      </c>
      <c r="BP126" s="23" t="e">
        <f ca="1">+'QTR Raw'!AJ90</f>
        <v>#NAME?</v>
      </c>
      <c r="BQ126" s="23" t="e">
        <f t="shared" ca="1" si="1085"/>
        <v>#NAME?</v>
      </c>
      <c r="BR126" s="23" t="e">
        <f ca="1">+'QTR Raw'!AL90</f>
        <v>#NAME?</v>
      </c>
      <c r="BS126" s="23" t="e">
        <f t="shared" ca="1" si="1085"/>
        <v>#NAME?</v>
      </c>
      <c r="BT126" s="23" t="e">
        <f ca="1">+'QTR Raw'!AN90</f>
        <v>#NAME?</v>
      </c>
      <c r="BU126" s="23" t="e">
        <f t="shared" ca="1" si="1085"/>
        <v>#NAME?</v>
      </c>
      <c r="BV126" s="23" t="e">
        <f ca="1">+'QTR Raw'!AP90</f>
        <v>#NAME?</v>
      </c>
      <c r="BW126" s="23" t="e">
        <f t="shared" ca="1" si="1085"/>
        <v>#NAME?</v>
      </c>
      <c r="BX126" s="23" t="e">
        <f ca="1">+'QTR Raw'!AR90</f>
        <v>#NAME?</v>
      </c>
      <c r="BY126" s="23" t="e">
        <f t="shared" ca="1" si="1085"/>
        <v>#NAME?</v>
      </c>
      <c r="BZ126" s="23" t="e">
        <f ca="1">+'QTR Raw'!AT90</f>
        <v>#NAME?</v>
      </c>
      <c r="CA126" s="23" t="e">
        <f t="shared" ca="1" si="1085"/>
        <v>#NAME?</v>
      </c>
      <c r="CB126" s="23" t="e">
        <f ca="1">+'QTR Raw'!AV90</f>
        <v>#NAME?</v>
      </c>
      <c r="CC126" s="23" t="e">
        <f t="shared" ca="1" si="1085"/>
        <v>#NAME?</v>
      </c>
      <c r="CD126" s="23" t="e">
        <f ca="1">+'QTR Raw'!AX90</f>
        <v>#NAME?</v>
      </c>
      <c r="CE126" s="23" t="e">
        <f t="shared" ca="1" si="1086"/>
        <v>#NAME?</v>
      </c>
      <c r="CF126" s="23" t="e">
        <f ca="1">+'QTR Raw'!AZ90</f>
        <v>#NAME?</v>
      </c>
      <c r="CG126" s="23" t="e">
        <f t="shared" ca="1" si="1087"/>
        <v>#NAME?</v>
      </c>
      <c r="CH126" s="23" t="e">
        <f ca="1">+Z126</f>
        <v>#NAME?</v>
      </c>
      <c r="CI126" s="23" t="e">
        <f t="shared" ca="1" si="1087"/>
        <v>#NAME?</v>
      </c>
      <c r="CJ126" s="23" t="e">
        <f ca="1">+'QTR Raw'!BD90</f>
        <v>#NAME?</v>
      </c>
      <c r="CK126" s="23" t="e">
        <f t="shared" ca="1" si="1088"/>
        <v>#NAME?</v>
      </c>
      <c r="CL126" s="23" t="e">
        <f ca="1">+'QTR Raw'!BF90</f>
        <v>#NAME?</v>
      </c>
      <c r="CM126" s="24" t="e">
        <f t="shared" ca="1" si="1089"/>
        <v>#NAME?</v>
      </c>
      <c r="CN126" s="24" t="e">
        <f t="shared" ca="1" si="1090"/>
        <v>#NAME?</v>
      </c>
      <c r="CO126" s="24" t="e">
        <f t="shared" ca="1" si="1091"/>
        <v>#NAME?</v>
      </c>
      <c r="CP126" s="24" t="e">
        <f t="shared" ca="1" si="1092"/>
        <v>#NAME?</v>
      </c>
      <c r="CQ126" s="24" t="e">
        <f t="shared" ca="1" si="1093"/>
        <v>#NAME?</v>
      </c>
      <c r="CR126" s="24" t="e">
        <f t="shared" ca="1" si="1094"/>
        <v>#NAME?</v>
      </c>
      <c r="CS126" s="24" t="e">
        <f t="shared" ca="1" si="1095"/>
        <v>#NAME?</v>
      </c>
      <c r="CT126" s="24" t="e">
        <f t="shared" ca="1" si="1096"/>
        <v>#NAME?</v>
      </c>
      <c r="CU126" s="24" t="e">
        <f t="shared" ca="1" si="1097"/>
        <v>#NAME?</v>
      </c>
      <c r="CV126" s="24" t="e">
        <f t="shared" ca="1" si="1098"/>
        <v>#NAME?</v>
      </c>
      <c r="CW126" s="24" t="e">
        <f t="shared" ca="1" si="1099"/>
        <v>#NAME?</v>
      </c>
      <c r="CX126" s="24" t="e">
        <f t="shared" ca="1" si="1100"/>
        <v>#NAME?</v>
      </c>
      <c r="CY126" s="24" t="e">
        <f t="shared" ca="1" si="1101"/>
        <v>#NAME?</v>
      </c>
      <c r="CZ126" s="24" t="e">
        <f t="shared" ca="1" si="1102"/>
        <v>#NAME?</v>
      </c>
      <c r="DA126" s="24" t="e">
        <f t="shared" ca="1" si="1103"/>
        <v>#NAME?</v>
      </c>
      <c r="DB126" s="24" t="e">
        <f t="shared" ca="1" si="1104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Raw'!C57</f>
        <v>#NAME?</v>
      </c>
      <c r="C127" s="23" t="e">
        <f ca="1">'Annual Raw'!D57</f>
        <v>#NAME?</v>
      </c>
      <c r="D127" s="23" t="e">
        <f ca="1">'Annual Raw'!E57</f>
        <v>#NAME?</v>
      </c>
      <c r="E127" s="23" t="e">
        <f ca="1">'Annual Raw'!F57</f>
        <v>#NAME?</v>
      </c>
      <c r="F127" s="23" t="e">
        <f ca="1">'Annual Raw'!G57</f>
        <v>#NAME?</v>
      </c>
      <c r="G127" s="23" t="e">
        <f ca="1">'Annual Raw'!H57</f>
        <v>#NAME?</v>
      </c>
      <c r="H127" s="23" t="e">
        <f ca="1">'Annual Raw'!I57</f>
        <v>#NAME?</v>
      </c>
      <c r="I127" s="23" t="e">
        <f ca="1">'Annual Raw'!J57</f>
        <v>#NAME?</v>
      </c>
      <c r="J127" s="23" t="e">
        <f ca="1">'Annual Raw'!K57</f>
        <v>#NAME?</v>
      </c>
      <c r="K127" s="23" t="e">
        <f ca="1">'Annual Raw'!L57</f>
        <v>#NAME?</v>
      </c>
      <c r="L127" s="23" t="e">
        <f ca="1">'Annual Raw'!M57</f>
        <v>#NAME?</v>
      </c>
      <c r="M127" s="23" t="e">
        <f ca="1">'Annual Raw'!N57</f>
        <v>#NAME?</v>
      </c>
      <c r="N127" s="23" t="e">
        <f ca="1">'Annual Raw'!O57</f>
        <v>#NAME?</v>
      </c>
      <c r="O127" s="23" t="e">
        <f ca="1">'Annual Raw'!P57</f>
        <v>#NAME?</v>
      </c>
      <c r="P127" s="23" t="e">
        <f ca="1">'Annual Raw'!Q57</f>
        <v>#NAME?</v>
      </c>
      <c r="Q127" s="23" t="e">
        <f ca="1">'Annual Raw'!R57</f>
        <v>#NAME?</v>
      </c>
      <c r="R127" s="23" t="e">
        <f ca="1">'Annual Raw'!S57</f>
        <v>#NAME?</v>
      </c>
      <c r="S127" s="23" t="e">
        <f ca="1">'Annual Raw'!T57</f>
        <v>#NAME?</v>
      </c>
      <c r="T127" s="23" t="e">
        <f ca="1">'Annual Raw'!U57</f>
        <v>#NAME?</v>
      </c>
      <c r="U127" s="23" t="e">
        <f ca="1">'Annual Raw'!V57</f>
        <v>#NAME?</v>
      </c>
      <c r="V127" s="23" t="e">
        <f ca="1">'Annual Raw'!W57</f>
        <v>#NAME?</v>
      </c>
      <c r="W127" s="23" t="e">
        <f ca="1">'Annual Raw'!X57</f>
        <v>#NAME?</v>
      </c>
      <c r="X127" s="23" t="e">
        <f ca="1">'Annual Raw'!Y57</f>
        <v>#NAME?</v>
      </c>
      <c r="Y127" s="23" t="e">
        <f ca="1">'Annual Raw'!Z57</f>
        <v>#NAME?</v>
      </c>
      <c r="Z127" s="23" t="e">
        <f ca="1">'Annual Raw'!AA57</f>
        <v>#NAME?</v>
      </c>
      <c r="AA127" s="23" t="e">
        <f ca="1">'Annual Raw'!AB57</f>
        <v>#NAME?</v>
      </c>
      <c r="AB127" s="24" t="e">
        <f t="shared" ca="1" si="1081"/>
        <v>#NAME?</v>
      </c>
      <c r="AC127" s="24" t="e">
        <f t="shared" ca="1" si="1082"/>
        <v>#NAME?</v>
      </c>
      <c r="AD127" s="24" t="e">
        <f t="shared" ca="1" si="1083"/>
        <v>#NAME?</v>
      </c>
      <c r="AE127" s="24" t="e">
        <f t="shared" ca="1" si="1084"/>
        <v>#NAME?</v>
      </c>
      <c r="AJ127" s="23" t="e">
        <f ca="1">+'QTR Raw'!D88</f>
        <v>#NAME?</v>
      </c>
      <c r="AK127" s="23" t="e">
        <f t="shared" ca="1" si="1085"/>
        <v>#NAME?</v>
      </c>
      <c r="AL127" s="23" t="e">
        <f ca="1">+'QTR Raw'!F88</f>
        <v>#NAME?</v>
      </c>
      <c r="AM127" s="23" t="e">
        <f t="shared" ca="1" si="1085"/>
        <v>#NAME?</v>
      </c>
      <c r="AN127" s="23" t="e">
        <f ca="1">+'QTR Raw'!H88</f>
        <v>#NAME?</v>
      </c>
      <c r="AO127" s="23" t="e">
        <f t="shared" ca="1" si="1085"/>
        <v>#NAME?</v>
      </c>
      <c r="AP127" s="23" t="e">
        <f ca="1">+'QTR Raw'!J88</f>
        <v>#NAME?</v>
      </c>
      <c r="AQ127" s="23" t="e">
        <f t="shared" ca="1" si="1085"/>
        <v>#NAME?</v>
      </c>
      <c r="AR127" s="23" t="e">
        <f ca="1">+'QTR Raw'!L88</f>
        <v>#NAME?</v>
      </c>
      <c r="AS127" s="23" t="e">
        <f t="shared" ca="1" si="1085"/>
        <v>#NAME?</v>
      </c>
      <c r="AT127" s="23" t="e">
        <f ca="1">+'QTR Raw'!N88</f>
        <v>#NAME?</v>
      </c>
      <c r="AU127" s="23" t="e">
        <f t="shared" ca="1" si="1085"/>
        <v>#NAME?</v>
      </c>
      <c r="AV127" s="23" t="e">
        <f ca="1">+'QTR Raw'!P88</f>
        <v>#NAME?</v>
      </c>
      <c r="AW127" s="23" t="e">
        <f t="shared" ca="1" si="1085"/>
        <v>#NAME?</v>
      </c>
      <c r="AX127" s="23" t="e">
        <f ca="1">+'QTR Raw'!R88</f>
        <v>#NAME?</v>
      </c>
      <c r="AY127" s="23" t="e">
        <f t="shared" ca="1" si="1085"/>
        <v>#NAME?</v>
      </c>
      <c r="AZ127" s="23" t="e">
        <f ca="1">+'QTR Raw'!T88</f>
        <v>#NAME?</v>
      </c>
      <c r="BA127" s="23" t="e">
        <f t="shared" ca="1" si="1085"/>
        <v>#NAME?</v>
      </c>
      <c r="BB127" s="23" t="e">
        <f ca="1">+'QTR Raw'!V88</f>
        <v>#NAME?</v>
      </c>
      <c r="BC127" s="23" t="e">
        <f t="shared" ca="1" si="1085"/>
        <v>#NAME?</v>
      </c>
      <c r="BD127" s="23" t="e">
        <f ca="1">+'QTR Raw'!X88</f>
        <v>#NAME?</v>
      </c>
      <c r="BE127" s="23" t="e">
        <f t="shared" ca="1" si="1085"/>
        <v>#NAME?</v>
      </c>
      <c r="BF127" s="23" t="e">
        <f ca="1">+'QTR Raw'!Z88</f>
        <v>#NAME?</v>
      </c>
      <c r="BG127" s="23" t="e">
        <f t="shared" ca="1" si="1085"/>
        <v>#NAME?</v>
      </c>
      <c r="BH127" s="23" t="e">
        <f ca="1">+'QTR Raw'!AB88</f>
        <v>#NAME?</v>
      </c>
      <c r="BI127" s="23" t="e">
        <f t="shared" ca="1" si="1085"/>
        <v>#NAME?</v>
      </c>
      <c r="BJ127" s="23" t="e">
        <f ca="1">+'QTR Raw'!AD88</f>
        <v>#NAME?</v>
      </c>
      <c r="BK127" s="23" t="e">
        <f t="shared" ca="1" si="1085"/>
        <v>#NAME?</v>
      </c>
      <c r="BL127" s="23" t="e">
        <f ca="1">+'QTR Raw'!AF88</f>
        <v>#NAME?</v>
      </c>
      <c r="BM127" s="23" t="e">
        <f t="shared" ca="1" si="1085"/>
        <v>#NAME?</v>
      </c>
      <c r="BN127" s="23" t="e">
        <f ca="1">+'QTR Raw'!AH88</f>
        <v>#NAME?</v>
      </c>
      <c r="BO127" s="23" t="e">
        <f t="shared" ca="1" si="1085"/>
        <v>#NAME?</v>
      </c>
      <c r="BP127" s="23" t="e">
        <f ca="1">+'QTR Raw'!AJ88</f>
        <v>#NAME?</v>
      </c>
      <c r="BQ127" s="23" t="e">
        <f t="shared" ca="1" si="1085"/>
        <v>#NAME?</v>
      </c>
      <c r="BR127" s="23" t="e">
        <f ca="1">+'QTR Raw'!AL88</f>
        <v>#NAME?</v>
      </c>
      <c r="BS127" s="23" t="e">
        <f t="shared" ca="1" si="1085"/>
        <v>#NAME?</v>
      </c>
      <c r="BT127" s="23" t="e">
        <f ca="1">+'QTR Raw'!AN88</f>
        <v>#NAME?</v>
      </c>
      <c r="BU127" s="23" t="e">
        <f t="shared" ca="1" si="1085"/>
        <v>#NAME?</v>
      </c>
      <c r="BV127" s="23" t="e">
        <f ca="1">+'QTR Raw'!AP88</f>
        <v>#NAME?</v>
      </c>
      <c r="BW127" s="23" t="e">
        <f t="shared" ca="1" si="1085"/>
        <v>#NAME?</v>
      </c>
      <c r="BX127" s="23" t="e">
        <f ca="1">+'QTR Raw'!AR88</f>
        <v>#NAME?</v>
      </c>
      <c r="BY127" s="23" t="e">
        <f t="shared" ca="1" si="1085"/>
        <v>#NAME?</v>
      </c>
      <c r="BZ127" s="23" t="e">
        <f ca="1">+'QTR Raw'!AT88</f>
        <v>#NAME?</v>
      </c>
      <c r="CA127" s="23" t="e">
        <f t="shared" ca="1" si="1085"/>
        <v>#NAME?</v>
      </c>
      <c r="CB127" s="23" t="e">
        <f ca="1">+'QTR Raw'!AV88</f>
        <v>#NAME?</v>
      </c>
      <c r="CC127" s="23" t="e">
        <f t="shared" ca="1" si="1085"/>
        <v>#NAME?</v>
      </c>
      <c r="CD127" s="23" t="e">
        <f ca="1">+'QTR Raw'!AX88</f>
        <v>#NAME?</v>
      </c>
      <c r="CE127" s="23" t="e">
        <f t="shared" ca="1" si="1086"/>
        <v>#NAME?</v>
      </c>
      <c r="CF127" s="23" t="e">
        <f ca="1">+'QTR Raw'!AZ88</f>
        <v>#NAME?</v>
      </c>
      <c r="CG127" s="23" t="e">
        <f t="shared" ca="1" si="1087"/>
        <v>#NAME?</v>
      </c>
      <c r="CH127" s="23" t="e">
        <f t="shared" ca="1" si="1063"/>
        <v>#NAME?</v>
      </c>
      <c r="CI127" s="23" t="e">
        <f t="shared" ca="1" si="1087"/>
        <v>#NAME?</v>
      </c>
      <c r="CJ127" s="23" t="e">
        <f ca="1">+'QTR Raw'!BD88</f>
        <v>#NAME?</v>
      </c>
      <c r="CK127" s="23" t="e">
        <f t="shared" ca="1" si="1088"/>
        <v>#NAME?</v>
      </c>
      <c r="CL127" s="23" t="e">
        <f ca="1">+'QTR Raw'!BF88</f>
        <v>#NAME?</v>
      </c>
      <c r="CM127" s="24" t="e">
        <f t="shared" ca="1" si="1089"/>
        <v>#NAME?</v>
      </c>
      <c r="CN127" s="24" t="e">
        <f t="shared" ca="1" si="1090"/>
        <v>#NAME?</v>
      </c>
      <c r="CO127" s="24" t="e">
        <f t="shared" ca="1" si="1091"/>
        <v>#NAME?</v>
      </c>
      <c r="CP127" s="24" t="e">
        <f t="shared" ca="1" si="1092"/>
        <v>#NAME?</v>
      </c>
      <c r="CQ127" s="24" t="e">
        <f t="shared" ca="1" si="1093"/>
        <v>#NAME?</v>
      </c>
      <c r="CR127" s="24" t="e">
        <f t="shared" ca="1" si="1094"/>
        <v>#NAME?</v>
      </c>
      <c r="CS127" s="24" t="e">
        <f t="shared" ca="1" si="1095"/>
        <v>#NAME?</v>
      </c>
      <c r="CT127" s="24" t="e">
        <f t="shared" ca="1" si="1096"/>
        <v>#NAME?</v>
      </c>
      <c r="CU127" s="24" t="e">
        <f t="shared" ca="1" si="1097"/>
        <v>#NAME?</v>
      </c>
      <c r="CV127" s="24" t="e">
        <f t="shared" ca="1" si="1098"/>
        <v>#NAME?</v>
      </c>
      <c r="CW127" s="24" t="e">
        <f t="shared" ca="1" si="1099"/>
        <v>#NAME?</v>
      </c>
      <c r="CX127" s="24" t="e">
        <f t="shared" ca="1" si="1100"/>
        <v>#NAME?</v>
      </c>
      <c r="CY127" s="24" t="e">
        <f t="shared" ca="1" si="1101"/>
        <v>#NAME?</v>
      </c>
      <c r="CZ127" s="24" t="e">
        <f t="shared" ca="1" si="1102"/>
        <v>#NAME?</v>
      </c>
      <c r="DA127" s="24" t="e">
        <f t="shared" ca="1" si="1103"/>
        <v>#NAME?</v>
      </c>
      <c r="DB127" s="24" t="e">
        <f t="shared" ca="1" si="1104"/>
        <v>#NAME?</v>
      </c>
      <c r="DE127" s="123"/>
      <c r="DF127" s="23">
        <v>4.1500000000000004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05">SUM(C124:C127)</f>
        <v>#NAME?</v>
      </c>
      <c r="D128" s="22" t="e">
        <f t="shared" ca="1" si="1105"/>
        <v>#NAME?</v>
      </c>
      <c r="E128" s="22" t="e">
        <f t="shared" ca="1" si="1105"/>
        <v>#NAME?</v>
      </c>
      <c r="F128" s="22" t="e">
        <f t="shared" ca="1" si="1105"/>
        <v>#NAME?</v>
      </c>
      <c r="G128" s="22" t="e">
        <f t="shared" ca="1" si="1105"/>
        <v>#NAME?</v>
      </c>
      <c r="H128" s="22" t="e">
        <f t="shared" ca="1" si="1105"/>
        <v>#NAME?</v>
      </c>
      <c r="I128" s="22" t="e">
        <f t="shared" ca="1" si="1105"/>
        <v>#NAME?</v>
      </c>
      <c r="J128" s="22" t="e">
        <f t="shared" ca="1" si="1105"/>
        <v>#NAME?</v>
      </c>
      <c r="K128" s="22" t="e">
        <f t="shared" ca="1" si="1105"/>
        <v>#NAME?</v>
      </c>
      <c r="L128" s="22" t="e">
        <f t="shared" ca="1" si="1105"/>
        <v>#NAME?</v>
      </c>
      <c r="M128" s="22" t="e">
        <f t="shared" ca="1" si="1105"/>
        <v>#NAME?</v>
      </c>
      <c r="N128" s="22" t="e">
        <f t="shared" ca="1" si="1105"/>
        <v>#NAME?</v>
      </c>
      <c r="O128" s="22" t="e">
        <f t="shared" ca="1" si="1105"/>
        <v>#NAME?</v>
      </c>
      <c r="P128" s="22" t="e">
        <f t="shared" ca="1" si="1105"/>
        <v>#NAME?</v>
      </c>
      <c r="Q128" s="22" t="e">
        <f t="shared" ca="1" si="1105"/>
        <v>#NAME?</v>
      </c>
      <c r="R128" s="22" t="e">
        <f t="shared" ca="1" si="1105"/>
        <v>#NAME?</v>
      </c>
      <c r="S128" s="22" t="e">
        <f t="shared" ca="1" si="1105"/>
        <v>#NAME?</v>
      </c>
      <c r="T128" s="22" t="e">
        <f t="shared" ca="1" si="1105"/>
        <v>#NAME?</v>
      </c>
      <c r="U128" s="22" t="e">
        <f t="shared" ca="1" si="1105"/>
        <v>#NAME?</v>
      </c>
      <c r="V128" s="22" t="e">
        <f t="shared" ca="1" si="1105"/>
        <v>#NAME?</v>
      </c>
      <c r="W128" s="22" t="e">
        <f t="shared" ref="W128" ca="1" si="1106">SUM(W124:W127)</f>
        <v>#NAME?</v>
      </c>
      <c r="X128" s="22" t="e">
        <f t="shared" ref="X128:Y128" ca="1" si="1107">SUM(X124:X127)</f>
        <v>#NAME?</v>
      </c>
      <c r="Y128" s="22" t="e">
        <f t="shared" ca="1" si="1107"/>
        <v>#NAME?</v>
      </c>
      <c r="Z128" s="22" t="e">
        <f t="shared" ref="Z128:AA128" ca="1" si="1108">SUM(Z124:Z127)</f>
        <v>#NAME?</v>
      </c>
      <c r="AA128" s="22" t="e">
        <f t="shared" ca="1" si="1108"/>
        <v>#NAME?</v>
      </c>
      <c r="AB128" s="21" t="e">
        <f t="shared" ref="AA128:AD128" ca="1" si="1109">SUM(AB124:AB127)</f>
        <v>#NAME?</v>
      </c>
      <c r="AC128" s="21" t="e">
        <f t="shared" ca="1" si="1109"/>
        <v>#NAME?</v>
      </c>
      <c r="AD128" s="21" t="e">
        <f t="shared" ca="1" si="1109"/>
        <v>#NAME?</v>
      </c>
      <c r="AE128" s="21" t="e">
        <f t="shared" ref="AE128" ca="1" si="1110">SUM(AE124:AE127)</f>
        <v>#NAME?</v>
      </c>
      <c r="AJ128" s="22" t="e">
        <f t="shared" ref="AJ128" ca="1" si="1111">SUM(AJ124:AJ127)</f>
        <v>#NAME?</v>
      </c>
      <c r="AK128" s="22" t="e">
        <f t="shared" ref="AK128" ca="1" si="1112">SUM(AK124:AK127)</f>
        <v>#NAME?</v>
      </c>
      <c r="AL128" s="22" t="e">
        <f t="shared" ref="AL128:AM128" ca="1" si="1113">SUM(AL124:AL127)</f>
        <v>#NAME?</v>
      </c>
      <c r="AM128" s="22" t="e">
        <f t="shared" ca="1" si="1113"/>
        <v>#NAME?</v>
      </c>
      <c r="AN128" s="22" t="e">
        <f t="shared" ref="AN128:AO128" ca="1" si="1114">SUM(AN124:AN127)</f>
        <v>#NAME?</v>
      </c>
      <c r="AO128" s="22" t="e">
        <f t="shared" ca="1" si="1114"/>
        <v>#NAME?</v>
      </c>
      <c r="AP128" s="22" t="e">
        <f t="shared" ref="AP128:CE128" ca="1" si="1115">SUM(AP124:AP127)</f>
        <v>#NAME?</v>
      </c>
      <c r="AQ128" s="22" t="e">
        <f t="shared" ca="1" si="1115"/>
        <v>#NAME?</v>
      </c>
      <c r="AR128" s="22" t="e">
        <f t="shared" ca="1" si="1115"/>
        <v>#NAME?</v>
      </c>
      <c r="AS128" s="22" t="e">
        <f t="shared" ca="1" si="1115"/>
        <v>#NAME?</v>
      </c>
      <c r="AT128" s="22" t="e">
        <f t="shared" ca="1" si="1115"/>
        <v>#NAME?</v>
      </c>
      <c r="AU128" s="22" t="e">
        <f t="shared" ca="1" si="1115"/>
        <v>#NAME?</v>
      </c>
      <c r="AV128" s="22" t="e">
        <f t="shared" ca="1" si="1115"/>
        <v>#NAME?</v>
      </c>
      <c r="AW128" s="22" t="e">
        <f t="shared" ca="1" si="1115"/>
        <v>#NAME?</v>
      </c>
      <c r="AX128" s="22" t="e">
        <f t="shared" ca="1" si="1115"/>
        <v>#NAME?</v>
      </c>
      <c r="AY128" s="22" t="e">
        <f t="shared" ca="1" si="1115"/>
        <v>#NAME?</v>
      </c>
      <c r="AZ128" s="22" t="e">
        <f t="shared" ca="1" si="1115"/>
        <v>#NAME?</v>
      </c>
      <c r="BA128" s="22" t="e">
        <f t="shared" ca="1" si="1115"/>
        <v>#NAME?</v>
      </c>
      <c r="BB128" s="22" t="e">
        <f t="shared" ca="1" si="1115"/>
        <v>#NAME?</v>
      </c>
      <c r="BC128" s="22" t="e">
        <f t="shared" ca="1" si="1115"/>
        <v>#NAME?</v>
      </c>
      <c r="BD128" s="22" t="e">
        <f t="shared" ca="1" si="1115"/>
        <v>#NAME?</v>
      </c>
      <c r="BE128" s="22" t="e">
        <f t="shared" ca="1" si="1115"/>
        <v>#NAME?</v>
      </c>
      <c r="BF128" s="22" t="e">
        <f t="shared" ca="1" si="1115"/>
        <v>#NAME?</v>
      </c>
      <c r="BG128" s="22" t="e">
        <f t="shared" ca="1" si="1115"/>
        <v>#NAME?</v>
      </c>
      <c r="BH128" s="22" t="e">
        <f t="shared" ref="BH128" ca="1" si="1116">SUM(BH124:BH127)</f>
        <v>#NAME?</v>
      </c>
      <c r="BI128" s="22" t="e">
        <f t="shared" ca="1" si="1115"/>
        <v>#NAME?</v>
      </c>
      <c r="BJ128" s="22" t="e">
        <f t="shared" ca="1" si="1115"/>
        <v>#NAME?</v>
      </c>
      <c r="BK128" s="22" t="e">
        <f t="shared" ca="1" si="1115"/>
        <v>#NAME?</v>
      </c>
      <c r="BL128" s="22" t="e">
        <f t="shared" ca="1" si="1115"/>
        <v>#NAME?</v>
      </c>
      <c r="BM128" s="22" t="e">
        <f t="shared" ca="1" si="1115"/>
        <v>#NAME?</v>
      </c>
      <c r="BN128" s="22" t="e">
        <f t="shared" ca="1" si="1115"/>
        <v>#NAME?</v>
      </c>
      <c r="BO128" s="22" t="e">
        <f t="shared" ca="1" si="1115"/>
        <v>#NAME?</v>
      </c>
      <c r="BP128" s="22" t="e">
        <f t="shared" ca="1" si="1115"/>
        <v>#NAME?</v>
      </c>
      <c r="BQ128" s="22" t="e">
        <f t="shared" ca="1" si="1115"/>
        <v>#NAME?</v>
      </c>
      <c r="BR128" s="22" t="e">
        <f t="shared" ca="1" si="1115"/>
        <v>#NAME?</v>
      </c>
      <c r="BS128" s="22" t="e">
        <f t="shared" ca="1" si="1115"/>
        <v>#NAME?</v>
      </c>
      <c r="BT128" s="22" t="e">
        <f t="shared" ca="1" si="1115"/>
        <v>#NAME?</v>
      </c>
      <c r="BU128" s="22" t="e">
        <f t="shared" ca="1" si="1115"/>
        <v>#NAME?</v>
      </c>
      <c r="BV128" s="22" t="e">
        <f t="shared" ca="1" si="1115"/>
        <v>#NAME?</v>
      </c>
      <c r="BW128" s="22" t="e">
        <f t="shared" ca="1" si="1115"/>
        <v>#NAME?</v>
      </c>
      <c r="BX128" s="22" t="e">
        <f t="shared" ca="1" si="1115"/>
        <v>#NAME?</v>
      </c>
      <c r="BY128" s="22" t="e">
        <f t="shared" ca="1" si="1115"/>
        <v>#NAME?</v>
      </c>
      <c r="BZ128" s="22" t="e">
        <f t="shared" ca="1" si="1115"/>
        <v>#NAME?</v>
      </c>
      <c r="CA128" s="22" t="e">
        <f t="shared" ca="1" si="1115"/>
        <v>#NAME?</v>
      </c>
      <c r="CB128" s="22" t="e">
        <f t="shared" ca="1" si="1115"/>
        <v>#NAME?</v>
      </c>
      <c r="CC128" s="22" t="e">
        <f t="shared" ca="1" si="1115"/>
        <v>#NAME?</v>
      </c>
      <c r="CD128" s="22" t="e">
        <f t="shared" ca="1" si="1115"/>
        <v>#NAME?</v>
      </c>
      <c r="CE128" s="22" t="e">
        <f t="shared" ca="1" si="1115"/>
        <v>#NAME?</v>
      </c>
      <c r="CF128" s="22" t="e">
        <f t="shared" ref="CF128:CG128" ca="1" si="1117">SUM(CF124:CF127)</f>
        <v>#NAME?</v>
      </c>
      <c r="CG128" s="22" t="e">
        <f t="shared" ca="1" si="1117"/>
        <v>#NAME?</v>
      </c>
      <c r="CH128" s="22" t="e">
        <f t="shared" ref="CH128:CI128" ca="1" si="1118">SUM(CH124:CH127)</f>
        <v>#NAME?</v>
      </c>
      <c r="CI128" s="22" t="e">
        <f t="shared" ca="1" si="1118"/>
        <v>#NAME?</v>
      </c>
      <c r="CJ128" s="22" t="e">
        <f t="shared" ref="CJ128:DB128" ca="1" si="1119">SUM(CJ124:CJ127)</f>
        <v>#NAME?</v>
      </c>
      <c r="CK128" s="22" t="e">
        <f t="shared" ca="1" si="1119"/>
        <v>#NAME?</v>
      </c>
      <c r="CL128" s="22" t="e">
        <f t="shared" ref="CL128" ca="1" si="1120">SUM(CL124:CL127)</f>
        <v>#NAME?</v>
      </c>
      <c r="CM128" s="21" t="e">
        <f t="shared" ca="1" si="1119"/>
        <v>#NAME?</v>
      </c>
      <c r="CN128" s="21" t="e">
        <f t="shared" ca="1" si="1119"/>
        <v>#NAME?</v>
      </c>
      <c r="CO128" s="21" t="e">
        <f t="shared" ca="1" si="1119"/>
        <v>#NAME?</v>
      </c>
      <c r="CP128" s="21" t="e">
        <f t="shared" ca="1" si="1119"/>
        <v>#NAME?</v>
      </c>
      <c r="CQ128" s="21" t="e">
        <f t="shared" ca="1" si="1119"/>
        <v>#NAME?</v>
      </c>
      <c r="CR128" s="21" t="e">
        <f t="shared" ca="1" si="1119"/>
        <v>#NAME?</v>
      </c>
      <c r="CS128" s="21" t="e">
        <f t="shared" ca="1" si="1119"/>
        <v>#NAME?</v>
      </c>
      <c r="CT128" s="21" t="e">
        <f t="shared" ca="1" si="1119"/>
        <v>#NAME?</v>
      </c>
      <c r="CU128" s="21" t="e">
        <f t="shared" ca="1" si="1119"/>
        <v>#NAME?</v>
      </c>
      <c r="CV128" s="21" t="e">
        <f t="shared" ca="1" si="1119"/>
        <v>#NAME?</v>
      </c>
      <c r="CW128" s="21" t="e">
        <f t="shared" ca="1" si="1119"/>
        <v>#NAME?</v>
      </c>
      <c r="CX128" s="21" t="e">
        <f t="shared" ca="1" si="1119"/>
        <v>#NAME?</v>
      </c>
      <c r="CY128" s="21" t="e">
        <f t="shared" ca="1" si="1119"/>
        <v>#NAME?</v>
      </c>
      <c r="CZ128" s="21" t="e">
        <f t="shared" ca="1" si="1119"/>
        <v>#NAME?</v>
      </c>
      <c r="DA128" s="21" t="e">
        <f t="shared" ca="1" si="1119"/>
        <v>#NAME?</v>
      </c>
      <c r="DB128" s="21" t="e">
        <f t="shared" ca="1" si="1119"/>
        <v>#NAME?</v>
      </c>
      <c r="DE128" s="126"/>
      <c r="DF128" s="22">
        <v>24.439999999999998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1">C128+C120+C122</f>
        <v>#NAME?</v>
      </c>
      <c r="D129" s="26" t="e">
        <f ca="1">D128+D120+D122</f>
        <v>#NAME?</v>
      </c>
      <c r="E129" s="26" t="e">
        <f t="shared" ca="1" si="1121"/>
        <v>#NAME?</v>
      </c>
      <c r="F129" s="26" t="e">
        <f t="shared" ca="1" si="1121"/>
        <v>#NAME?</v>
      </c>
      <c r="G129" s="26" t="e">
        <f t="shared" ca="1" si="1121"/>
        <v>#NAME?</v>
      </c>
      <c r="H129" s="26" t="e">
        <f t="shared" ca="1" si="1121"/>
        <v>#NAME?</v>
      </c>
      <c r="I129" s="26" t="e">
        <f t="shared" ca="1" si="1121"/>
        <v>#NAME?</v>
      </c>
      <c r="J129" s="26" t="e">
        <f t="shared" ca="1" si="1121"/>
        <v>#NAME?</v>
      </c>
      <c r="K129" s="26" t="e">
        <f t="shared" ca="1" si="1121"/>
        <v>#NAME?</v>
      </c>
      <c r="L129" s="26" t="e">
        <f t="shared" ca="1" si="1121"/>
        <v>#NAME?</v>
      </c>
      <c r="M129" s="26" t="e">
        <f t="shared" ca="1" si="1121"/>
        <v>#NAME?</v>
      </c>
      <c r="N129" s="26" t="e">
        <f t="shared" ca="1" si="1121"/>
        <v>#NAME?</v>
      </c>
      <c r="O129" s="26" t="e">
        <f t="shared" ca="1" si="1121"/>
        <v>#NAME?</v>
      </c>
      <c r="P129" s="26" t="e">
        <f t="shared" ca="1" si="1121"/>
        <v>#NAME?</v>
      </c>
      <c r="Q129" s="26" t="e">
        <f t="shared" ca="1" si="1121"/>
        <v>#NAME?</v>
      </c>
      <c r="R129" s="26" t="e">
        <f t="shared" ca="1" si="1121"/>
        <v>#NAME?</v>
      </c>
      <c r="S129" s="26" t="e">
        <f t="shared" ca="1" si="1121"/>
        <v>#NAME?</v>
      </c>
      <c r="T129" s="26" t="e">
        <f t="shared" ca="1" si="1121"/>
        <v>#NAME?</v>
      </c>
      <c r="U129" s="26" t="e">
        <f t="shared" ca="1" si="1121"/>
        <v>#NAME?</v>
      </c>
      <c r="V129" s="26" t="e">
        <f t="shared" ca="1" si="1121"/>
        <v>#NAME?</v>
      </c>
      <c r="W129" s="26" t="e">
        <f t="shared" ref="W129" ca="1" si="1122">W128+W120+W122</f>
        <v>#NAME?</v>
      </c>
      <c r="X129" s="26" t="e">
        <f t="shared" ref="X129:Y129" ca="1" si="1123">X128+X120+X122</f>
        <v>#NAME?</v>
      </c>
      <c r="Y129" s="26" t="e">
        <f t="shared" ca="1" si="1123"/>
        <v>#NAME?</v>
      </c>
      <c r="Z129" s="26" t="e">
        <f t="shared" ref="Z129:AA129" ca="1" si="1124">Z128+Z120+Z122</f>
        <v>#NAME?</v>
      </c>
      <c r="AA129" s="26" t="e">
        <f t="shared" ca="1" si="1124"/>
        <v>#NAME?</v>
      </c>
      <c r="AB129" s="27" t="e">
        <f t="shared" ref="AA129:AD129" ca="1" si="1125">AB128+AB120+AB122</f>
        <v>#NAME?</v>
      </c>
      <c r="AC129" s="27" t="e">
        <f t="shared" ca="1" si="1125"/>
        <v>#NAME?</v>
      </c>
      <c r="AD129" s="27" t="e">
        <f t="shared" ca="1" si="1125"/>
        <v>#NAME?</v>
      </c>
      <c r="AE129" s="27" t="e">
        <f t="shared" ref="AE129" ca="1" si="1126">AE128+AE120+AE122</f>
        <v>#NAME?</v>
      </c>
      <c r="AJ129" s="26" t="e">
        <f t="shared" ref="AJ129" ca="1" si="1127">AJ128+AJ120+AJ122</f>
        <v>#NAME?</v>
      </c>
      <c r="AK129" s="26" t="e">
        <f t="shared" ref="AK129" ca="1" si="1128">AK128+AK120+AK122</f>
        <v>#NAME?</v>
      </c>
      <c r="AL129" s="26" t="e">
        <f t="shared" ref="AL129" ca="1" si="1129">AL128+AL120+AL122</f>
        <v>#NAME?</v>
      </c>
      <c r="AM129" s="26" t="e">
        <f t="shared" ref="AM129:AO129" ca="1" si="1130">AM128+AM120+AM122</f>
        <v>#NAME?</v>
      </c>
      <c r="AN129" s="26" t="e">
        <f t="shared" ca="1" si="1130"/>
        <v>#NAME?</v>
      </c>
      <c r="AO129" s="26" t="e">
        <f t="shared" ca="1" si="1130"/>
        <v>#NAME?</v>
      </c>
      <c r="AP129" s="26" t="e">
        <f t="shared" ref="AP129:CE129" ca="1" si="1131">AP128+AP120+AP122</f>
        <v>#NAME?</v>
      </c>
      <c r="AQ129" s="26" t="e">
        <f t="shared" ca="1" si="1131"/>
        <v>#NAME?</v>
      </c>
      <c r="AR129" s="26" t="e">
        <f t="shared" ca="1" si="1131"/>
        <v>#NAME?</v>
      </c>
      <c r="AS129" s="26" t="e">
        <f t="shared" ca="1" si="1131"/>
        <v>#NAME?</v>
      </c>
      <c r="AT129" s="26" t="e">
        <f t="shared" ca="1" si="1131"/>
        <v>#NAME?</v>
      </c>
      <c r="AU129" s="26" t="e">
        <f t="shared" ca="1" si="1131"/>
        <v>#NAME?</v>
      </c>
      <c r="AV129" s="26" t="e">
        <f t="shared" ca="1" si="1131"/>
        <v>#NAME?</v>
      </c>
      <c r="AW129" s="26" t="e">
        <f t="shared" ca="1" si="1131"/>
        <v>#NAME?</v>
      </c>
      <c r="AX129" s="26" t="e">
        <f t="shared" ca="1" si="1131"/>
        <v>#NAME?</v>
      </c>
      <c r="AY129" s="26" t="e">
        <f t="shared" ca="1" si="1131"/>
        <v>#NAME?</v>
      </c>
      <c r="AZ129" s="26" t="e">
        <f t="shared" ca="1" si="1131"/>
        <v>#NAME?</v>
      </c>
      <c r="BA129" s="26" t="e">
        <f t="shared" ca="1" si="1131"/>
        <v>#NAME?</v>
      </c>
      <c r="BB129" s="26" t="e">
        <f t="shared" ca="1" si="1131"/>
        <v>#NAME?</v>
      </c>
      <c r="BC129" s="26" t="e">
        <f t="shared" ca="1" si="1131"/>
        <v>#NAME?</v>
      </c>
      <c r="BD129" s="26" t="e">
        <f t="shared" ca="1" si="1131"/>
        <v>#NAME?</v>
      </c>
      <c r="BE129" s="26" t="e">
        <f t="shared" ca="1" si="1131"/>
        <v>#NAME?</v>
      </c>
      <c r="BF129" s="26" t="e">
        <f t="shared" ca="1" si="1131"/>
        <v>#NAME?</v>
      </c>
      <c r="BG129" s="26" t="e">
        <f t="shared" ca="1" si="1131"/>
        <v>#NAME?</v>
      </c>
      <c r="BH129" s="26" t="e">
        <f t="shared" ref="BH129" ca="1" si="1132">BH128+BH120+BH122</f>
        <v>#NAME?</v>
      </c>
      <c r="BI129" s="26" t="e">
        <f t="shared" ca="1" si="1131"/>
        <v>#NAME?</v>
      </c>
      <c r="BJ129" s="26" t="e">
        <f t="shared" ca="1" si="1131"/>
        <v>#NAME?</v>
      </c>
      <c r="BK129" s="26" t="e">
        <f t="shared" ca="1" si="1131"/>
        <v>#NAME?</v>
      </c>
      <c r="BL129" s="26" t="e">
        <f t="shared" ca="1" si="1131"/>
        <v>#NAME?</v>
      </c>
      <c r="BM129" s="26" t="e">
        <f t="shared" ca="1" si="1131"/>
        <v>#NAME?</v>
      </c>
      <c r="BN129" s="26" t="e">
        <f t="shared" ca="1" si="1131"/>
        <v>#NAME?</v>
      </c>
      <c r="BO129" s="26" t="e">
        <f t="shared" ca="1" si="1131"/>
        <v>#NAME?</v>
      </c>
      <c r="BP129" s="26" t="e">
        <f t="shared" ca="1" si="1131"/>
        <v>#NAME?</v>
      </c>
      <c r="BQ129" s="26" t="e">
        <f t="shared" ca="1" si="1131"/>
        <v>#NAME?</v>
      </c>
      <c r="BR129" s="26" t="e">
        <f t="shared" ca="1" si="1131"/>
        <v>#NAME?</v>
      </c>
      <c r="BS129" s="26" t="e">
        <f t="shared" ca="1" si="1131"/>
        <v>#NAME?</v>
      </c>
      <c r="BT129" s="26" t="e">
        <f t="shared" ca="1" si="1131"/>
        <v>#NAME?</v>
      </c>
      <c r="BU129" s="26" t="e">
        <f t="shared" ca="1" si="1131"/>
        <v>#NAME?</v>
      </c>
      <c r="BV129" s="26" t="e">
        <f t="shared" ca="1" si="1131"/>
        <v>#NAME?</v>
      </c>
      <c r="BW129" s="26" t="e">
        <f t="shared" ca="1" si="1131"/>
        <v>#NAME?</v>
      </c>
      <c r="BX129" s="26" t="e">
        <f t="shared" ca="1" si="1131"/>
        <v>#NAME?</v>
      </c>
      <c r="BY129" s="26" t="e">
        <f t="shared" ca="1" si="1131"/>
        <v>#NAME?</v>
      </c>
      <c r="BZ129" s="26" t="e">
        <f t="shared" ca="1" si="1131"/>
        <v>#NAME?</v>
      </c>
      <c r="CA129" s="26" t="e">
        <f t="shared" ca="1" si="1131"/>
        <v>#NAME?</v>
      </c>
      <c r="CB129" s="26" t="e">
        <f t="shared" ca="1" si="1131"/>
        <v>#NAME?</v>
      </c>
      <c r="CC129" s="26" t="e">
        <f t="shared" ca="1" si="1131"/>
        <v>#NAME?</v>
      </c>
      <c r="CD129" s="26" t="e">
        <f t="shared" ca="1" si="1131"/>
        <v>#NAME?</v>
      </c>
      <c r="CE129" s="26" t="e">
        <f t="shared" ca="1" si="1131"/>
        <v>#NAME?</v>
      </c>
      <c r="CF129" s="26" t="e">
        <f t="shared" ref="CF129:CG129" ca="1" si="1133">CF128+CF120+CF122</f>
        <v>#NAME?</v>
      </c>
      <c r="CG129" s="26" t="e">
        <f t="shared" ca="1" si="1133"/>
        <v>#NAME?</v>
      </c>
      <c r="CH129" s="26" t="e">
        <f t="shared" ref="CH129:CI129" ca="1" si="1134">CH128+CH120+CH122</f>
        <v>#NAME?</v>
      </c>
      <c r="CI129" s="26" t="e">
        <f t="shared" ca="1" si="1134"/>
        <v>#NAME?</v>
      </c>
      <c r="CJ129" s="26" t="e">
        <f t="shared" ref="CJ129:DB129" ca="1" si="1135">CJ128+CJ120+CJ122</f>
        <v>#NAME?</v>
      </c>
      <c r="CK129" s="26" t="e">
        <f t="shared" ca="1" si="1135"/>
        <v>#NAME?</v>
      </c>
      <c r="CL129" s="26" t="e">
        <f t="shared" ref="CL129" ca="1" si="1136">CL128+CL120+CL122</f>
        <v>#NAME?</v>
      </c>
      <c r="CM129" s="27" t="e">
        <f t="shared" ca="1" si="1135"/>
        <v>#NAME?</v>
      </c>
      <c r="CN129" s="27" t="e">
        <f t="shared" ca="1" si="1135"/>
        <v>#NAME?</v>
      </c>
      <c r="CO129" s="27" t="e">
        <f t="shared" ca="1" si="1135"/>
        <v>#NAME?</v>
      </c>
      <c r="CP129" s="27" t="e">
        <f t="shared" ca="1" si="1135"/>
        <v>#NAME?</v>
      </c>
      <c r="CQ129" s="27" t="e">
        <f t="shared" ca="1" si="1135"/>
        <v>#NAME?</v>
      </c>
      <c r="CR129" s="27" t="e">
        <f t="shared" ca="1" si="1135"/>
        <v>#NAME?</v>
      </c>
      <c r="CS129" s="27" t="e">
        <f t="shared" ca="1" si="1135"/>
        <v>#NAME?</v>
      </c>
      <c r="CT129" s="27" t="e">
        <f t="shared" ca="1" si="1135"/>
        <v>#NAME?</v>
      </c>
      <c r="CU129" s="27" t="e">
        <f t="shared" ca="1" si="1135"/>
        <v>#NAME?</v>
      </c>
      <c r="CV129" s="27" t="e">
        <f t="shared" ca="1" si="1135"/>
        <v>#NAME?</v>
      </c>
      <c r="CW129" s="27" t="e">
        <f t="shared" ca="1" si="1135"/>
        <v>#NAME?</v>
      </c>
      <c r="CX129" s="27" t="e">
        <f t="shared" ca="1" si="1135"/>
        <v>#NAME?</v>
      </c>
      <c r="CY129" s="27" t="e">
        <f t="shared" ca="1" si="1135"/>
        <v>#NAME?</v>
      </c>
      <c r="CZ129" s="27" t="e">
        <f t="shared" ca="1" si="1135"/>
        <v>#NAME?</v>
      </c>
      <c r="DA129" s="27" t="e">
        <f t="shared" ca="1" si="1135"/>
        <v>#NAME?</v>
      </c>
      <c r="DB129" s="27" t="e">
        <f t="shared" ca="1" si="1135"/>
        <v>#NAME?</v>
      </c>
      <c r="DE129" s="121"/>
      <c r="DF129" s="26">
        <v>5181.41</v>
      </c>
    </row>
    <row r="130" spans="1:110" s="23" customFormat="1" x14ac:dyDescent="0.2">
      <c r="AB130" s="24"/>
      <c r="AC130" s="24"/>
      <c r="AD130" s="24"/>
      <c r="AE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Raw'!C63</f>
        <v>#NAME?</v>
      </c>
      <c r="C131" s="23" t="e">
        <f ca="1">'Annual Raw'!D63</f>
        <v>#NAME?</v>
      </c>
      <c r="D131" s="23" t="e">
        <f ca="1">'Annual Raw'!E63</f>
        <v>#NAME?</v>
      </c>
      <c r="E131" s="23" t="e">
        <f ca="1">'Annual Raw'!F63-E135</f>
        <v>#NAME?</v>
      </c>
      <c r="F131" s="23" t="e">
        <f ca="1">'Annual Raw'!G63-F135</f>
        <v>#NAME?</v>
      </c>
      <c r="G131" s="23" t="e">
        <f ca="1">'Annual Raw'!H63-G135</f>
        <v>#NAME?</v>
      </c>
      <c r="H131" s="23" t="e">
        <f ca="1">'Annual Raw'!I63-H135</f>
        <v>#NAME?</v>
      </c>
      <c r="I131" s="23" t="e">
        <f ca="1">'Annual Raw'!J63-I135</f>
        <v>#NAME?</v>
      </c>
      <c r="J131" s="23" t="e">
        <f ca="1">'Annual Raw'!K63-J135</f>
        <v>#NAME?</v>
      </c>
      <c r="K131" s="23" t="e">
        <f ca="1">'Annual Raw'!L63-K135</f>
        <v>#NAME?</v>
      </c>
      <c r="L131" s="23" t="e">
        <f ca="1">'Annual Raw'!M63-L135</f>
        <v>#NAME?</v>
      </c>
      <c r="M131" s="23" t="e">
        <f ca="1">'Annual Raw'!N63-M135</f>
        <v>#NAME?</v>
      </c>
      <c r="N131" s="23" t="e">
        <f ca="1">'Annual Raw'!O63-N135</f>
        <v>#NAME?</v>
      </c>
      <c r="O131" s="23" t="e">
        <f ca="1">'Annual Raw'!P63-O135</f>
        <v>#NAME?</v>
      </c>
      <c r="P131" s="23" t="e">
        <f ca="1">'Annual Raw'!Q63-P135</f>
        <v>#NAME?</v>
      </c>
      <c r="Q131" s="23" t="e">
        <f ca="1">'Annual Raw'!R63-Q135</f>
        <v>#NAME?</v>
      </c>
      <c r="R131" s="23" t="e">
        <f ca="1">'Annual Raw'!S63-R135</f>
        <v>#NAME?</v>
      </c>
      <c r="S131" s="23" t="e">
        <f ca="1">'Annual Raw'!T63-S135</f>
        <v>#NAME?</v>
      </c>
      <c r="T131" s="23" t="e">
        <f ca="1">'Annual Raw'!U63-T135</f>
        <v>#NAME?</v>
      </c>
      <c r="U131" s="23" t="e">
        <f ca="1">'Annual Raw'!V63-U135</f>
        <v>#NAME?</v>
      </c>
      <c r="V131" s="23" t="e">
        <f ca="1">'Annual Raw'!W63-V135</f>
        <v>#NAME?</v>
      </c>
      <c r="W131" s="23" t="e">
        <f ca="1">'Annual Raw'!X63-W135</f>
        <v>#NAME?</v>
      </c>
      <c r="X131" s="23" t="e">
        <f ca="1">'Annual Raw'!Y63-X135</f>
        <v>#NAME?</v>
      </c>
      <c r="Y131" s="23" t="e">
        <f ca="1">'Annual Raw'!Z63-Y135</f>
        <v>#NAME?</v>
      </c>
      <c r="Z131" s="23" t="e">
        <f ca="1">'Annual Raw'!AA63-Z135</f>
        <v>#NAME?</v>
      </c>
      <c r="AA131" s="23" t="e">
        <f ca="1">'Annual Raw'!AB63-AA135</f>
        <v>#NAME?</v>
      </c>
      <c r="AB131" s="24" t="e">
        <f t="shared" ref="AB131:AB137" ca="1" si="1137">+CP131</f>
        <v>#NAME?</v>
      </c>
      <c r="AC131" s="24" t="e">
        <f t="shared" ref="AC131:AC137" ca="1" si="1138">+CT131</f>
        <v>#NAME?</v>
      </c>
      <c r="AD131" s="24" t="e">
        <f t="shared" ref="AD131:AD137" ca="1" si="1139">+CX131</f>
        <v>#NAME?</v>
      </c>
      <c r="AE131" s="24" t="e">
        <f t="shared" ref="AE131:AE137" ca="1" si="1140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1">Z131</f>
        <v>#NAME?</v>
      </c>
      <c r="CI131" s="23" t="e">
        <f ca="1">CH131</f>
        <v>#NAME?</v>
      </c>
      <c r="CJ131" s="23" t="e">
        <f ca="1">+CJ132+CJ134</f>
        <v>#NAME?</v>
      </c>
      <c r="CK131" s="23" t="e">
        <f ca="1">+CJ131</f>
        <v>#NAME?</v>
      </c>
      <c r="CL131" s="23" t="e">
        <f ca="1">+CL132+CL134</f>
        <v>#NAME?</v>
      </c>
      <c r="CM131" s="24" t="e">
        <f t="shared" ref="CM131:DB131" ca="1" si="1142">+CL131+200</f>
        <v>#NAME?</v>
      </c>
      <c r="CN131" s="24" t="e">
        <f t="shared" ca="1" si="1142"/>
        <v>#NAME?</v>
      </c>
      <c r="CO131" s="24" t="e">
        <f t="shared" ca="1" si="1142"/>
        <v>#NAME?</v>
      </c>
      <c r="CP131" s="24" t="e">
        <f t="shared" ca="1" si="1142"/>
        <v>#NAME?</v>
      </c>
      <c r="CQ131" s="24" t="e">
        <f t="shared" ca="1" si="1142"/>
        <v>#NAME?</v>
      </c>
      <c r="CR131" s="24" t="e">
        <f t="shared" ca="1" si="1142"/>
        <v>#NAME?</v>
      </c>
      <c r="CS131" s="24" t="e">
        <f t="shared" ca="1" si="1142"/>
        <v>#NAME?</v>
      </c>
      <c r="CT131" s="24" t="e">
        <f t="shared" ca="1" si="1142"/>
        <v>#NAME?</v>
      </c>
      <c r="CU131" s="24" t="e">
        <f t="shared" ca="1" si="1142"/>
        <v>#NAME?</v>
      </c>
      <c r="CV131" s="24" t="e">
        <f t="shared" ca="1" si="1142"/>
        <v>#NAME?</v>
      </c>
      <c r="CW131" s="24" t="e">
        <f t="shared" ca="1" si="1142"/>
        <v>#NAME?</v>
      </c>
      <c r="CX131" s="24" t="e">
        <f t="shared" ca="1" si="1142"/>
        <v>#NAME?</v>
      </c>
      <c r="CY131" s="24" t="e">
        <f t="shared" ca="1" si="1142"/>
        <v>#NAME?</v>
      </c>
      <c r="CZ131" s="24" t="e">
        <f t="shared" ca="1" si="1142"/>
        <v>#NAME?</v>
      </c>
      <c r="DA131" s="24" t="e">
        <f t="shared" ca="1" si="1142"/>
        <v>#NAME?</v>
      </c>
      <c r="DB131" s="24" t="e">
        <f t="shared" ca="1" si="1142"/>
        <v>#NAME?</v>
      </c>
      <c r="DE131" s="123"/>
      <c r="DF131" s="23">
        <v>9747.42</v>
      </c>
    </row>
    <row r="132" spans="1:110" s="23" customFormat="1" outlineLevel="1" x14ac:dyDescent="0.2">
      <c r="A132" s="23" t="s">
        <v>51</v>
      </c>
      <c r="B132" s="23" t="e">
        <f ca="1">'Annual Raw'!C64</f>
        <v>#NAME?</v>
      </c>
      <c r="C132" s="23" t="e">
        <f ca="1">'Annual Raw'!D64</f>
        <v>#NAME?</v>
      </c>
      <c r="D132" s="23" t="e">
        <f ca="1">'Annual Raw'!E64</f>
        <v>#NAME?</v>
      </c>
      <c r="E132" s="23" t="e">
        <f ca="1">'Annual Raw'!F64</f>
        <v>#NAME?</v>
      </c>
      <c r="F132" s="23" t="e">
        <f ca="1">'Annual Raw'!G64</f>
        <v>#NAME?</v>
      </c>
      <c r="G132" s="23" t="e">
        <f ca="1">'Annual Raw'!H64</f>
        <v>#NAME?</v>
      </c>
      <c r="H132" s="23" t="e">
        <f ca="1">'Annual Raw'!I64</f>
        <v>#NAME?</v>
      </c>
      <c r="I132" s="23" t="e">
        <f ca="1">'Annual Raw'!J64</f>
        <v>#NAME?</v>
      </c>
      <c r="J132" s="23" t="e">
        <f ca="1">'Annual Raw'!K64</f>
        <v>#NAME?</v>
      </c>
      <c r="K132" s="23" t="e">
        <f ca="1">'Annual Raw'!L64</f>
        <v>#NAME?</v>
      </c>
      <c r="L132" s="23" t="e">
        <f ca="1">'Annual Raw'!M64</f>
        <v>#NAME?</v>
      </c>
      <c r="M132" s="23" t="e">
        <f ca="1">'Annual Raw'!N64</f>
        <v>#NAME?</v>
      </c>
      <c r="N132" s="23" t="e">
        <f ca="1">'Annual Raw'!O64</f>
        <v>#NAME?</v>
      </c>
      <c r="O132" s="23" t="e">
        <f ca="1">'Annual Raw'!P64</f>
        <v>#NAME?</v>
      </c>
      <c r="P132" s="23" t="e">
        <f ca="1">'Annual Raw'!Q64</f>
        <v>#NAME?</v>
      </c>
      <c r="Q132" s="23" t="e">
        <f ca="1">'Annual Raw'!R64</f>
        <v>#NAME?</v>
      </c>
      <c r="R132" s="23" t="e">
        <f ca="1">'Annual Raw'!S64</f>
        <v>#NAME?</v>
      </c>
      <c r="S132" s="23" t="e">
        <f ca="1">'Annual Raw'!T64</f>
        <v>#NAME?</v>
      </c>
      <c r="T132" s="23" t="e">
        <f ca="1">'Annual Raw'!U64</f>
        <v>#NAME?</v>
      </c>
      <c r="U132" s="23" t="e">
        <f ca="1">'Annual Raw'!V64</f>
        <v>#NAME?</v>
      </c>
      <c r="V132" s="23" t="e">
        <f ca="1">'Annual Raw'!W64</f>
        <v>#NAME?</v>
      </c>
      <c r="W132" s="23" t="e">
        <f ca="1">'Annual Raw'!X64</f>
        <v>#NAME?</v>
      </c>
      <c r="X132" s="23" t="e">
        <f ca="1">'Annual Raw'!Y64</f>
        <v>#NAME?</v>
      </c>
      <c r="Y132" s="23" t="e">
        <f ca="1">'Annual Raw'!Z64</f>
        <v>#NAME?</v>
      </c>
      <c r="Z132" s="23" t="e">
        <f ca="1">'Annual Raw'!AA64</f>
        <v>#NAME?</v>
      </c>
      <c r="AA132" s="23" t="e">
        <f ca="1">'Annual Raw'!AB64</f>
        <v>#NAME?</v>
      </c>
      <c r="AB132" s="24" t="e">
        <f t="shared" ca="1" si="1137"/>
        <v>#NAME?</v>
      </c>
      <c r="AC132" s="24" t="e">
        <f t="shared" ca="1" si="1138"/>
        <v>#NAME?</v>
      </c>
      <c r="AD132" s="24" t="e">
        <f t="shared" ca="1" si="1139"/>
        <v>#NAME?</v>
      </c>
      <c r="AE132" s="24" t="e">
        <f t="shared" ca="1" si="1140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1"/>
        <v>#NAME?</v>
      </c>
      <c r="CI132" s="23" t="e">
        <f t="shared" ref="CI132:DB132" ca="1" si="1143">CH132+CI32</f>
        <v>#NAME?</v>
      </c>
      <c r="CJ132" s="23" t="e">
        <f t="shared" ca="1" si="1143"/>
        <v>#NAME?</v>
      </c>
      <c r="CK132" s="23" t="e">
        <f t="shared" ca="1" si="1143"/>
        <v>#NAME?</v>
      </c>
      <c r="CL132" s="23" t="e">
        <f t="shared" ca="1" si="1143"/>
        <v>#NAME?</v>
      </c>
      <c r="CM132" s="24" t="e">
        <f t="shared" ca="1" si="1143"/>
        <v>#NAME?</v>
      </c>
      <c r="CN132" s="24" t="e">
        <f t="shared" ca="1" si="1143"/>
        <v>#NAME?</v>
      </c>
      <c r="CO132" s="24" t="e">
        <f t="shared" ca="1" si="1143"/>
        <v>#NAME?</v>
      </c>
      <c r="CP132" s="24" t="e">
        <f t="shared" ca="1" si="1143"/>
        <v>#NAME?</v>
      </c>
      <c r="CQ132" s="24" t="e">
        <f t="shared" ca="1" si="1143"/>
        <v>#NAME?</v>
      </c>
      <c r="CR132" s="24" t="e">
        <f t="shared" ca="1" si="1143"/>
        <v>#NAME?</v>
      </c>
      <c r="CS132" s="24" t="e">
        <f t="shared" ca="1" si="1143"/>
        <v>#NAME?</v>
      </c>
      <c r="CT132" s="24" t="e">
        <f t="shared" ca="1" si="1143"/>
        <v>#NAME?</v>
      </c>
      <c r="CU132" s="24" t="e">
        <f t="shared" ca="1" si="1143"/>
        <v>#NAME?</v>
      </c>
      <c r="CV132" s="24" t="e">
        <f t="shared" ca="1" si="1143"/>
        <v>#NAME?</v>
      </c>
      <c r="CW132" s="24" t="e">
        <f t="shared" ca="1" si="1143"/>
        <v>#NAME?</v>
      </c>
      <c r="CX132" s="24" t="e">
        <f t="shared" ca="1" si="1143"/>
        <v>#NAME?</v>
      </c>
      <c r="CY132" s="24" t="e">
        <f t="shared" ca="1" si="1143"/>
        <v>#NAME?</v>
      </c>
      <c r="CZ132" s="24" t="e">
        <f t="shared" ca="1" si="1143"/>
        <v>#NAME?</v>
      </c>
      <c r="DA132" s="24" t="e">
        <f t="shared" ca="1" si="1143"/>
        <v>#NAME?</v>
      </c>
      <c r="DB132" s="24" t="e">
        <f t="shared" ca="1" si="1143"/>
        <v>#NAME?</v>
      </c>
      <c r="DE132" s="123"/>
      <c r="DF132" s="23">
        <v>3999.89</v>
      </c>
    </row>
    <row r="133" spans="1:110" s="23" customFormat="1" outlineLevel="1" x14ac:dyDescent="0.2">
      <c r="A133" s="23" t="s">
        <v>52</v>
      </c>
      <c r="B133" s="23" t="e">
        <f ca="1">'Annual Raw'!C65</f>
        <v>#NAME?</v>
      </c>
      <c r="C133" s="23" t="e">
        <f ca="1">'Annual Raw'!D65</f>
        <v>#NAME?</v>
      </c>
      <c r="D133" s="23" t="e">
        <f ca="1">'Annual Raw'!E65</f>
        <v>#NAME?</v>
      </c>
      <c r="E133" s="23" t="e">
        <f ca="1">'Annual Raw'!F65</f>
        <v>#NAME?</v>
      </c>
      <c r="F133" s="23" t="e">
        <f ca="1">'Annual Raw'!G65</f>
        <v>#NAME?</v>
      </c>
      <c r="G133" s="23" t="e">
        <f ca="1">'Annual Raw'!H65</f>
        <v>#NAME?</v>
      </c>
      <c r="H133" s="23" t="e">
        <f ca="1">'Annual Raw'!I65</f>
        <v>#NAME?</v>
      </c>
      <c r="I133" s="23" t="e">
        <f ca="1">'Annual Raw'!J65</f>
        <v>#NAME?</v>
      </c>
      <c r="J133" s="23" t="e">
        <f ca="1">'Annual Raw'!K65</f>
        <v>#NAME?</v>
      </c>
      <c r="K133" s="23" t="e">
        <f ca="1">'Annual Raw'!L65</f>
        <v>#NAME?</v>
      </c>
      <c r="L133" s="23" t="e">
        <f ca="1">'Annual Raw'!M65</f>
        <v>#NAME?</v>
      </c>
      <c r="M133" s="23" t="e">
        <f ca="1">'Annual Raw'!N65</f>
        <v>#NAME?</v>
      </c>
      <c r="N133" s="23" t="e">
        <f ca="1">'Annual Raw'!O65</f>
        <v>#NAME?</v>
      </c>
      <c r="O133" s="23" t="e">
        <f ca="1">'Annual Raw'!P65</f>
        <v>#NAME?</v>
      </c>
      <c r="P133" s="23" t="e">
        <f ca="1">'Annual Raw'!Q65</f>
        <v>#NAME?</v>
      </c>
      <c r="Q133" s="23" t="e">
        <f ca="1">'Annual Raw'!R65</f>
        <v>#NAME?</v>
      </c>
      <c r="R133" s="23" t="e">
        <f ca="1">'Annual Raw'!S65</f>
        <v>#NAME?</v>
      </c>
      <c r="S133" s="23" t="e">
        <f ca="1">'Annual Raw'!T65</f>
        <v>#NAME?</v>
      </c>
      <c r="T133" s="23" t="e">
        <f ca="1">'Annual Raw'!U65</f>
        <v>#NAME?</v>
      </c>
      <c r="U133" s="23" t="e">
        <f ca="1">'Annual Raw'!V65</f>
        <v>#NAME?</v>
      </c>
      <c r="V133" s="23" t="e">
        <f ca="1">'Annual Raw'!W65</f>
        <v>#NAME?</v>
      </c>
      <c r="W133" s="23" t="e">
        <f ca="1">'Annual Raw'!X65</f>
        <v>#NAME?</v>
      </c>
      <c r="X133" s="23" t="e">
        <f ca="1">'Annual Raw'!Y65</f>
        <v>#NAME?</v>
      </c>
      <c r="Y133" s="23" t="e">
        <f ca="1">'Annual Raw'!Z65</f>
        <v>#NAME?</v>
      </c>
      <c r="Z133" s="23" t="e">
        <f ca="1">'Annual Raw'!AA65</f>
        <v>#NAME?</v>
      </c>
      <c r="AA133" s="23" t="e">
        <f ca="1">'Annual Raw'!AB65</f>
        <v>#NAME?</v>
      </c>
      <c r="AB133" s="24" t="e">
        <f t="shared" ca="1" si="1137"/>
        <v>#NAME?</v>
      </c>
      <c r="AC133" s="24" t="e">
        <f t="shared" ca="1" si="1138"/>
        <v>#NAME?</v>
      </c>
      <c r="AD133" s="24" t="e">
        <f t="shared" ca="1" si="1139"/>
        <v>#NAME?</v>
      </c>
      <c r="AE133" s="24" t="e">
        <f t="shared" ca="1" si="1140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1"/>
        <v>#NAME?</v>
      </c>
      <c r="CI133" s="23" t="e">
        <f ca="1">CH133</f>
        <v>#NAME?</v>
      </c>
      <c r="CJ133" s="23" t="e">
        <f ca="1">+'QTR Raw'!BD70</f>
        <v>#NAME?</v>
      </c>
      <c r="CK133" s="23" t="e">
        <f t="shared" ref="CK133:DB133" ca="1" si="1144">CJ133</f>
        <v>#NAME?</v>
      </c>
      <c r="CL133" s="23" t="e">
        <f ca="1">+'QTR Raw'!BF70</f>
        <v>#NAME?</v>
      </c>
      <c r="CM133" s="24" t="e">
        <f t="shared" ca="1" si="1144"/>
        <v>#NAME?</v>
      </c>
      <c r="CN133" s="24" t="e">
        <f t="shared" ca="1" si="1144"/>
        <v>#NAME?</v>
      </c>
      <c r="CO133" s="24" t="e">
        <f t="shared" ca="1" si="1144"/>
        <v>#NAME?</v>
      </c>
      <c r="CP133" s="24" t="e">
        <f t="shared" ca="1" si="1144"/>
        <v>#NAME?</v>
      </c>
      <c r="CQ133" s="24" t="e">
        <f t="shared" ca="1" si="1144"/>
        <v>#NAME?</v>
      </c>
      <c r="CR133" s="24" t="e">
        <f t="shared" ca="1" si="1144"/>
        <v>#NAME?</v>
      </c>
      <c r="CS133" s="24" t="e">
        <f t="shared" ca="1" si="1144"/>
        <v>#NAME?</v>
      </c>
      <c r="CT133" s="24" t="e">
        <f t="shared" ca="1" si="1144"/>
        <v>#NAME?</v>
      </c>
      <c r="CU133" s="24" t="e">
        <f t="shared" ca="1" si="1144"/>
        <v>#NAME?</v>
      </c>
      <c r="CV133" s="24" t="e">
        <f t="shared" ca="1" si="1144"/>
        <v>#NAME?</v>
      </c>
      <c r="CW133" s="24" t="e">
        <f t="shared" ca="1" si="1144"/>
        <v>#NAME?</v>
      </c>
      <c r="CX133" s="24" t="e">
        <f t="shared" ca="1" si="1144"/>
        <v>#NAME?</v>
      </c>
      <c r="CY133" s="24" t="e">
        <f t="shared" ca="1" si="1144"/>
        <v>#NAME?</v>
      </c>
      <c r="CZ133" s="24" t="e">
        <f t="shared" ca="1" si="1144"/>
        <v>#NAME?</v>
      </c>
      <c r="DA133" s="24" t="e">
        <f t="shared" ca="1" si="1144"/>
        <v>#NAME?</v>
      </c>
      <c r="DB133" s="24" t="e">
        <f t="shared" ca="1" si="1144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45">+C131-C132-C133</f>
        <v>#NAME?</v>
      </c>
      <c r="D134" s="22" t="e">
        <f t="shared" ca="1" si="1145"/>
        <v>#NAME?</v>
      </c>
      <c r="E134" s="22" t="e">
        <f t="shared" ca="1" si="1145"/>
        <v>#NAME?</v>
      </c>
      <c r="F134" s="22" t="e">
        <f t="shared" ca="1" si="1145"/>
        <v>#NAME?</v>
      </c>
      <c r="G134" s="22" t="e">
        <f t="shared" ca="1" si="1145"/>
        <v>#NAME?</v>
      </c>
      <c r="H134" s="22" t="e">
        <f t="shared" ca="1" si="1145"/>
        <v>#NAME?</v>
      </c>
      <c r="I134" s="22" t="e">
        <f t="shared" ca="1" si="1145"/>
        <v>#NAME?</v>
      </c>
      <c r="J134" s="22" t="e">
        <f t="shared" ca="1" si="1145"/>
        <v>#NAME?</v>
      </c>
      <c r="K134" s="22" t="e">
        <f t="shared" ca="1" si="1145"/>
        <v>#NAME?</v>
      </c>
      <c r="L134" s="22" t="e">
        <f t="shared" ca="1" si="1145"/>
        <v>#NAME?</v>
      </c>
      <c r="M134" s="22" t="e">
        <f t="shared" ca="1" si="1145"/>
        <v>#NAME?</v>
      </c>
      <c r="N134" s="22" t="e">
        <f t="shared" ca="1" si="1145"/>
        <v>#NAME?</v>
      </c>
      <c r="O134" s="22" t="e">
        <f t="shared" ca="1" si="1145"/>
        <v>#NAME?</v>
      </c>
      <c r="P134" s="22" t="e">
        <f t="shared" ca="1" si="1145"/>
        <v>#NAME?</v>
      </c>
      <c r="Q134" s="22" t="e">
        <f t="shared" ca="1" si="1145"/>
        <v>#NAME?</v>
      </c>
      <c r="R134" s="22" t="e">
        <f t="shared" ca="1" si="1145"/>
        <v>#NAME?</v>
      </c>
      <c r="S134" s="22" t="e">
        <f t="shared" ca="1" si="1145"/>
        <v>#NAME?</v>
      </c>
      <c r="T134" s="22" t="e">
        <f t="shared" ca="1" si="1145"/>
        <v>#NAME?</v>
      </c>
      <c r="U134" s="22" t="e">
        <f t="shared" ca="1" si="1145"/>
        <v>#NAME?</v>
      </c>
      <c r="V134" s="22" t="e">
        <f t="shared" ca="1" si="1145"/>
        <v>#NAME?</v>
      </c>
      <c r="W134" s="22" t="e">
        <f t="shared" ca="1" si="1145"/>
        <v>#NAME?</v>
      </c>
      <c r="X134" s="22" t="e">
        <f t="shared" ref="X134:Y134" ca="1" si="1146">+X131-X132-X133</f>
        <v>#NAME?</v>
      </c>
      <c r="Y134" s="22" t="e">
        <f t="shared" ca="1" si="1146"/>
        <v>#NAME?</v>
      </c>
      <c r="Z134" s="22" t="e">
        <f t="shared" ref="Z134:AE134" ca="1" si="1147">+Z131-Z132-Z133</f>
        <v>#NAME?</v>
      </c>
      <c r="AA134" s="22" t="e">
        <f t="shared" ref="AA134" ca="1" si="1148">+AA131-AA132-AA133</f>
        <v>#NAME?</v>
      </c>
      <c r="AB134" s="21" t="e">
        <f t="shared" ca="1" si="1147"/>
        <v>#NAME?</v>
      </c>
      <c r="AC134" s="21" t="e">
        <f t="shared" ca="1" si="1147"/>
        <v>#NAME?</v>
      </c>
      <c r="AD134" s="21" t="e">
        <f t="shared" ca="1" si="1147"/>
        <v>#NAME?</v>
      </c>
      <c r="AE134" s="21" t="e">
        <f t="shared" ca="1" si="1147"/>
        <v>#NAME?</v>
      </c>
      <c r="AJ134" s="22" t="e">
        <f t="shared" ref="AJ134:AL134" ca="1" si="1149">+AJ131-AJ132-AJ133</f>
        <v>#NAME?</v>
      </c>
      <c r="AK134" s="22" t="e">
        <f t="shared" ref="AK134:CE134" ca="1" si="1150">+AJ134</f>
        <v>#NAME?</v>
      </c>
      <c r="AL134" s="22" t="e">
        <f t="shared" ca="1" si="1149"/>
        <v>#NAME?</v>
      </c>
      <c r="AM134" s="22" t="e">
        <f t="shared" ca="1" si="1150"/>
        <v>#NAME?</v>
      </c>
      <c r="AN134" s="22" t="e">
        <f t="shared" ref="AN134" ca="1" si="1151">+AN131-AN132-AN133</f>
        <v>#NAME?</v>
      </c>
      <c r="AO134" s="22" t="e">
        <f t="shared" ca="1" si="1150"/>
        <v>#NAME?</v>
      </c>
      <c r="AP134" s="22" t="e">
        <f t="shared" ref="AP134:CD134" ca="1" si="1152">+AP131-AP132-AP133</f>
        <v>#NAME?</v>
      </c>
      <c r="AQ134" s="22" t="e">
        <f t="shared" ca="1" si="1150"/>
        <v>#NAME?</v>
      </c>
      <c r="AR134" s="22" t="e">
        <f t="shared" ca="1" si="1152"/>
        <v>#NAME?</v>
      </c>
      <c r="AS134" s="22" t="e">
        <f t="shared" ca="1" si="1150"/>
        <v>#NAME?</v>
      </c>
      <c r="AT134" s="22" t="e">
        <f t="shared" ca="1" si="1152"/>
        <v>#NAME?</v>
      </c>
      <c r="AU134" s="22" t="e">
        <f t="shared" ca="1" si="1150"/>
        <v>#NAME?</v>
      </c>
      <c r="AV134" s="22" t="e">
        <f t="shared" ca="1" si="1152"/>
        <v>#NAME?</v>
      </c>
      <c r="AW134" s="22" t="e">
        <f t="shared" ca="1" si="1150"/>
        <v>#NAME?</v>
      </c>
      <c r="AX134" s="22" t="e">
        <f t="shared" ca="1" si="1152"/>
        <v>#NAME?</v>
      </c>
      <c r="AY134" s="22" t="e">
        <f t="shared" ca="1" si="1150"/>
        <v>#NAME?</v>
      </c>
      <c r="AZ134" s="22" t="e">
        <f t="shared" ca="1" si="1152"/>
        <v>#NAME?</v>
      </c>
      <c r="BA134" s="22" t="e">
        <f t="shared" ca="1" si="1150"/>
        <v>#NAME?</v>
      </c>
      <c r="BB134" s="22" t="e">
        <f t="shared" ca="1" si="1152"/>
        <v>#NAME?</v>
      </c>
      <c r="BC134" s="22" t="e">
        <f t="shared" ca="1" si="1150"/>
        <v>#NAME?</v>
      </c>
      <c r="BD134" s="22" t="e">
        <f t="shared" ca="1" si="1152"/>
        <v>#NAME?</v>
      </c>
      <c r="BE134" s="22" t="e">
        <f t="shared" ca="1" si="1150"/>
        <v>#NAME?</v>
      </c>
      <c r="BF134" s="22" t="e">
        <f t="shared" ca="1" si="1152"/>
        <v>#NAME?</v>
      </c>
      <c r="BG134" s="22" t="e">
        <f t="shared" ca="1" si="1150"/>
        <v>#NAME?</v>
      </c>
      <c r="BH134" s="22" t="e">
        <f t="shared" ca="1" si="1152"/>
        <v>#NAME?</v>
      </c>
      <c r="BI134" s="22" t="e">
        <f t="shared" ca="1" si="1150"/>
        <v>#NAME?</v>
      </c>
      <c r="BJ134" s="22" t="e">
        <f t="shared" ca="1" si="1152"/>
        <v>#NAME?</v>
      </c>
      <c r="BK134" s="22" t="e">
        <f t="shared" ca="1" si="1150"/>
        <v>#NAME?</v>
      </c>
      <c r="BL134" s="22" t="e">
        <f t="shared" ca="1" si="1152"/>
        <v>#NAME?</v>
      </c>
      <c r="BM134" s="22" t="e">
        <f t="shared" ca="1" si="1150"/>
        <v>#NAME?</v>
      </c>
      <c r="BN134" s="22" t="e">
        <f t="shared" ca="1" si="1152"/>
        <v>#NAME?</v>
      </c>
      <c r="BO134" s="22" t="e">
        <f t="shared" ca="1" si="1150"/>
        <v>#NAME?</v>
      </c>
      <c r="BP134" s="22" t="e">
        <f t="shared" ca="1" si="1152"/>
        <v>#NAME?</v>
      </c>
      <c r="BQ134" s="22" t="e">
        <f t="shared" ca="1" si="1150"/>
        <v>#NAME?</v>
      </c>
      <c r="BR134" s="22" t="e">
        <f t="shared" ca="1" si="1152"/>
        <v>#NAME?</v>
      </c>
      <c r="BS134" s="22" t="e">
        <f t="shared" ca="1" si="1150"/>
        <v>#NAME?</v>
      </c>
      <c r="BT134" s="22" t="e">
        <f t="shared" ca="1" si="1152"/>
        <v>#NAME?</v>
      </c>
      <c r="BU134" s="22" t="e">
        <f t="shared" ca="1" si="1150"/>
        <v>#NAME?</v>
      </c>
      <c r="BV134" s="22" t="e">
        <f t="shared" ca="1" si="1152"/>
        <v>#NAME?</v>
      </c>
      <c r="BW134" s="22" t="e">
        <f t="shared" ca="1" si="1150"/>
        <v>#NAME?</v>
      </c>
      <c r="BX134" s="22" t="e">
        <f t="shared" ca="1" si="1152"/>
        <v>#NAME?</v>
      </c>
      <c r="BY134" s="22" t="e">
        <f t="shared" ca="1" si="1150"/>
        <v>#NAME?</v>
      </c>
      <c r="BZ134" s="22" t="e">
        <f t="shared" ca="1" si="1152"/>
        <v>#NAME?</v>
      </c>
      <c r="CA134" s="22" t="e">
        <f t="shared" ca="1" si="1150"/>
        <v>#NAME?</v>
      </c>
      <c r="CB134" s="22" t="e">
        <f t="shared" ca="1" si="1152"/>
        <v>#NAME?</v>
      </c>
      <c r="CC134" s="22" t="e">
        <f t="shared" ca="1" si="1150"/>
        <v>#NAME?</v>
      </c>
      <c r="CD134" s="22" t="e">
        <f t="shared" ca="1" si="1152"/>
        <v>#NAME?</v>
      </c>
      <c r="CE134" s="22" t="e">
        <f t="shared" ca="1" si="1150"/>
        <v>#NAME?</v>
      </c>
      <c r="CF134" s="22" t="e">
        <f t="shared" ref="CF134:CI134" ca="1" si="1153">+CF131-CF132-CF133</f>
        <v>#NAME?</v>
      </c>
      <c r="CG134" s="22" t="e">
        <f t="shared" ref="CG134:CI137" ca="1" si="1154">+CF134</f>
        <v>#NAME?</v>
      </c>
      <c r="CH134" s="22" t="e">
        <f t="shared" ca="1" si="1153"/>
        <v>#NAME?</v>
      </c>
      <c r="CI134" s="22" t="e">
        <f t="shared" ca="1" si="1153"/>
        <v>#NAME?</v>
      </c>
      <c r="CJ134" s="23" t="e">
        <f ca="1">+'QTR Raw'!BD68</f>
        <v>#NAME?</v>
      </c>
      <c r="CK134" s="23" t="e">
        <f t="shared" ref="CK134:DB134" ca="1" si="1155">+CK131-CK132-CK133</f>
        <v>#NAME?</v>
      </c>
      <c r="CL134" s="23" t="e">
        <f ca="1">+'QTR Raw'!BF68</f>
        <v>#NAME?</v>
      </c>
      <c r="CM134" s="21" t="e">
        <f t="shared" ca="1" si="1155"/>
        <v>#NAME?</v>
      </c>
      <c r="CN134" s="21" t="e">
        <f t="shared" ca="1" si="1155"/>
        <v>#NAME?</v>
      </c>
      <c r="CO134" s="21" t="e">
        <f t="shared" ca="1" si="1155"/>
        <v>#NAME?</v>
      </c>
      <c r="CP134" s="21" t="e">
        <f t="shared" ca="1" si="1155"/>
        <v>#NAME?</v>
      </c>
      <c r="CQ134" s="21" t="e">
        <f t="shared" ca="1" si="1155"/>
        <v>#NAME?</v>
      </c>
      <c r="CR134" s="21" t="e">
        <f t="shared" ca="1" si="1155"/>
        <v>#NAME?</v>
      </c>
      <c r="CS134" s="21" t="e">
        <f t="shared" ca="1" si="1155"/>
        <v>#NAME?</v>
      </c>
      <c r="CT134" s="21" t="e">
        <f t="shared" ca="1" si="1155"/>
        <v>#NAME?</v>
      </c>
      <c r="CU134" s="21" t="e">
        <f t="shared" ca="1" si="1155"/>
        <v>#NAME?</v>
      </c>
      <c r="CV134" s="21" t="e">
        <f t="shared" ca="1" si="1155"/>
        <v>#NAME?</v>
      </c>
      <c r="CW134" s="21" t="e">
        <f t="shared" ca="1" si="1155"/>
        <v>#NAME?</v>
      </c>
      <c r="CX134" s="21" t="e">
        <f t="shared" ca="1" si="1155"/>
        <v>#NAME?</v>
      </c>
      <c r="CY134" s="21" t="e">
        <f t="shared" ca="1" si="1155"/>
        <v>#NAME?</v>
      </c>
      <c r="CZ134" s="21" t="e">
        <f t="shared" ca="1" si="1155"/>
        <v>#NAME?</v>
      </c>
      <c r="DA134" s="21" t="e">
        <f t="shared" ca="1" si="1155"/>
        <v>#NAME?</v>
      </c>
      <c r="DB134" s="21" t="e">
        <f t="shared" ca="1" si="1155"/>
        <v>#NAME?</v>
      </c>
      <c r="DE134" s="126"/>
      <c r="DF134" s="22">
        <v>5747.5300000000007</v>
      </c>
    </row>
    <row r="135" spans="1:110" s="23" customFormat="1" outlineLevel="1" x14ac:dyDescent="0.2">
      <c r="A135" s="23" t="s">
        <v>54</v>
      </c>
      <c r="B135" s="23" t="e">
        <f ca="1">'Annual Raw'!C87</f>
        <v>#NAME?</v>
      </c>
      <c r="C135" s="23" t="e">
        <f ca="1">'Annual Raw'!D87</f>
        <v>#NAME?</v>
      </c>
      <c r="D135" s="23" t="e">
        <f ca="1">'Annual Raw'!E87</f>
        <v>#NAME?</v>
      </c>
      <c r="E135" s="23" t="e">
        <f ca="1">'Annual Raw'!F87</f>
        <v>#NAME?</v>
      </c>
      <c r="F135" s="23" t="e">
        <f ca="1">'Annual Raw'!G87</f>
        <v>#NAME?</v>
      </c>
      <c r="G135" s="23" t="e">
        <f ca="1">'Annual Raw'!H87</f>
        <v>#NAME?</v>
      </c>
      <c r="H135" s="23" t="e">
        <f ca="1">'Annual Raw'!I87</f>
        <v>#NAME?</v>
      </c>
      <c r="I135" s="23" t="e">
        <f ca="1">'Annual Raw'!J87</f>
        <v>#NAME?</v>
      </c>
      <c r="J135" s="23" t="e">
        <f ca="1">'Annual Raw'!K87</f>
        <v>#NAME?</v>
      </c>
      <c r="K135" s="23" t="e">
        <f ca="1">'Annual Raw'!L87</f>
        <v>#NAME?</v>
      </c>
      <c r="L135" s="23" t="e">
        <f ca="1">'Annual Raw'!M87</f>
        <v>#NAME?</v>
      </c>
      <c r="M135" s="23" t="e">
        <f ca="1">'Annual Raw'!N87</f>
        <v>#NAME?</v>
      </c>
      <c r="N135" s="23" t="e">
        <f ca="1">'Annual Raw'!O87</f>
        <v>#NAME?</v>
      </c>
      <c r="O135" s="23" t="e">
        <f ca="1">'Annual Raw'!P87</f>
        <v>#NAME?</v>
      </c>
      <c r="P135" s="23" t="e">
        <f ca="1">'Annual Raw'!Q87</f>
        <v>#NAME?</v>
      </c>
      <c r="Q135" s="23" t="e">
        <f ca="1">'Annual Raw'!R87</f>
        <v>#NAME?</v>
      </c>
      <c r="R135" s="23" t="e">
        <f ca="1">'Annual Raw'!S87</f>
        <v>#NAME?</v>
      </c>
      <c r="S135" s="23" t="e">
        <f ca="1">'Annual Raw'!T87</f>
        <v>#NAME?</v>
      </c>
      <c r="T135" s="23" t="e">
        <f ca="1">'Annual Raw'!U87</f>
        <v>#NAME?</v>
      </c>
      <c r="U135" s="23" t="e">
        <f ca="1">'Annual Raw'!V87</f>
        <v>#NAME?</v>
      </c>
      <c r="V135" s="23" t="e">
        <f ca="1">'Annual Raw'!W87</f>
        <v>#NAME?</v>
      </c>
      <c r="W135" s="23" t="e">
        <f ca="1">'Annual Raw'!X87</f>
        <v>#NAME?</v>
      </c>
      <c r="X135" s="23" t="e">
        <f ca="1">'Annual Raw'!Y87</f>
        <v>#NAME?</v>
      </c>
      <c r="Y135" s="23" t="e">
        <f ca="1">'Annual Raw'!Z87</f>
        <v>#NAME?</v>
      </c>
      <c r="Z135" s="23" t="e">
        <f ca="1">'Annual Raw'!AA87</f>
        <v>#NAME?</v>
      </c>
      <c r="AA135" s="23" t="e">
        <f ca="1">'Annual Raw'!AB87</f>
        <v>#NAME?</v>
      </c>
      <c r="AB135" s="24" t="e">
        <f t="shared" ca="1" si="1137"/>
        <v>#NAME?</v>
      </c>
      <c r="AC135" s="24" t="e">
        <f t="shared" ca="1" si="1138"/>
        <v>#NAME?</v>
      </c>
      <c r="AD135" s="24" t="e">
        <f t="shared" ca="1" si="1139"/>
        <v>#NAME?</v>
      </c>
      <c r="AE135" s="24" t="e">
        <f t="shared" ca="1" si="1140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56">+AL135</f>
        <v>#NAME?</v>
      </c>
      <c r="AN135" s="23" t="e">
        <f ca="1">+'QTR Raw'!H72</f>
        <v>#NAME?</v>
      </c>
      <c r="AO135" s="23" t="e">
        <f t="shared" ca="1" si="1156"/>
        <v>#NAME?</v>
      </c>
      <c r="AP135" s="23" t="e">
        <f ca="1">+'QTR Raw'!J72</f>
        <v>#NAME?</v>
      </c>
      <c r="AQ135" s="23" t="e">
        <f t="shared" ca="1" si="1156"/>
        <v>#NAME?</v>
      </c>
      <c r="AR135" s="23" t="e">
        <f ca="1">+'QTR Raw'!L72</f>
        <v>#NAME?</v>
      </c>
      <c r="AS135" s="23" t="e">
        <f t="shared" ca="1" si="1156"/>
        <v>#NAME?</v>
      </c>
      <c r="AT135" s="23" t="e">
        <f ca="1">+'QTR Raw'!N72</f>
        <v>#NAME?</v>
      </c>
      <c r="AU135" s="23" t="e">
        <f t="shared" ca="1" si="1156"/>
        <v>#NAME?</v>
      </c>
      <c r="AV135" s="23" t="e">
        <f ca="1">+'QTR Raw'!P72</f>
        <v>#NAME?</v>
      </c>
      <c r="AW135" s="23" t="e">
        <f t="shared" ca="1" si="1156"/>
        <v>#NAME?</v>
      </c>
      <c r="AX135" s="23" t="e">
        <f ca="1">+'QTR Raw'!R72</f>
        <v>#NAME?</v>
      </c>
      <c r="AY135" s="23" t="e">
        <f t="shared" ca="1" si="1156"/>
        <v>#NAME?</v>
      </c>
      <c r="AZ135" s="23" t="e">
        <f ca="1">+'QTR Raw'!T72</f>
        <v>#NAME?</v>
      </c>
      <c r="BA135" s="23" t="e">
        <f t="shared" ca="1" si="1156"/>
        <v>#NAME?</v>
      </c>
      <c r="BB135" s="23" t="e">
        <f ca="1">+'QTR Raw'!V72</f>
        <v>#NAME?</v>
      </c>
      <c r="BC135" s="23" t="e">
        <f t="shared" ca="1" si="1156"/>
        <v>#NAME?</v>
      </c>
      <c r="BD135" s="23" t="e">
        <f ca="1">+'QTR Raw'!X72</f>
        <v>#NAME?</v>
      </c>
      <c r="BE135" s="23" t="e">
        <f t="shared" ca="1" si="1156"/>
        <v>#NAME?</v>
      </c>
      <c r="BF135" s="23" t="e">
        <f ca="1">+'QTR Raw'!Z72</f>
        <v>#NAME?</v>
      </c>
      <c r="BG135" s="23" t="e">
        <f t="shared" ca="1" si="1156"/>
        <v>#NAME?</v>
      </c>
      <c r="BH135" s="23" t="e">
        <f ca="1">+'QTR Raw'!AB72</f>
        <v>#NAME?</v>
      </c>
      <c r="BI135" s="23" t="e">
        <f t="shared" ca="1" si="1156"/>
        <v>#NAME?</v>
      </c>
      <c r="BJ135" s="23" t="e">
        <f ca="1">+'QTR Raw'!AD72</f>
        <v>#NAME?</v>
      </c>
      <c r="BK135" s="23" t="e">
        <f t="shared" ca="1" si="1156"/>
        <v>#NAME?</v>
      </c>
      <c r="BL135" s="23" t="e">
        <f ca="1">+'QTR Raw'!AF72</f>
        <v>#NAME?</v>
      </c>
      <c r="BM135" s="23" t="e">
        <f t="shared" ca="1" si="1156"/>
        <v>#NAME?</v>
      </c>
      <c r="BN135" s="23" t="e">
        <f ca="1">+'QTR Raw'!AH72</f>
        <v>#NAME?</v>
      </c>
      <c r="BO135" s="23" t="e">
        <f t="shared" ca="1" si="1156"/>
        <v>#NAME?</v>
      </c>
      <c r="BP135" s="23" t="e">
        <f ca="1">+'QTR Raw'!AJ72</f>
        <v>#NAME?</v>
      </c>
      <c r="BQ135" s="23" t="e">
        <f t="shared" ca="1" si="1156"/>
        <v>#NAME?</v>
      </c>
      <c r="BR135" s="23" t="e">
        <f ca="1">+'QTR Raw'!AL72</f>
        <v>#NAME?</v>
      </c>
      <c r="BS135" s="23" t="e">
        <f t="shared" ca="1" si="1156"/>
        <v>#NAME?</v>
      </c>
      <c r="BT135" s="23" t="e">
        <f ca="1">+'QTR Raw'!AN72</f>
        <v>#NAME?</v>
      </c>
      <c r="BU135" s="23" t="e">
        <f t="shared" ca="1" si="1156"/>
        <v>#NAME?</v>
      </c>
      <c r="BV135" s="23" t="e">
        <f ca="1">+'QTR Raw'!AP72</f>
        <v>#NAME?</v>
      </c>
      <c r="BW135" s="23" t="e">
        <f t="shared" ca="1" si="1156"/>
        <v>#NAME?</v>
      </c>
      <c r="BX135" s="23" t="e">
        <f ca="1">+'QTR Raw'!AR72</f>
        <v>#NAME?</v>
      </c>
      <c r="BY135" s="23" t="e">
        <f t="shared" ca="1" si="1156"/>
        <v>#NAME?</v>
      </c>
      <c r="BZ135" s="23" t="e">
        <f ca="1">+'QTR Raw'!AT72</f>
        <v>#NAME?</v>
      </c>
      <c r="CA135" s="23" t="e">
        <f t="shared" ca="1" si="1156"/>
        <v>#NAME?</v>
      </c>
      <c r="CB135" s="23" t="e">
        <f ca="1">+'QTR Raw'!AV72</f>
        <v>#NAME?</v>
      </c>
      <c r="CC135" s="23" t="e">
        <f t="shared" ca="1" si="1156"/>
        <v>#NAME?</v>
      </c>
      <c r="CD135" s="23" t="e">
        <f ca="1">+'QTR Raw'!AX72</f>
        <v>#NAME?</v>
      </c>
      <c r="CE135" s="23" t="e">
        <f t="shared" ca="1" si="1156"/>
        <v>#NAME?</v>
      </c>
      <c r="CF135" s="23" t="e">
        <f ca="1">+'QTR Raw'!AZ72</f>
        <v>#NAME?</v>
      </c>
      <c r="CG135" s="23" t="e">
        <f t="shared" ca="1" si="1154"/>
        <v>#NAME?</v>
      </c>
      <c r="CH135" s="23" t="e">
        <f t="shared" ca="1" si="1141"/>
        <v>#NAME?</v>
      </c>
      <c r="CI135" s="23" t="e">
        <f t="shared" ca="1" si="1154"/>
        <v>#NAME?</v>
      </c>
      <c r="CJ135" s="23" t="e">
        <f ca="1">+'QTR Raw'!BD72</f>
        <v>#NAME?</v>
      </c>
      <c r="CK135" s="23" t="e">
        <f t="shared" ref="CK135:CK137" ca="1" si="1157">+CJ135</f>
        <v>#NAME?</v>
      </c>
      <c r="CL135" s="23" t="e">
        <f ca="1">+'QTR Raw'!BF72</f>
        <v>#NAME?</v>
      </c>
      <c r="CM135" s="24" t="e">
        <f t="shared" ref="CM135:CM137" ca="1" si="1158">+CL135</f>
        <v>#NAME?</v>
      </c>
      <c r="CN135" s="24" t="e">
        <f t="shared" ref="CN135:CN137" ca="1" si="1159">+CM135</f>
        <v>#NAME?</v>
      </c>
      <c r="CO135" s="24" t="e">
        <f t="shared" ref="CO135:CO137" ca="1" si="1160">+CN135</f>
        <v>#NAME?</v>
      </c>
      <c r="CP135" s="24" t="e">
        <f t="shared" ref="CP135:CP137" ca="1" si="1161">+CO135</f>
        <v>#NAME?</v>
      </c>
      <c r="CQ135" s="24" t="e">
        <f t="shared" ref="CQ135:CQ137" ca="1" si="1162">+CP135</f>
        <v>#NAME?</v>
      </c>
      <c r="CR135" s="24" t="e">
        <f t="shared" ref="CR135:CR137" ca="1" si="1163">+CQ135</f>
        <v>#NAME?</v>
      </c>
      <c r="CS135" s="24" t="e">
        <f t="shared" ref="CS135:CS137" ca="1" si="1164">+CR135</f>
        <v>#NAME?</v>
      </c>
      <c r="CT135" s="24" t="e">
        <f t="shared" ref="CT135:CT137" ca="1" si="1165">+CS135</f>
        <v>#NAME?</v>
      </c>
      <c r="CU135" s="24" t="e">
        <f t="shared" ref="CU135:CU137" ca="1" si="1166">+CT135</f>
        <v>#NAME?</v>
      </c>
      <c r="CV135" s="24" t="e">
        <f t="shared" ref="CV135:CV137" ca="1" si="1167">+CU135</f>
        <v>#NAME?</v>
      </c>
      <c r="CW135" s="24" t="e">
        <f t="shared" ref="CW135:CW137" ca="1" si="1168">+CV135</f>
        <v>#NAME?</v>
      </c>
      <c r="CX135" s="24" t="e">
        <f t="shared" ref="CX135:CX137" ca="1" si="1169">+CW135</f>
        <v>#NAME?</v>
      </c>
      <c r="CY135" s="24" t="e">
        <f t="shared" ref="CY135:CY137" ca="1" si="1170">+CX135</f>
        <v>#NAME?</v>
      </c>
      <c r="CZ135" s="24" t="e">
        <f t="shared" ref="CZ135:CZ137" ca="1" si="1171">+CY135</f>
        <v>#NAME?</v>
      </c>
      <c r="DA135" s="24" t="e">
        <f t="shared" ref="DA135:DA137" ca="1" si="1172">+CZ135</f>
        <v>#NAME?</v>
      </c>
      <c r="DB135" s="24" t="e">
        <f t="shared" ref="DB135:DB137" ca="1" si="1173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Raw'!C69</f>
        <v>#NAME?</v>
      </c>
      <c r="C136" s="23" t="e">
        <f ca="1">'Annual Raw'!D69</f>
        <v>#NAME?</v>
      </c>
      <c r="D136" s="23" t="e">
        <f ca="1">'Annual Raw'!E69</f>
        <v>#NAME?</v>
      </c>
      <c r="E136" s="23" t="e">
        <f ca="1">'Annual Raw'!F69</f>
        <v>#NAME?</v>
      </c>
      <c r="F136" s="23" t="e">
        <f ca="1">'Annual Raw'!G69</f>
        <v>#NAME?</v>
      </c>
      <c r="G136" s="23" t="e">
        <f ca="1">'Annual Raw'!H69</f>
        <v>#NAME?</v>
      </c>
      <c r="H136" s="23" t="e">
        <f ca="1">'Annual Raw'!I69</f>
        <v>#NAME?</v>
      </c>
      <c r="I136" s="23" t="e">
        <f ca="1">'Annual Raw'!J69</f>
        <v>#NAME?</v>
      </c>
      <c r="J136" s="23" t="e">
        <f ca="1">'Annual Raw'!K69</f>
        <v>#NAME?</v>
      </c>
      <c r="K136" s="23" t="e">
        <f ca="1">'Annual Raw'!L69</f>
        <v>#NAME?</v>
      </c>
      <c r="L136" s="23" t="e">
        <f ca="1">'Annual Raw'!M69</f>
        <v>#NAME?</v>
      </c>
      <c r="M136" s="23" t="e">
        <f ca="1">'Annual Raw'!N69</f>
        <v>#NAME?</v>
      </c>
      <c r="N136" s="23" t="e">
        <f ca="1">'Annual Raw'!O69</f>
        <v>#NAME?</v>
      </c>
      <c r="O136" s="23" t="e">
        <f ca="1">'Annual Raw'!P69</f>
        <v>#NAME?</v>
      </c>
      <c r="P136" s="23" t="e">
        <f ca="1">'Annual Raw'!Q69</f>
        <v>#NAME?</v>
      </c>
      <c r="Q136" s="23" t="e">
        <f ca="1">'Annual Raw'!R69</f>
        <v>#NAME?</v>
      </c>
      <c r="R136" s="23" t="e">
        <f ca="1">'Annual Raw'!S69</f>
        <v>#NAME?</v>
      </c>
      <c r="S136" s="23" t="e">
        <f ca="1">'Annual Raw'!T69</f>
        <v>#NAME?</v>
      </c>
      <c r="T136" s="23" t="e">
        <f ca="1">'Annual Raw'!U69</f>
        <v>#NAME?</v>
      </c>
      <c r="U136" s="23" t="e">
        <f ca="1">'Annual Raw'!V69</f>
        <v>#NAME?</v>
      </c>
      <c r="V136" s="23" t="e">
        <f ca="1">'Annual Raw'!W69</f>
        <v>#NAME?</v>
      </c>
      <c r="W136" s="23" t="e">
        <f ca="1">'Annual Raw'!X69</f>
        <v>#NAME?</v>
      </c>
      <c r="X136" s="23" t="e">
        <f ca="1">'Annual Raw'!Y69</f>
        <v>#NAME?</v>
      </c>
      <c r="Y136" s="23" t="e">
        <f ca="1">'Annual Raw'!Z69</f>
        <v>#NAME?</v>
      </c>
      <c r="Z136" s="23" t="e">
        <f ca="1">'Annual Raw'!AA69</f>
        <v>#NAME?</v>
      </c>
      <c r="AA136" s="23" t="e">
        <f ca="1">'Annual Raw'!AB69</f>
        <v>#NAME?</v>
      </c>
      <c r="AB136" s="24">
        <f t="shared" si="1137"/>
        <v>0</v>
      </c>
      <c r="AC136" s="24">
        <f t="shared" si="1138"/>
        <v>0</v>
      </c>
      <c r="AD136" s="24">
        <f t="shared" si="1139"/>
        <v>0</v>
      </c>
      <c r="AE136" s="24">
        <f t="shared" si="1140"/>
        <v>0</v>
      </c>
      <c r="AK136" s="23">
        <f t="shared" si="1156"/>
        <v>0</v>
      </c>
      <c r="AM136" s="23">
        <f t="shared" si="1156"/>
        <v>0</v>
      </c>
      <c r="AO136" s="23">
        <f t="shared" si="1156"/>
        <v>0</v>
      </c>
      <c r="AQ136" s="23">
        <f t="shared" si="1156"/>
        <v>0</v>
      </c>
      <c r="AS136" s="23">
        <f t="shared" si="1156"/>
        <v>0</v>
      </c>
      <c r="AU136" s="23">
        <f t="shared" si="1156"/>
        <v>0</v>
      </c>
      <c r="AW136" s="23">
        <f t="shared" si="1156"/>
        <v>0</v>
      </c>
      <c r="AY136" s="23">
        <f t="shared" si="1156"/>
        <v>0</v>
      </c>
      <c r="BA136" s="23">
        <f t="shared" si="1156"/>
        <v>0</v>
      </c>
      <c r="BC136" s="23">
        <f t="shared" si="1156"/>
        <v>0</v>
      </c>
      <c r="BE136" s="23">
        <f t="shared" si="1156"/>
        <v>0</v>
      </c>
      <c r="BG136" s="23">
        <f t="shared" si="1156"/>
        <v>0</v>
      </c>
      <c r="BI136" s="23">
        <f t="shared" si="1156"/>
        <v>0</v>
      </c>
      <c r="BK136" s="23">
        <f t="shared" si="1156"/>
        <v>0</v>
      </c>
      <c r="BM136" s="23">
        <f t="shared" si="1156"/>
        <v>0</v>
      </c>
      <c r="BO136" s="23">
        <f t="shared" si="1156"/>
        <v>0</v>
      </c>
      <c r="BQ136" s="23">
        <f t="shared" si="1156"/>
        <v>0</v>
      </c>
      <c r="BS136" s="23">
        <f t="shared" si="1156"/>
        <v>0</v>
      </c>
      <c r="BU136" s="23">
        <f t="shared" si="1156"/>
        <v>0</v>
      </c>
      <c r="BW136" s="23">
        <f t="shared" si="1156"/>
        <v>0</v>
      </c>
      <c r="BY136" s="23">
        <f t="shared" si="1156"/>
        <v>0</v>
      </c>
      <c r="CA136" s="23">
        <f t="shared" si="1156"/>
        <v>0</v>
      </c>
      <c r="CC136" s="23">
        <f t="shared" si="1156"/>
        <v>0</v>
      </c>
      <c r="CE136" s="23">
        <f t="shared" si="1156"/>
        <v>0</v>
      </c>
      <c r="CG136" s="23">
        <f t="shared" si="1154"/>
        <v>0</v>
      </c>
      <c r="CH136" s="23" t="e">
        <f t="shared" ca="1" si="1141"/>
        <v>#NAME?</v>
      </c>
      <c r="CI136" s="23" t="e">
        <f t="shared" ca="1" si="1154"/>
        <v>#NAME?</v>
      </c>
      <c r="CK136" s="23">
        <f t="shared" si="1157"/>
        <v>0</v>
      </c>
      <c r="CM136" s="24">
        <f t="shared" si="1158"/>
        <v>0</v>
      </c>
      <c r="CN136" s="24">
        <f t="shared" si="1159"/>
        <v>0</v>
      </c>
      <c r="CO136" s="24">
        <f t="shared" si="1160"/>
        <v>0</v>
      </c>
      <c r="CP136" s="24">
        <f t="shared" si="1161"/>
        <v>0</v>
      </c>
      <c r="CQ136" s="24">
        <f t="shared" si="1162"/>
        <v>0</v>
      </c>
      <c r="CR136" s="24">
        <f t="shared" si="1163"/>
        <v>0</v>
      </c>
      <c r="CS136" s="24">
        <f t="shared" si="1164"/>
        <v>0</v>
      </c>
      <c r="CT136" s="24">
        <f t="shared" si="1165"/>
        <v>0</v>
      </c>
      <c r="CU136" s="24">
        <f t="shared" si="1166"/>
        <v>0</v>
      </c>
      <c r="CV136" s="24">
        <f t="shared" si="1167"/>
        <v>0</v>
      </c>
      <c r="CW136" s="24">
        <f t="shared" si="1168"/>
        <v>0</v>
      </c>
      <c r="CX136" s="24">
        <f t="shared" si="1169"/>
        <v>0</v>
      </c>
      <c r="CY136" s="24">
        <f t="shared" si="1170"/>
        <v>0</v>
      </c>
      <c r="CZ136" s="24">
        <f t="shared" si="1171"/>
        <v>0</v>
      </c>
      <c r="DA136" s="24">
        <f t="shared" si="1172"/>
        <v>0</v>
      </c>
      <c r="DB136" s="24">
        <f t="shared" si="1173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Raw'!C68+'Annual Raw'!C67+'Annual Raw'!C70+'Annual Raw'!C71</f>
        <v>#NAME?</v>
      </c>
      <c r="C137" s="23" t="e">
        <f ca="1">'Annual Raw'!D68+'Annual Raw'!D67+'Annual Raw'!D70+'Annual Raw'!D71</f>
        <v>#NAME?</v>
      </c>
      <c r="D137" s="23" t="e">
        <f ca="1">'Annual Raw'!E68+'Annual Raw'!E67+'Annual Raw'!E70+'Annual Raw'!E71</f>
        <v>#NAME?</v>
      </c>
      <c r="E137" s="23" t="e">
        <f ca="1">'Annual Raw'!F68+'Annual Raw'!F67+'Annual Raw'!F70+'Annual Raw'!F71</f>
        <v>#NAME?</v>
      </c>
      <c r="F137" s="23" t="e">
        <f ca="1">'Annual Raw'!G68+'Annual Raw'!G67+'Annual Raw'!G70+'Annual Raw'!G71</f>
        <v>#NAME?</v>
      </c>
      <c r="G137" s="23" t="e">
        <f ca="1">'Annual Raw'!H68+'Annual Raw'!H67+'Annual Raw'!H70+'Annual Raw'!H71</f>
        <v>#NAME?</v>
      </c>
      <c r="H137" s="23" t="e">
        <f ca="1">'Annual Raw'!I68+'Annual Raw'!I67+'Annual Raw'!I70+'Annual Raw'!I71</f>
        <v>#NAME?</v>
      </c>
      <c r="I137" s="23" t="e">
        <f ca="1">'Annual Raw'!J68+'Annual Raw'!J67+'Annual Raw'!J70+'Annual Raw'!J71</f>
        <v>#NAME?</v>
      </c>
      <c r="J137" s="23" t="e">
        <f ca="1">'Annual Raw'!K68+'Annual Raw'!K67+'Annual Raw'!K70+'Annual Raw'!K71</f>
        <v>#NAME?</v>
      </c>
      <c r="K137" s="23" t="e">
        <f ca="1">'Annual Raw'!L68+'Annual Raw'!L67+'Annual Raw'!L70+'Annual Raw'!L71</f>
        <v>#NAME?</v>
      </c>
      <c r="L137" s="23" t="e">
        <f ca="1">'Annual Raw'!M68+'Annual Raw'!M67+'Annual Raw'!M70+'Annual Raw'!M71</f>
        <v>#NAME?</v>
      </c>
      <c r="M137" s="23" t="e">
        <f ca="1">'Annual Raw'!N68+'Annual Raw'!N67+'Annual Raw'!N70+'Annual Raw'!N71</f>
        <v>#NAME?</v>
      </c>
      <c r="N137" s="23" t="e">
        <f ca="1">'Annual Raw'!O68+'Annual Raw'!O67+'Annual Raw'!O70+'Annual Raw'!O71</f>
        <v>#NAME?</v>
      </c>
      <c r="O137" s="23" t="e">
        <f ca="1">'Annual Raw'!P68+'Annual Raw'!P67+'Annual Raw'!P70+'Annual Raw'!P71</f>
        <v>#NAME?</v>
      </c>
      <c r="P137" s="23" t="e">
        <f ca="1">'Annual Raw'!Q68+'Annual Raw'!Q67+'Annual Raw'!Q70+'Annual Raw'!Q71</f>
        <v>#NAME?</v>
      </c>
      <c r="Q137" s="23" t="e">
        <f ca="1">'Annual Raw'!R68+'Annual Raw'!R67+'Annual Raw'!R70+'Annual Raw'!R71</f>
        <v>#NAME?</v>
      </c>
      <c r="R137" s="23" t="e">
        <f ca="1">'Annual Raw'!S68+'Annual Raw'!S67+'Annual Raw'!S70+'Annual Raw'!S71</f>
        <v>#NAME?</v>
      </c>
      <c r="S137" s="23" t="e">
        <f ca="1">'Annual Raw'!T68+'Annual Raw'!T67+'Annual Raw'!T70+'Annual Raw'!T71</f>
        <v>#NAME?</v>
      </c>
      <c r="T137" s="23" t="e">
        <f ca="1">'Annual Raw'!U68+'Annual Raw'!U67+'Annual Raw'!U70+'Annual Raw'!U71</f>
        <v>#NAME?</v>
      </c>
      <c r="U137" s="23" t="e">
        <f ca="1">'Annual Raw'!V68+'Annual Raw'!V67+'Annual Raw'!V70+'Annual Raw'!V71</f>
        <v>#NAME?</v>
      </c>
      <c r="V137" s="23" t="e">
        <f ca="1">'Annual Raw'!W68+'Annual Raw'!W67+'Annual Raw'!W70+'Annual Raw'!W71</f>
        <v>#NAME?</v>
      </c>
      <c r="W137" s="23" t="e">
        <f ca="1">'Annual Raw'!X68+'Annual Raw'!X67+'Annual Raw'!X70+'Annual Raw'!X71</f>
        <v>#NAME?</v>
      </c>
      <c r="X137" s="23" t="e">
        <f ca="1">'Annual Raw'!Y68+'Annual Raw'!Y67+'Annual Raw'!Y70+'Annual Raw'!Y71</f>
        <v>#NAME?</v>
      </c>
      <c r="Y137" s="23" t="e">
        <f ca="1">'Annual Raw'!Z68+'Annual Raw'!Z67+'Annual Raw'!Z70+'Annual Raw'!Z71</f>
        <v>#NAME?</v>
      </c>
      <c r="Z137" s="23" t="e">
        <f ca="1">'Annual Raw'!AA68+'Annual Raw'!AA67+'Annual Raw'!AA70+'Annual Raw'!AA71</f>
        <v>#NAME?</v>
      </c>
      <c r="AA137" s="23" t="e">
        <f ca="1">'Annual Raw'!AB68+'Annual Raw'!AB67+'Annual Raw'!AB70+'Annual Raw'!AB71</f>
        <v>#NAME?</v>
      </c>
      <c r="AB137" s="24" t="e">
        <f t="shared" ca="1" si="1137"/>
        <v>#NAME?</v>
      </c>
      <c r="AC137" s="24" t="e">
        <f t="shared" ca="1" si="1138"/>
        <v>#NAME?</v>
      </c>
      <c r="AD137" s="24" t="e">
        <f t="shared" ca="1" si="1139"/>
        <v>#NAME?</v>
      </c>
      <c r="AE137" s="24" t="e">
        <f t="shared" ca="1" si="1140"/>
        <v>#NAME?</v>
      </c>
      <c r="AJ137" s="23" t="e">
        <f ca="1">+'QTR Raw'!D74+'QTR Raw'!D75</f>
        <v>#NAME?</v>
      </c>
      <c r="AK137" s="23" t="e">
        <f t="shared" ca="1" si="1156"/>
        <v>#NAME?</v>
      </c>
      <c r="AL137" s="23" t="e">
        <f ca="1">+'QTR Raw'!F74+'QTR Raw'!F75</f>
        <v>#NAME?</v>
      </c>
      <c r="AM137" s="23" t="e">
        <f t="shared" ca="1" si="1156"/>
        <v>#NAME?</v>
      </c>
      <c r="AN137" s="23" t="e">
        <f ca="1">+'QTR Raw'!H74+'QTR Raw'!H75</f>
        <v>#NAME?</v>
      </c>
      <c r="AO137" s="23" t="e">
        <f t="shared" ca="1" si="1156"/>
        <v>#NAME?</v>
      </c>
      <c r="AP137" s="23" t="e">
        <f ca="1">+'QTR Raw'!J74+'QTR Raw'!J75</f>
        <v>#NAME?</v>
      </c>
      <c r="AQ137" s="23" t="e">
        <f t="shared" ca="1" si="1156"/>
        <v>#NAME?</v>
      </c>
      <c r="AR137" s="23" t="e">
        <f ca="1">+'QTR Raw'!L74+'QTR Raw'!L75</f>
        <v>#NAME?</v>
      </c>
      <c r="AS137" s="23" t="e">
        <f t="shared" ca="1" si="1156"/>
        <v>#NAME?</v>
      </c>
      <c r="AT137" s="23" t="e">
        <f ca="1">+'QTR Raw'!N74+'QTR Raw'!N75</f>
        <v>#NAME?</v>
      </c>
      <c r="AU137" s="23" t="e">
        <f t="shared" ca="1" si="1156"/>
        <v>#NAME?</v>
      </c>
      <c r="AV137" s="23" t="e">
        <f ca="1">+'QTR Raw'!P74+'QTR Raw'!P75</f>
        <v>#NAME?</v>
      </c>
      <c r="AW137" s="23" t="e">
        <f t="shared" ca="1" si="1156"/>
        <v>#NAME?</v>
      </c>
      <c r="AX137" s="23" t="e">
        <f ca="1">+'QTR Raw'!R74+'QTR Raw'!R75</f>
        <v>#NAME?</v>
      </c>
      <c r="AY137" s="23" t="e">
        <f t="shared" ca="1" si="1156"/>
        <v>#NAME?</v>
      </c>
      <c r="AZ137" s="23" t="e">
        <f ca="1">+'QTR Raw'!T74+'QTR Raw'!T75</f>
        <v>#NAME?</v>
      </c>
      <c r="BA137" s="23" t="e">
        <f t="shared" ca="1" si="1156"/>
        <v>#NAME?</v>
      </c>
      <c r="BB137" s="23" t="e">
        <f ca="1">+'QTR Raw'!V74+'QTR Raw'!V75</f>
        <v>#NAME?</v>
      </c>
      <c r="BC137" s="23" t="e">
        <f t="shared" ca="1" si="1156"/>
        <v>#NAME?</v>
      </c>
      <c r="BD137" s="23" t="e">
        <f ca="1">+'QTR Raw'!X74+'QTR Raw'!X75</f>
        <v>#NAME?</v>
      </c>
      <c r="BE137" s="23" t="e">
        <f t="shared" ca="1" si="1156"/>
        <v>#NAME?</v>
      </c>
      <c r="BF137" s="23" t="e">
        <f ca="1">+'QTR Raw'!Z74+'QTR Raw'!Z75</f>
        <v>#NAME?</v>
      </c>
      <c r="BG137" s="23" t="e">
        <f t="shared" ca="1" si="1156"/>
        <v>#NAME?</v>
      </c>
      <c r="BH137" s="23" t="e">
        <f ca="1">+'QTR Raw'!AB74+'QTR Raw'!AB75</f>
        <v>#NAME?</v>
      </c>
      <c r="BI137" s="23" t="e">
        <f t="shared" ca="1" si="1156"/>
        <v>#NAME?</v>
      </c>
      <c r="BJ137" s="23" t="e">
        <f ca="1">+'QTR Raw'!AD74+'QTR Raw'!AD75</f>
        <v>#NAME?</v>
      </c>
      <c r="BK137" s="23" t="e">
        <f t="shared" ca="1" si="1156"/>
        <v>#NAME?</v>
      </c>
      <c r="BL137" s="23" t="e">
        <f ca="1">+'QTR Raw'!AF74+'QTR Raw'!AF75</f>
        <v>#NAME?</v>
      </c>
      <c r="BM137" s="23" t="e">
        <f t="shared" ca="1" si="1156"/>
        <v>#NAME?</v>
      </c>
      <c r="BN137" s="23" t="e">
        <f ca="1">+'QTR Raw'!AH74+'QTR Raw'!AH75</f>
        <v>#NAME?</v>
      </c>
      <c r="BO137" s="23" t="e">
        <f t="shared" ca="1" si="1156"/>
        <v>#NAME?</v>
      </c>
      <c r="BP137" s="23" t="e">
        <f ca="1">+'QTR Raw'!AJ74+'QTR Raw'!AJ75</f>
        <v>#NAME?</v>
      </c>
      <c r="BQ137" s="23" t="e">
        <f t="shared" ca="1" si="1156"/>
        <v>#NAME?</v>
      </c>
      <c r="BR137" s="23" t="e">
        <f ca="1">+'QTR Raw'!AL74+'QTR Raw'!AL75</f>
        <v>#NAME?</v>
      </c>
      <c r="BS137" s="23" t="e">
        <f t="shared" ca="1" si="1156"/>
        <v>#NAME?</v>
      </c>
      <c r="BT137" s="23" t="e">
        <f ca="1">+'QTR Raw'!AN74+'QTR Raw'!AN75</f>
        <v>#NAME?</v>
      </c>
      <c r="BU137" s="23" t="e">
        <f t="shared" ca="1" si="1156"/>
        <v>#NAME?</v>
      </c>
      <c r="BV137" s="23" t="e">
        <f ca="1">+'QTR Raw'!AP74+'QTR Raw'!AP75</f>
        <v>#NAME?</v>
      </c>
      <c r="BW137" s="23" t="e">
        <f t="shared" ca="1" si="1156"/>
        <v>#NAME?</v>
      </c>
      <c r="BX137" s="23" t="e">
        <f ca="1">+'QTR Raw'!AR74+'QTR Raw'!AR75</f>
        <v>#NAME?</v>
      </c>
      <c r="BY137" s="23" t="e">
        <f t="shared" ca="1" si="1156"/>
        <v>#NAME?</v>
      </c>
      <c r="BZ137" s="23" t="e">
        <f ca="1">+'QTR Raw'!AT74+'QTR Raw'!AT75</f>
        <v>#NAME?</v>
      </c>
      <c r="CA137" s="23" t="e">
        <f t="shared" ca="1" si="1156"/>
        <v>#NAME?</v>
      </c>
      <c r="CB137" s="23" t="e">
        <f ca="1">+'QTR Raw'!AV74+'QTR Raw'!AV75</f>
        <v>#NAME?</v>
      </c>
      <c r="CC137" s="23" t="e">
        <f t="shared" ca="1" si="1156"/>
        <v>#NAME?</v>
      </c>
      <c r="CD137" s="23" t="e">
        <f ca="1">+'QTR Raw'!AX74+'QTR Raw'!AX75</f>
        <v>#NAME?</v>
      </c>
      <c r="CE137" s="23" t="e">
        <f t="shared" ca="1" si="1156"/>
        <v>#NAME?</v>
      </c>
      <c r="CF137" s="23" t="e">
        <f ca="1">+'QTR Raw'!AZ74+'QTR Raw'!AZ75</f>
        <v>#NAME?</v>
      </c>
      <c r="CG137" s="23" t="e">
        <f t="shared" ca="1" si="1154"/>
        <v>#NAME?</v>
      </c>
      <c r="CH137" s="23" t="e">
        <f t="shared" ca="1" si="1141"/>
        <v>#NAME?</v>
      </c>
      <c r="CI137" s="23" t="e">
        <f t="shared" ca="1" si="1154"/>
        <v>#NAME?</v>
      </c>
      <c r="CJ137" s="23" t="e">
        <f ca="1">+'QTR Raw'!BD74+'QTR Raw'!BD75</f>
        <v>#NAME?</v>
      </c>
      <c r="CK137" s="23" t="e">
        <f t="shared" ca="1" si="1157"/>
        <v>#NAME?</v>
      </c>
      <c r="CL137" s="23" t="e">
        <f ca="1">+'QTR Raw'!BF74+'QTR Raw'!BF75</f>
        <v>#NAME?</v>
      </c>
      <c r="CM137" s="24" t="e">
        <f t="shared" ca="1" si="1158"/>
        <v>#NAME?</v>
      </c>
      <c r="CN137" s="24" t="e">
        <f t="shared" ca="1" si="1159"/>
        <v>#NAME?</v>
      </c>
      <c r="CO137" s="24" t="e">
        <f t="shared" ca="1" si="1160"/>
        <v>#NAME?</v>
      </c>
      <c r="CP137" s="24" t="e">
        <f t="shared" ca="1" si="1161"/>
        <v>#NAME?</v>
      </c>
      <c r="CQ137" s="24" t="e">
        <f t="shared" ca="1" si="1162"/>
        <v>#NAME?</v>
      </c>
      <c r="CR137" s="24" t="e">
        <f t="shared" ca="1" si="1163"/>
        <v>#NAME?</v>
      </c>
      <c r="CS137" s="24" t="e">
        <f t="shared" ca="1" si="1164"/>
        <v>#NAME?</v>
      </c>
      <c r="CT137" s="24" t="e">
        <f t="shared" ca="1" si="1165"/>
        <v>#NAME?</v>
      </c>
      <c r="CU137" s="24" t="e">
        <f t="shared" ca="1" si="1166"/>
        <v>#NAME?</v>
      </c>
      <c r="CV137" s="24" t="e">
        <f t="shared" ca="1" si="1167"/>
        <v>#NAME?</v>
      </c>
      <c r="CW137" s="24" t="e">
        <f t="shared" ca="1" si="1168"/>
        <v>#NAME?</v>
      </c>
      <c r="CX137" s="24" t="e">
        <f t="shared" ca="1" si="1169"/>
        <v>#NAME?</v>
      </c>
      <c r="CY137" s="24" t="e">
        <f t="shared" ca="1" si="1170"/>
        <v>#NAME?</v>
      </c>
      <c r="CZ137" s="24" t="e">
        <f t="shared" ca="1" si="1171"/>
        <v>#NAME?</v>
      </c>
      <c r="DA137" s="24" t="e">
        <f t="shared" ca="1" si="1172"/>
        <v>#NAME?</v>
      </c>
      <c r="DB137" s="24" t="e">
        <f t="shared" ca="1" si="1173"/>
        <v>#NAME?</v>
      </c>
      <c r="DE137" s="123"/>
      <c r="DF137" s="23">
        <v>506.98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4">C134+C137+C136</f>
        <v>#NAME?</v>
      </c>
      <c r="D138" s="22" t="e">
        <f t="shared" ca="1" si="1174"/>
        <v>#NAME?</v>
      </c>
      <c r="E138" s="22" t="e">
        <f t="shared" ref="E138:Y138" ca="1" si="1175">E134+E137+E136+E135</f>
        <v>#NAME?</v>
      </c>
      <c r="F138" s="22" t="e">
        <f t="shared" ca="1" si="1175"/>
        <v>#NAME?</v>
      </c>
      <c r="G138" s="22" t="e">
        <f t="shared" ca="1" si="1175"/>
        <v>#NAME?</v>
      </c>
      <c r="H138" s="22" t="e">
        <f t="shared" ca="1" si="1175"/>
        <v>#NAME?</v>
      </c>
      <c r="I138" s="22" t="e">
        <f t="shared" ca="1" si="1175"/>
        <v>#NAME?</v>
      </c>
      <c r="J138" s="22" t="e">
        <f t="shared" ca="1" si="1175"/>
        <v>#NAME?</v>
      </c>
      <c r="K138" s="22" t="e">
        <f t="shared" ca="1" si="1175"/>
        <v>#NAME?</v>
      </c>
      <c r="L138" s="22" t="e">
        <f t="shared" ca="1" si="1175"/>
        <v>#NAME?</v>
      </c>
      <c r="M138" s="22" t="e">
        <f t="shared" ca="1" si="1175"/>
        <v>#NAME?</v>
      </c>
      <c r="N138" s="22" t="e">
        <f t="shared" ca="1" si="1175"/>
        <v>#NAME?</v>
      </c>
      <c r="O138" s="22" t="e">
        <f t="shared" ca="1" si="1175"/>
        <v>#NAME?</v>
      </c>
      <c r="P138" s="22" t="e">
        <f t="shared" ca="1" si="1175"/>
        <v>#NAME?</v>
      </c>
      <c r="Q138" s="22" t="e">
        <f t="shared" ca="1" si="1175"/>
        <v>#NAME?</v>
      </c>
      <c r="R138" s="22" t="e">
        <f t="shared" ca="1" si="1175"/>
        <v>#NAME?</v>
      </c>
      <c r="S138" s="22" t="e">
        <f t="shared" ca="1" si="1175"/>
        <v>#NAME?</v>
      </c>
      <c r="T138" s="22" t="e">
        <f t="shared" ca="1" si="1175"/>
        <v>#NAME?</v>
      </c>
      <c r="U138" s="22" t="e">
        <f t="shared" ca="1" si="1175"/>
        <v>#NAME?</v>
      </c>
      <c r="V138" s="22" t="e">
        <f t="shared" ca="1" si="1175"/>
        <v>#NAME?</v>
      </c>
      <c r="W138" s="22" t="e">
        <f t="shared" ca="1" si="1175"/>
        <v>#NAME?</v>
      </c>
      <c r="X138" s="22" t="e">
        <f t="shared" ca="1" si="1175"/>
        <v>#NAME?</v>
      </c>
      <c r="Y138" s="22" t="e">
        <f t="shared" ca="1" si="1175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76">AB134+AB137+AB136+AB135</f>
        <v>#NAME?</v>
      </c>
      <c r="AC138" s="161" t="e">
        <f t="shared" ca="1" si="1176"/>
        <v>#NAME?</v>
      </c>
      <c r="AD138" s="161" t="e">
        <f t="shared" ca="1" si="1176"/>
        <v>#NAME?</v>
      </c>
      <c r="AE138" s="161" t="e">
        <f t="shared" ca="1" si="1176"/>
        <v>#NAME?</v>
      </c>
      <c r="AJ138" s="22" t="e">
        <f t="shared" ref="AJ138" ca="1" si="1177">AJ134+AJ137+AJ135+AJ136</f>
        <v>#NAME?</v>
      </c>
      <c r="AK138" s="22" t="e">
        <f t="shared" ref="AK138" ca="1" si="1178">AK134+AK137+AK135+AK136</f>
        <v>#NAME?</v>
      </c>
      <c r="AL138" s="22" t="e">
        <f t="shared" ref="AL138:AM138" ca="1" si="1179">AL134+AL137+AL135+AL136</f>
        <v>#NAME?</v>
      </c>
      <c r="AM138" s="22" t="e">
        <f t="shared" ca="1" si="1179"/>
        <v>#NAME?</v>
      </c>
      <c r="AN138" s="22" t="e">
        <f t="shared" ref="AN138:AO138" ca="1" si="1180">AN134+AN137+AN135+AN136</f>
        <v>#NAME?</v>
      </c>
      <c r="AO138" s="22" t="e">
        <f t="shared" ca="1" si="1180"/>
        <v>#NAME?</v>
      </c>
      <c r="AP138" s="22" t="e">
        <f t="shared" ref="AP138:CE138" ca="1" si="1181">AP134+AP137+AP135+AP136</f>
        <v>#NAME?</v>
      </c>
      <c r="AQ138" s="22" t="e">
        <f t="shared" ca="1" si="1181"/>
        <v>#NAME?</v>
      </c>
      <c r="AR138" s="22" t="e">
        <f t="shared" ca="1" si="1181"/>
        <v>#NAME?</v>
      </c>
      <c r="AS138" s="22" t="e">
        <f t="shared" ca="1" si="1181"/>
        <v>#NAME?</v>
      </c>
      <c r="AT138" s="22" t="e">
        <f t="shared" ca="1" si="1181"/>
        <v>#NAME?</v>
      </c>
      <c r="AU138" s="22" t="e">
        <f t="shared" ca="1" si="1181"/>
        <v>#NAME?</v>
      </c>
      <c r="AV138" s="22" t="e">
        <f t="shared" ca="1" si="1181"/>
        <v>#NAME?</v>
      </c>
      <c r="AW138" s="22" t="e">
        <f t="shared" ca="1" si="1181"/>
        <v>#NAME?</v>
      </c>
      <c r="AX138" s="22" t="e">
        <f t="shared" ca="1" si="1181"/>
        <v>#NAME?</v>
      </c>
      <c r="AY138" s="22" t="e">
        <f t="shared" ca="1" si="1181"/>
        <v>#NAME?</v>
      </c>
      <c r="AZ138" s="22" t="e">
        <f t="shared" ca="1" si="1181"/>
        <v>#NAME?</v>
      </c>
      <c r="BA138" s="22" t="e">
        <f t="shared" ca="1" si="1181"/>
        <v>#NAME?</v>
      </c>
      <c r="BB138" s="22" t="e">
        <f t="shared" ca="1" si="1181"/>
        <v>#NAME?</v>
      </c>
      <c r="BC138" s="22" t="e">
        <f t="shared" ca="1" si="1181"/>
        <v>#NAME?</v>
      </c>
      <c r="BD138" s="22" t="e">
        <f t="shared" ca="1" si="1181"/>
        <v>#NAME?</v>
      </c>
      <c r="BE138" s="22" t="e">
        <f t="shared" ca="1" si="1181"/>
        <v>#NAME?</v>
      </c>
      <c r="BF138" s="22" t="e">
        <f t="shared" ca="1" si="1181"/>
        <v>#NAME?</v>
      </c>
      <c r="BG138" s="22" t="e">
        <f t="shared" ca="1" si="1181"/>
        <v>#NAME?</v>
      </c>
      <c r="BH138" s="22" t="e">
        <f t="shared" ca="1" si="1181"/>
        <v>#NAME?</v>
      </c>
      <c r="BI138" s="22" t="e">
        <f t="shared" ca="1" si="1181"/>
        <v>#NAME?</v>
      </c>
      <c r="BJ138" s="22" t="e">
        <f t="shared" ca="1" si="1181"/>
        <v>#NAME?</v>
      </c>
      <c r="BK138" s="22" t="e">
        <f t="shared" ca="1" si="1181"/>
        <v>#NAME?</v>
      </c>
      <c r="BL138" s="22" t="e">
        <f t="shared" ca="1" si="1181"/>
        <v>#NAME?</v>
      </c>
      <c r="BM138" s="22" t="e">
        <f t="shared" ca="1" si="1181"/>
        <v>#NAME?</v>
      </c>
      <c r="BN138" s="22" t="e">
        <f t="shared" ca="1" si="1181"/>
        <v>#NAME?</v>
      </c>
      <c r="BO138" s="22" t="e">
        <f t="shared" ca="1" si="1181"/>
        <v>#NAME?</v>
      </c>
      <c r="BP138" s="22" t="e">
        <f t="shared" ca="1" si="1181"/>
        <v>#NAME?</v>
      </c>
      <c r="BQ138" s="22" t="e">
        <f t="shared" ca="1" si="1181"/>
        <v>#NAME?</v>
      </c>
      <c r="BR138" s="22" t="e">
        <f t="shared" ca="1" si="1181"/>
        <v>#NAME?</v>
      </c>
      <c r="BS138" s="22" t="e">
        <f t="shared" ca="1" si="1181"/>
        <v>#NAME?</v>
      </c>
      <c r="BT138" s="22" t="e">
        <f t="shared" ca="1" si="1181"/>
        <v>#NAME?</v>
      </c>
      <c r="BU138" s="22" t="e">
        <f t="shared" ca="1" si="1181"/>
        <v>#NAME?</v>
      </c>
      <c r="BV138" s="22" t="e">
        <f t="shared" ca="1" si="1181"/>
        <v>#NAME?</v>
      </c>
      <c r="BW138" s="22" t="e">
        <f t="shared" ca="1" si="1181"/>
        <v>#NAME?</v>
      </c>
      <c r="BX138" s="22" t="e">
        <f t="shared" ca="1" si="1181"/>
        <v>#NAME?</v>
      </c>
      <c r="BY138" s="22" t="e">
        <f t="shared" ca="1" si="1181"/>
        <v>#NAME?</v>
      </c>
      <c r="BZ138" s="22" t="e">
        <f t="shared" ca="1" si="1181"/>
        <v>#NAME?</v>
      </c>
      <c r="CA138" s="22" t="e">
        <f t="shared" ca="1" si="1181"/>
        <v>#NAME?</v>
      </c>
      <c r="CB138" s="22" t="e">
        <f t="shared" ca="1" si="1181"/>
        <v>#NAME?</v>
      </c>
      <c r="CC138" s="22" t="e">
        <f t="shared" ca="1" si="1181"/>
        <v>#NAME?</v>
      </c>
      <c r="CD138" s="22" t="e">
        <f t="shared" ca="1" si="1181"/>
        <v>#NAME?</v>
      </c>
      <c r="CE138" s="22" t="e">
        <f t="shared" ca="1" si="1181"/>
        <v>#NAME?</v>
      </c>
      <c r="CF138" s="22" t="e">
        <f t="shared" ref="CF138:CG138" ca="1" si="1182">CF134+CF137+CF135+CF136</f>
        <v>#NAME?</v>
      </c>
      <c r="CG138" s="22" t="e">
        <f t="shared" ca="1" si="1182"/>
        <v>#NAME?</v>
      </c>
      <c r="CH138" s="22" t="e">
        <f t="shared" ref="CH138:CJ138" ca="1" si="1183">CH134+CH137+CH135+CH136</f>
        <v>#NAME?</v>
      </c>
      <c r="CI138" s="22" t="e">
        <f t="shared" ca="1" si="1183"/>
        <v>#NAME?</v>
      </c>
      <c r="CJ138" s="22" t="e">
        <f t="shared" ca="1" si="1183"/>
        <v>#NAME?</v>
      </c>
      <c r="CK138" s="22" t="e">
        <f t="shared" ref="CK138:DB138" ca="1" si="1184">CK134+CK137+CK135+CK136</f>
        <v>#NAME?</v>
      </c>
      <c r="CL138" s="22" t="e">
        <f t="shared" ca="1" si="1184"/>
        <v>#NAME?</v>
      </c>
      <c r="CM138" s="21" t="e">
        <f t="shared" ca="1" si="1184"/>
        <v>#NAME?</v>
      </c>
      <c r="CN138" s="21" t="e">
        <f t="shared" ca="1" si="1184"/>
        <v>#NAME?</v>
      </c>
      <c r="CO138" s="21" t="e">
        <f t="shared" ca="1" si="1184"/>
        <v>#NAME?</v>
      </c>
      <c r="CP138" s="21" t="e">
        <f t="shared" ca="1" si="1184"/>
        <v>#NAME?</v>
      </c>
      <c r="CQ138" s="21" t="e">
        <f t="shared" ca="1" si="1184"/>
        <v>#NAME?</v>
      </c>
      <c r="CR138" s="21" t="e">
        <f t="shared" ca="1" si="1184"/>
        <v>#NAME?</v>
      </c>
      <c r="CS138" s="21" t="e">
        <f t="shared" ca="1" si="1184"/>
        <v>#NAME?</v>
      </c>
      <c r="CT138" s="21" t="e">
        <f t="shared" ca="1" si="1184"/>
        <v>#NAME?</v>
      </c>
      <c r="CU138" s="21" t="e">
        <f t="shared" ca="1" si="1184"/>
        <v>#NAME?</v>
      </c>
      <c r="CV138" s="21" t="e">
        <f t="shared" ca="1" si="1184"/>
        <v>#NAME?</v>
      </c>
      <c r="CW138" s="21" t="e">
        <f t="shared" ca="1" si="1184"/>
        <v>#NAME?</v>
      </c>
      <c r="CX138" s="21" t="e">
        <f t="shared" ca="1" si="1184"/>
        <v>#NAME?</v>
      </c>
      <c r="CY138" s="21" t="e">
        <f t="shared" ca="1" si="1184"/>
        <v>#NAME?</v>
      </c>
      <c r="CZ138" s="21" t="e">
        <f t="shared" ca="1" si="1184"/>
        <v>#NAME?</v>
      </c>
      <c r="DA138" s="21" t="e">
        <f t="shared" ca="1" si="1184"/>
        <v>#NAME?</v>
      </c>
      <c r="DB138" s="21" t="e">
        <f t="shared" ca="1" si="1184"/>
        <v>#NAME?</v>
      </c>
      <c r="DE138" s="126"/>
      <c r="DF138" s="22">
        <v>6254.51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Raw'!C72</f>
        <v>#NAME?</v>
      </c>
      <c r="C140" s="23" t="e">
        <f ca="1">'Annual Raw'!D72</f>
        <v>#NAME?</v>
      </c>
      <c r="D140" s="23" t="e">
        <f ca="1">'Annual Raw'!E72</f>
        <v>#NAME?</v>
      </c>
      <c r="E140" s="23" t="e">
        <f ca="1">'Annual Raw'!F72</f>
        <v>#NAME?</v>
      </c>
      <c r="F140" s="23" t="e">
        <f ca="1">'Annual Raw'!G72</f>
        <v>#NAME?</v>
      </c>
      <c r="G140" s="23" t="e">
        <f ca="1">'Annual Raw'!H72</f>
        <v>#NAME?</v>
      </c>
      <c r="H140" s="23" t="e">
        <f ca="1">'Annual Raw'!I72</f>
        <v>#NAME?</v>
      </c>
      <c r="I140" s="23" t="e">
        <f ca="1">'Annual Raw'!J72</f>
        <v>#NAME?</v>
      </c>
      <c r="J140" s="23" t="e">
        <f ca="1">'Annual Raw'!K72</f>
        <v>#NAME?</v>
      </c>
      <c r="K140" s="23" t="e">
        <f ca="1">'Annual Raw'!L72</f>
        <v>#NAME?</v>
      </c>
      <c r="L140" s="23" t="e">
        <f ca="1">'Annual Raw'!M72</f>
        <v>#NAME?</v>
      </c>
      <c r="M140" s="23" t="e">
        <f ca="1">'Annual Raw'!N72</f>
        <v>#NAME?</v>
      </c>
      <c r="N140" s="23" t="e">
        <f ca="1">'Annual Raw'!O72</f>
        <v>#NAME?</v>
      </c>
      <c r="O140" s="23" t="e">
        <f ca="1">'Annual Raw'!P72</f>
        <v>#NAME?</v>
      </c>
      <c r="P140" s="23" t="e">
        <f ca="1">'Annual Raw'!Q72</f>
        <v>#NAME?</v>
      </c>
      <c r="Q140" s="23" t="e">
        <f ca="1">'Annual Raw'!R72</f>
        <v>#NAME?</v>
      </c>
      <c r="R140" s="23" t="e">
        <f ca="1">'Annual Raw'!S72</f>
        <v>#NAME?</v>
      </c>
      <c r="S140" s="23" t="e">
        <f ca="1">'Annual Raw'!T72</f>
        <v>#NAME?</v>
      </c>
      <c r="T140" s="23" t="e">
        <f ca="1">'Annual Raw'!U72</f>
        <v>#NAME?</v>
      </c>
      <c r="U140" s="23" t="e">
        <f ca="1">'Annual Raw'!V72</f>
        <v>#NAME?</v>
      </c>
      <c r="V140" s="23" t="e">
        <f ca="1">'Annual Raw'!W72</f>
        <v>#NAME?</v>
      </c>
      <c r="W140" s="23" t="e">
        <f ca="1">'Annual Raw'!X72</f>
        <v>#NAME?</v>
      </c>
      <c r="X140" s="23" t="e">
        <f ca="1">'Annual Raw'!Y72</f>
        <v>#NAME?</v>
      </c>
      <c r="Y140" s="23" t="e">
        <f ca="1">'Annual Raw'!Z72</f>
        <v>#NAME?</v>
      </c>
      <c r="Z140" s="23" t="e">
        <f ca="1">'Annual Raw'!AA72</f>
        <v>#NAME?</v>
      </c>
      <c r="AA140" s="23" t="e">
        <f ca="1">'Annual Raw'!AB72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85">+AJ140</f>
        <v>#NAME?</v>
      </c>
      <c r="AL140" s="23" t="e">
        <f ca="1">+'QTR Raw'!F77</f>
        <v>#NAME?</v>
      </c>
      <c r="AM140" s="23" t="e">
        <f t="shared" ca="1" si="1185"/>
        <v>#NAME?</v>
      </c>
      <c r="AN140" s="23" t="e">
        <f ca="1">+'QTR Raw'!H77</f>
        <v>#NAME?</v>
      </c>
      <c r="AO140" s="23" t="e">
        <f t="shared" ca="1" si="1185"/>
        <v>#NAME?</v>
      </c>
      <c r="AP140" s="23" t="e">
        <f ca="1">+'QTR Raw'!J77</f>
        <v>#NAME?</v>
      </c>
      <c r="AQ140" s="23" t="e">
        <f t="shared" ca="1" si="1185"/>
        <v>#NAME?</v>
      </c>
      <c r="AR140" s="23" t="e">
        <f ca="1">+'QTR Raw'!L77</f>
        <v>#NAME?</v>
      </c>
      <c r="AS140" s="23" t="e">
        <f t="shared" ca="1" si="1185"/>
        <v>#NAME?</v>
      </c>
      <c r="AT140" s="23" t="e">
        <f ca="1">+'QTR Raw'!N77</f>
        <v>#NAME?</v>
      </c>
      <c r="AU140" s="23" t="e">
        <f t="shared" ca="1" si="1185"/>
        <v>#NAME?</v>
      </c>
      <c r="AV140" s="23" t="e">
        <f ca="1">+'QTR Raw'!P77</f>
        <v>#NAME?</v>
      </c>
      <c r="AW140" s="23" t="e">
        <f t="shared" ca="1" si="1185"/>
        <v>#NAME?</v>
      </c>
      <c r="AX140" s="23" t="e">
        <f ca="1">+'QTR Raw'!R77</f>
        <v>#NAME?</v>
      </c>
      <c r="AY140" s="23" t="e">
        <f t="shared" ca="1" si="1185"/>
        <v>#NAME?</v>
      </c>
      <c r="AZ140" s="23" t="e">
        <f ca="1">+'QTR Raw'!T77</f>
        <v>#NAME?</v>
      </c>
      <c r="BA140" s="23" t="e">
        <f t="shared" ca="1" si="1185"/>
        <v>#NAME?</v>
      </c>
      <c r="BB140" s="23" t="e">
        <f ca="1">+'QTR Raw'!V77</f>
        <v>#NAME?</v>
      </c>
      <c r="BC140" s="23" t="e">
        <f t="shared" ca="1" si="1185"/>
        <v>#NAME?</v>
      </c>
      <c r="BD140" s="23" t="e">
        <f ca="1">+'QTR Raw'!X77</f>
        <v>#NAME?</v>
      </c>
      <c r="BE140" s="23" t="e">
        <f t="shared" ca="1" si="1185"/>
        <v>#NAME?</v>
      </c>
      <c r="BF140" s="23" t="e">
        <f ca="1">+'QTR Raw'!Z77</f>
        <v>#NAME?</v>
      </c>
      <c r="BG140" s="23" t="e">
        <f t="shared" ca="1" si="1185"/>
        <v>#NAME?</v>
      </c>
      <c r="BH140" s="23" t="e">
        <f ca="1">+'QTR Raw'!AB77</f>
        <v>#NAME?</v>
      </c>
      <c r="BI140" s="23" t="e">
        <f t="shared" ca="1" si="1185"/>
        <v>#NAME?</v>
      </c>
      <c r="BJ140" s="23" t="e">
        <f ca="1">+'QTR Raw'!AD77</f>
        <v>#NAME?</v>
      </c>
      <c r="BK140" s="23" t="e">
        <f t="shared" ca="1" si="1185"/>
        <v>#NAME?</v>
      </c>
      <c r="BL140" s="23" t="e">
        <f ca="1">+'QTR Raw'!AF77</f>
        <v>#NAME?</v>
      </c>
      <c r="BM140" s="23" t="e">
        <f t="shared" ca="1" si="1185"/>
        <v>#NAME?</v>
      </c>
      <c r="BN140" s="23" t="e">
        <f ca="1">+'QTR Raw'!AH77</f>
        <v>#NAME?</v>
      </c>
      <c r="BO140" s="23" t="e">
        <f t="shared" ca="1" si="1185"/>
        <v>#NAME?</v>
      </c>
      <c r="BP140" s="23" t="e">
        <f ca="1">+'QTR Raw'!AJ77</f>
        <v>#NAME?</v>
      </c>
      <c r="BQ140" s="23" t="e">
        <f t="shared" ca="1" si="1185"/>
        <v>#NAME?</v>
      </c>
      <c r="BR140" s="23" t="e">
        <f ca="1">+'QTR Raw'!AL77</f>
        <v>#NAME?</v>
      </c>
      <c r="BS140" s="23" t="e">
        <f t="shared" ca="1" si="1185"/>
        <v>#NAME?</v>
      </c>
      <c r="BT140" s="23" t="e">
        <f ca="1">+'QTR Raw'!AN77</f>
        <v>#NAME?</v>
      </c>
      <c r="BU140" s="23" t="e">
        <f t="shared" ca="1" si="1185"/>
        <v>#NAME?</v>
      </c>
      <c r="BV140" s="23" t="e">
        <f ca="1">+'QTR Raw'!AP77</f>
        <v>#NAME?</v>
      </c>
      <c r="BW140" s="23" t="e">
        <f t="shared" ca="1" si="1185"/>
        <v>#NAME?</v>
      </c>
      <c r="BX140" s="23" t="e">
        <f ca="1">+'QTR Raw'!AR77</f>
        <v>#NAME?</v>
      </c>
      <c r="BY140" s="23" t="e">
        <f t="shared" ca="1" si="1185"/>
        <v>#NAME?</v>
      </c>
      <c r="BZ140" s="23" t="e">
        <f ca="1">+'QTR Raw'!AT77</f>
        <v>#NAME?</v>
      </c>
      <c r="CA140" s="23" t="e">
        <f t="shared" ca="1" si="1185"/>
        <v>#NAME?</v>
      </c>
      <c r="CB140" s="23" t="e">
        <f ca="1">+'QTR Raw'!AV77</f>
        <v>#NAME?</v>
      </c>
      <c r="CC140" s="23" t="e">
        <f t="shared" ca="1" si="1185"/>
        <v>#NAME?</v>
      </c>
      <c r="CD140" s="23" t="e">
        <f ca="1">+'QTR Raw'!AX77</f>
        <v>#NAME?</v>
      </c>
      <c r="CE140" s="23" t="e">
        <f t="shared" ca="1" si="1185"/>
        <v>#NAME?</v>
      </c>
      <c r="CF140" s="23" t="e">
        <f ca="1">+'QTR Raw'!AZ77</f>
        <v>#NAME?</v>
      </c>
      <c r="CG140" s="23" t="e">
        <f t="shared" ref="CG140:CI143" ca="1" si="1186">+CF140</f>
        <v>#NAME?</v>
      </c>
      <c r="CH140" s="23" t="e">
        <f t="shared" ref="CH140:CH155" ca="1" si="1187">Z140</f>
        <v>#NAME?</v>
      </c>
      <c r="CI140" s="23" t="e">
        <f t="shared" ca="1" si="1186"/>
        <v>#NAME?</v>
      </c>
      <c r="CJ140" s="23" t="e">
        <f ca="1">+'QTR Raw'!BD77</f>
        <v>#NAME?</v>
      </c>
      <c r="CK140" s="23" t="e">
        <f t="shared" ref="CK140" ca="1" si="1188">+CJ140</f>
        <v>#NAME?</v>
      </c>
      <c r="CL140" s="23" t="e">
        <f ca="1">+'QTR Raw'!BF77</f>
        <v>#NAME?</v>
      </c>
      <c r="CM140" s="24" t="e">
        <f t="shared" ref="CM140" ca="1" si="1189">+CL140</f>
        <v>#NAME?</v>
      </c>
      <c r="CN140" s="24" t="e">
        <f t="shared" ref="CN140" ca="1" si="1190">+CM140</f>
        <v>#NAME?</v>
      </c>
      <c r="CO140" s="24" t="e">
        <f t="shared" ref="CO140" ca="1" si="1191">+CN140</f>
        <v>#NAME?</v>
      </c>
      <c r="CP140" s="24" t="e">
        <f t="shared" ref="CP140" ca="1" si="1192">+CO140</f>
        <v>#NAME?</v>
      </c>
      <c r="CQ140" s="24" t="e">
        <f t="shared" ref="CQ140" ca="1" si="1193">+CP140</f>
        <v>#NAME?</v>
      </c>
      <c r="CR140" s="24" t="e">
        <f t="shared" ref="CR140" ca="1" si="1194">+CQ140</f>
        <v>#NAME?</v>
      </c>
      <c r="CS140" s="24" t="e">
        <f t="shared" ref="CS140" ca="1" si="1195">+CR140</f>
        <v>#NAME?</v>
      </c>
      <c r="CT140" s="24" t="e">
        <f t="shared" ref="CT140" ca="1" si="1196">+CS140</f>
        <v>#NAME?</v>
      </c>
      <c r="CU140" s="24" t="e">
        <f t="shared" ref="CU140" ca="1" si="1197">+CT140</f>
        <v>#NAME?</v>
      </c>
      <c r="CV140" s="24" t="e">
        <f t="shared" ref="CV140" ca="1" si="1198">+CU140</f>
        <v>#NAME?</v>
      </c>
      <c r="CW140" s="24" t="e">
        <f t="shared" ref="CW140" ca="1" si="1199">+CV140</f>
        <v>#NAME?</v>
      </c>
      <c r="CX140" s="24" t="e">
        <f t="shared" ref="CX140" ca="1" si="1200">+CW140</f>
        <v>#NAME?</v>
      </c>
      <c r="CY140" s="24" t="e">
        <f t="shared" ref="CY140" ca="1" si="1201">+CX140</f>
        <v>#NAME?</v>
      </c>
      <c r="CZ140" s="24" t="e">
        <f t="shared" ref="CZ140" ca="1" si="1202">+CY140</f>
        <v>#NAME?</v>
      </c>
      <c r="DA140" s="24" t="e">
        <f t="shared" ref="DA140" ca="1" si="1203">+CZ140</f>
        <v>#NAME?</v>
      </c>
      <c r="DB140" s="24" t="e">
        <f t="shared" ref="DB140" ca="1" si="1204">+DA140</f>
        <v>#NAME?</v>
      </c>
      <c r="DE140" s="123"/>
      <c r="DF140" s="23">
        <v>530.91999999999996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Raw'!C73</f>
        <v>#NAME?</v>
      </c>
      <c r="C142" s="23" t="e">
        <f ca="1">'Annual Raw'!D73</f>
        <v>#NAME?</v>
      </c>
      <c r="D142" s="23" t="e">
        <f ca="1">'Annual Raw'!E73</f>
        <v>#NAME?</v>
      </c>
      <c r="E142" s="23" t="e">
        <f ca="1">'Annual Raw'!F73+'Annual Raw'!F62</f>
        <v>#NAME?</v>
      </c>
      <c r="F142" s="23" t="e">
        <f ca="1">'Annual Raw'!G73+'Annual Raw'!G62</f>
        <v>#NAME?</v>
      </c>
      <c r="G142" s="23" t="e">
        <f ca="1">'Annual Raw'!H73+'Annual Raw'!H62</f>
        <v>#NAME?</v>
      </c>
      <c r="H142" s="23" t="e">
        <f ca="1">'Annual Raw'!I73+'Annual Raw'!I62</f>
        <v>#NAME?</v>
      </c>
      <c r="I142" s="23" t="e">
        <f ca="1">'Annual Raw'!J73+'Annual Raw'!J62</f>
        <v>#NAME?</v>
      </c>
      <c r="J142" s="23" t="e">
        <f ca="1">'Annual Raw'!K73+'Annual Raw'!K62</f>
        <v>#NAME?</v>
      </c>
      <c r="K142" s="23" t="e">
        <f ca="1">'Annual Raw'!L73+'Annual Raw'!L62</f>
        <v>#NAME?</v>
      </c>
      <c r="L142" s="23" t="e">
        <f ca="1">'Annual Raw'!M73+'Annual Raw'!M62</f>
        <v>#NAME?</v>
      </c>
      <c r="M142" s="23" t="e">
        <f ca="1">'Annual Raw'!N73+'Annual Raw'!N62</f>
        <v>#NAME?</v>
      </c>
      <c r="N142" s="23" t="e">
        <f ca="1">'Annual Raw'!O73+'Annual Raw'!O62</f>
        <v>#NAME?</v>
      </c>
      <c r="O142" s="23" t="e">
        <f ca="1">'Annual Raw'!P73+'Annual Raw'!P62</f>
        <v>#NAME?</v>
      </c>
      <c r="P142" s="23" t="e">
        <f ca="1">'Annual Raw'!Q73+'Annual Raw'!Q62</f>
        <v>#NAME?</v>
      </c>
      <c r="Q142" s="23" t="e">
        <f ca="1">'Annual Raw'!R73+'Annual Raw'!R62</f>
        <v>#NAME?</v>
      </c>
      <c r="R142" s="23" t="e">
        <f ca="1">'Annual Raw'!S73+'Annual Raw'!S62</f>
        <v>#NAME?</v>
      </c>
      <c r="S142" s="23" t="e">
        <f ca="1">'Annual Raw'!T73+'Annual Raw'!T62</f>
        <v>#NAME?</v>
      </c>
      <c r="T142" s="23" t="e">
        <f ca="1">'Annual Raw'!U73+'Annual Raw'!U62</f>
        <v>#NAME?</v>
      </c>
      <c r="U142" s="23" t="e">
        <f ca="1">'Annual Raw'!V73+'Annual Raw'!V62</f>
        <v>#NAME?</v>
      </c>
      <c r="V142" s="23" t="e">
        <f ca="1">'Annual Raw'!W73+'Annual Raw'!W62</f>
        <v>#NAME?</v>
      </c>
      <c r="W142" s="23" t="e">
        <f ca="1">'Annual Raw'!X73+'Annual Raw'!X62</f>
        <v>#NAME?</v>
      </c>
      <c r="X142" s="23" t="e">
        <f ca="1">'Annual Raw'!Y73+'Annual Raw'!Y62</f>
        <v>#NAME?</v>
      </c>
      <c r="Y142" s="23" t="e">
        <f ca="1">'Annual Raw'!Z73+'Annual Raw'!Z62</f>
        <v>#NAME?</v>
      </c>
      <c r="Z142" s="23" t="e">
        <f ca="1">'Annual Raw'!AA73+'Annual Raw'!AA62</f>
        <v>#NAME?</v>
      </c>
      <c r="AA142" s="23" t="e">
        <f ca="1">'Annual Raw'!AB73+'Annual Raw'!AB62</f>
        <v>#NAME?</v>
      </c>
      <c r="AB142" s="24">
        <f t="shared" ref="AB142:AB147" si="1205">+CP142</f>
        <v>0</v>
      </c>
      <c r="AC142" s="24">
        <f t="shared" ref="AC142:AC147" si="1206">+CT142</f>
        <v>0</v>
      </c>
      <c r="AD142" s="24">
        <f t="shared" ref="AD142:AD147" si="1207">+CX142</f>
        <v>0</v>
      </c>
      <c r="AE142" s="24">
        <f t="shared" ref="AE142:AE147" si="1208">+DB142</f>
        <v>0</v>
      </c>
      <c r="AJ142" s="23" t="e">
        <f ca="1">+'QTR Raw'!D78</f>
        <v>#NAME?</v>
      </c>
      <c r="AK142" s="23" t="e">
        <f t="shared" ref="AK142:CE147" ca="1" si="1209">+AJ142</f>
        <v>#NAME?</v>
      </c>
      <c r="AL142" s="23" t="e">
        <f ca="1">+'QTR Raw'!F78</f>
        <v>#NAME?</v>
      </c>
      <c r="AM142" s="23" t="e">
        <f t="shared" ca="1" si="1209"/>
        <v>#NAME?</v>
      </c>
      <c r="AN142" s="23" t="e">
        <f ca="1">+'QTR Raw'!H78</f>
        <v>#NAME?</v>
      </c>
      <c r="AO142" s="23" t="e">
        <f t="shared" ca="1" si="1209"/>
        <v>#NAME?</v>
      </c>
      <c r="AP142" s="23" t="e">
        <f ca="1">+'QTR Raw'!J78</f>
        <v>#NAME?</v>
      </c>
      <c r="AQ142" s="23" t="e">
        <f t="shared" ca="1" si="1209"/>
        <v>#NAME?</v>
      </c>
      <c r="AR142" s="23" t="e">
        <f ca="1">+'QTR Raw'!L78</f>
        <v>#NAME?</v>
      </c>
      <c r="AS142" s="23" t="e">
        <f t="shared" ca="1" si="1209"/>
        <v>#NAME?</v>
      </c>
      <c r="AT142" s="23" t="e">
        <f ca="1">+'QTR Raw'!N78</f>
        <v>#NAME?</v>
      </c>
      <c r="AU142" s="23" t="e">
        <f t="shared" ca="1" si="1209"/>
        <v>#NAME?</v>
      </c>
      <c r="AV142" s="23" t="e">
        <f ca="1">+'QTR Raw'!P78</f>
        <v>#NAME?</v>
      </c>
      <c r="AW142" s="23" t="e">
        <f t="shared" ca="1" si="1209"/>
        <v>#NAME?</v>
      </c>
      <c r="AX142" s="23" t="e">
        <f ca="1">+'QTR Raw'!R78</f>
        <v>#NAME?</v>
      </c>
      <c r="AY142" s="23" t="e">
        <f t="shared" ca="1" si="1209"/>
        <v>#NAME?</v>
      </c>
      <c r="AZ142" s="23" t="e">
        <f ca="1">+'QTR Raw'!T78</f>
        <v>#NAME?</v>
      </c>
      <c r="BA142" s="23" t="e">
        <f t="shared" ca="1" si="1209"/>
        <v>#NAME?</v>
      </c>
      <c r="BB142" s="23" t="e">
        <f ca="1">+'QTR Raw'!V78</f>
        <v>#NAME?</v>
      </c>
      <c r="BC142" s="23" t="e">
        <f t="shared" ca="1" si="1209"/>
        <v>#NAME?</v>
      </c>
      <c r="BD142" s="23" t="e">
        <f ca="1">+'QTR Raw'!X78</f>
        <v>#NAME?</v>
      </c>
      <c r="BE142" s="23" t="e">
        <f t="shared" ca="1" si="1209"/>
        <v>#NAME?</v>
      </c>
      <c r="BF142" s="23" t="e">
        <f ca="1">+'QTR Raw'!Z78</f>
        <v>#NAME?</v>
      </c>
      <c r="BG142" s="23" t="e">
        <f t="shared" ca="1" si="1209"/>
        <v>#NAME?</v>
      </c>
      <c r="BH142" s="23" t="e">
        <f ca="1">+'QTR Raw'!AB78</f>
        <v>#NAME?</v>
      </c>
      <c r="BI142" s="23" t="e">
        <f t="shared" ca="1" si="1209"/>
        <v>#NAME?</v>
      </c>
      <c r="BJ142" s="23" t="e">
        <f ca="1">+'QTR Raw'!AD78</f>
        <v>#NAME?</v>
      </c>
      <c r="BK142" s="23" t="e">
        <f t="shared" ca="1" si="1209"/>
        <v>#NAME?</v>
      </c>
      <c r="BL142" s="23" t="e">
        <f ca="1">+'QTR Raw'!AF78</f>
        <v>#NAME?</v>
      </c>
      <c r="BM142" s="23" t="e">
        <f t="shared" ca="1" si="1209"/>
        <v>#NAME?</v>
      </c>
      <c r="BN142" s="23" t="e">
        <f ca="1">+'QTR Raw'!AH78</f>
        <v>#NAME?</v>
      </c>
      <c r="BO142" s="23" t="e">
        <f t="shared" ca="1" si="1209"/>
        <v>#NAME?</v>
      </c>
      <c r="BP142" s="23" t="e">
        <f ca="1">+'QTR Raw'!AJ78</f>
        <v>#NAME?</v>
      </c>
      <c r="BQ142" s="23" t="e">
        <f t="shared" ca="1" si="1209"/>
        <v>#NAME?</v>
      </c>
      <c r="BR142" s="23" t="e">
        <f ca="1">+'QTR Raw'!AL78</f>
        <v>#NAME?</v>
      </c>
      <c r="BS142" s="23" t="e">
        <f t="shared" ca="1" si="1209"/>
        <v>#NAME?</v>
      </c>
      <c r="BT142" s="23" t="e">
        <f ca="1">+'QTR Raw'!AN78</f>
        <v>#NAME?</v>
      </c>
      <c r="BU142" s="23" t="e">
        <f t="shared" ca="1" si="1209"/>
        <v>#NAME?</v>
      </c>
      <c r="BV142" s="23" t="e">
        <f ca="1">+'QTR Raw'!AP78</f>
        <v>#NAME?</v>
      </c>
      <c r="BW142" s="23" t="e">
        <f t="shared" ca="1" si="1209"/>
        <v>#NAME?</v>
      </c>
      <c r="BX142" s="23" t="e">
        <f ca="1">+'QTR Raw'!AR78</f>
        <v>#NAME?</v>
      </c>
      <c r="BY142" s="23" t="e">
        <f t="shared" ca="1" si="1209"/>
        <v>#NAME?</v>
      </c>
      <c r="BZ142" s="23" t="e">
        <f ca="1">+'QTR Raw'!AT78</f>
        <v>#NAME?</v>
      </c>
      <c r="CA142" s="23" t="e">
        <f t="shared" ca="1" si="1209"/>
        <v>#NAME?</v>
      </c>
      <c r="CB142" s="23" t="e">
        <f ca="1">+'QTR Raw'!AV78</f>
        <v>#NAME?</v>
      </c>
      <c r="CC142" s="23" t="e">
        <f t="shared" ca="1" si="1209"/>
        <v>#NAME?</v>
      </c>
      <c r="CD142" s="23" t="e">
        <f ca="1">+'QTR Raw'!AX78</f>
        <v>#NAME?</v>
      </c>
      <c r="CE142" s="23" t="e">
        <f t="shared" ca="1" si="1209"/>
        <v>#NAME?</v>
      </c>
      <c r="CF142" s="23" t="e">
        <f ca="1">+'QTR Raw'!AZ78</f>
        <v>#NAME?</v>
      </c>
      <c r="CG142" s="23" t="e">
        <f t="shared" ca="1" si="1186"/>
        <v>#NAME?</v>
      </c>
      <c r="CH142" s="23" t="e">
        <f t="shared" ca="1" si="1187"/>
        <v>#NAME?</v>
      </c>
      <c r="CJ142" s="23" t="e">
        <f ca="1">+'QTR Raw'!BD78</f>
        <v>#NAME?</v>
      </c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9.07</v>
      </c>
    </row>
    <row r="143" spans="1:110" s="23" customFormat="1" outlineLevel="1" x14ac:dyDescent="0.2">
      <c r="A143" s="23" t="s">
        <v>60</v>
      </c>
      <c r="B143" s="23" t="e">
        <f ca="1">'Annual Raw'!C74+'Annual Raw'!C82</f>
        <v>#NAME?</v>
      </c>
      <c r="C143" s="23" t="e">
        <f ca="1">'Annual Raw'!D74+'Annual Raw'!D82</f>
        <v>#NAME?</v>
      </c>
      <c r="D143" s="23" t="e">
        <f ca="1">'Annual Raw'!E74+'Annual Raw'!E82</f>
        <v>#NAME?</v>
      </c>
      <c r="E143" s="23" t="e">
        <f ca="1">'Annual Raw'!F74+'Annual Raw'!F82</f>
        <v>#NAME?</v>
      </c>
      <c r="F143" s="23" t="e">
        <f ca="1">'Annual Raw'!G74+'Annual Raw'!G82</f>
        <v>#NAME?</v>
      </c>
      <c r="G143" s="23" t="e">
        <f ca="1">'Annual Raw'!H74+'Annual Raw'!H82</f>
        <v>#NAME?</v>
      </c>
      <c r="H143" s="23" t="e">
        <f ca="1">'Annual Raw'!I74+'Annual Raw'!I82</f>
        <v>#NAME?</v>
      </c>
      <c r="I143" s="23" t="e">
        <f ca="1">'Annual Raw'!J74+'Annual Raw'!J82</f>
        <v>#NAME?</v>
      </c>
      <c r="J143" s="23" t="e">
        <f ca="1">'Annual Raw'!K74+'Annual Raw'!K82</f>
        <v>#NAME?</v>
      </c>
      <c r="K143" s="23" t="e">
        <f ca="1">'Annual Raw'!L74+'Annual Raw'!L82</f>
        <v>#NAME?</v>
      </c>
      <c r="L143" s="23" t="e">
        <f ca="1">'Annual Raw'!M74+'Annual Raw'!M82</f>
        <v>#NAME?</v>
      </c>
      <c r="M143" s="23" t="e">
        <f ca="1">'Annual Raw'!N74+'Annual Raw'!N82</f>
        <v>#NAME?</v>
      </c>
      <c r="N143" s="23" t="e">
        <f ca="1">'Annual Raw'!O74+'Annual Raw'!O82</f>
        <v>#NAME?</v>
      </c>
      <c r="O143" s="23" t="e">
        <f ca="1">'Annual Raw'!P74+'Annual Raw'!P82</f>
        <v>#NAME?</v>
      </c>
      <c r="P143" s="23" t="e">
        <f ca="1">'Annual Raw'!Q74+'Annual Raw'!Q82</f>
        <v>#NAME?</v>
      </c>
      <c r="Q143" s="23" t="e">
        <f ca="1">'Annual Raw'!R74+'Annual Raw'!R82</f>
        <v>#NAME?</v>
      </c>
      <c r="R143" s="23" t="e">
        <f ca="1">'Annual Raw'!S74+'Annual Raw'!S82</f>
        <v>#NAME?</v>
      </c>
      <c r="S143" s="23" t="e">
        <f ca="1">'Annual Raw'!T74+'Annual Raw'!T82</f>
        <v>#NAME?</v>
      </c>
      <c r="T143" s="23" t="e">
        <f ca="1">'Annual Raw'!U74+'Annual Raw'!U82</f>
        <v>#NAME?</v>
      </c>
      <c r="U143" s="23" t="e">
        <f ca="1">'Annual Raw'!V74+'Annual Raw'!V82</f>
        <v>#NAME?</v>
      </c>
      <c r="V143" s="23" t="e">
        <f ca="1">'Annual Raw'!W74+'Annual Raw'!W82</f>
        <v>#NAME?</v>
      </c>
      <c r="W143" s="23" t="e">
        <f ca="1">'Annual Raw'!X74+'Annual Raw'!X82</f>
        <v>#NAME?</v>
      </c>
      <c r="X143" s="23" t="e">
        <f ca="1">'Annual Raw'!Y74+'Annual Raw'!Y82</f>
        <v>#NAME?</v>
      </c>
      <c r="Y143" s="23" t="e">
        <f ca="1">'Annual Raw'!Z74+'Annual Raw'!Z82</f>
        <v>#NAME?</v>
      </c>
      <c r="Z143" s="23" t="e">
        <f ca="1">'Annual Raw'!AA74+'Annual Raw'!AA82</f>
        <v>#NAME?</v>
      </c>
      <c r="AA143" s="23" t="e">
        <f ca="1">'Annual Raw'!AB74+'Annual Raw'!AB82</f>
        <v>#NAME?</v>
      </c>
      <c r="AB143" s="24">
        <f t="shared" si="1205"/>
        <v>0</v>
      </c>
      <c r="AC143" s="24">
        <f t="shared" si="1206"/>
        <v>0</v>
      </c>
      <c r="AD143" s="24">
        <f t="shared" si="1207"/>
        <v>0</v>
      </c>
      <c r="AE143" s="24">
        <f t="shared" si="1208"/>
        <v>0</v>
      </c>
      <c r="AJ143" s="23" t="e">
        <f ca="1">+'QTR Raw'!D79+'QTR Raw'!D76</f>
        <v>#NAME?</v>
      </c>
      <c r="AK143" s="23" t="e">
        <f t="shared" ca="1" si="1209"/>
        <v>#NAME?</v>
      </c>
      <c r="AL143" s="23" t="e">
        <f ca="1">+'QTR Raw'!F79+'QTR Raw'!F76</f>
        <v>#NAME?</v>
      </c>
      <c r="AM143" s="23" t="e">
        <f t="shared" ca="1" si="1209"/>
        <v>#NAME?</v>
      </c>
      <c r="AN143" s="23" t="e">
        <f ca="1">+'QTR Raw'!H79+'QTR Raw'!H76</f>
        <v>#NAME?</v>
      </c>
      <c r="AO143" s="23" t="e">
        <f t="shared" ca="1" si="1209"/>
        <v>#NAME?</v>
      </c>
      <c r="AP143" s="23" t="e">
        <f ca="1">+'QTR Raw'!J79+'QTR Raw'!J76</f>
        <v>#NAME?</v>
      </c>
      <c r="AQ143" s="23" t="e">
        <f t="shared" ca="1" si="1209"/>
        <v>#NAME?</v>
      </c>
      <c r="AR143" s="23" t="e">
        <f ca="1">+'QTR Raw'!L79+'QTR Raw'!L76</f>
        <v>#NAME?</v>
      </c>
      <c r="AS143" s="23" t="e">
        <f t="shared" ca="1" si="1209"/>
        <v>#NAME?</v>
      </c>
      <c r="AT143" s="23" t="e">
        <f ca="1">+'QTR Raw'!N79+'QTR Raw'!N76</f>
        <v>#NAME?</v>
      </c>
      <c r="AU143" s="23" t="e">
        <f t="shared" ca="1" si="1209"/>
        <v>#NAME?</v>
      </c>
      <c r="AV143" s="23" t="e">
        <f ca="1">+'QTR Raw'!P79+'QTR Raw'!P76</f>
        <v>#NAME?</v>
      </c>
      <c r="AW143" s="23" t="e">
        <f t="shared" ca="1" si="1209"/>
        <v>#NAME?</v>
      </c>
      <c r="AX143" s="23" t="e">
        <f ca="1">+'QTR Raw'!R79+'QTR Raw'!R76</f>
        <v>#NAME?</v>
      </c>
      <c r="AY143" s="23" t="e">
        <f t="shared" ca="1" si="1209"/>
        <v>#NAME?</v>
      </c>
      <c r="AZ143" s="23" t="e">
        <f ca="1">+'QTR Raw'!T79+'QTR Raw'!T76</f>
        <v>#NAME?</v>
      </c>
      <c r="BA143" s="23" t="e">
        <f t="shared" ca="1" si="1209"/>
        <v>#NAME?</v>
      </c>
      <c r="BB143" s="23" t="e">
        <f ca="1">+'QTR Raw'!V79+'QTR Raw'!V76</f>
        <v>#NAME?</v>
      </c>
      <c r="BC143" s="23" t="e">
        <f t="shared" ca="1" si="1209"/>
        <v>#NAME?</v>
      </c>
      <c r="BD143" s="23" t="e">
        <f ca="1">+'QTR Raw'!X79+'QTR Raw'!X76</f>
        <v>#NAME?</v>
      </c>
      <c r="BE143" s="23" t="e">
        <f t="shared" ca="1" si="1209"/>
        <v>#NAME?</v>
      </c>
      <c r="BF143" s="23" t="e">
        <f ca="1">+'QTR Raw'!Z79+'QTR Raw'!Z76</f>
        <v>#NAME?</v>
      </c>
      <c r="BG143" s="23" t="e">
        <f t="shared" ca="1" si="1209"/>
        <v>#NAME?</v>
      </c>
      <c r="BH143" s="23" t="e">
        <f ca="1">+'QTR Raw'!AB79+'QTR Raw'!AB76</f>
        <v>#NAME?</v>
      </c>
      <c r="BI143" s="23" t="e">
        <f t="shared" ca="1" si="1209"/>
        <v>#NAME?</v>
      </c>
      <c r="BJ143" s="23" t="e">
        <f ca="1">+'QTR Raw'!AD79+'QTR Raw'!AD76</f>
        <v>#NAME?</v>
      </c>
      <c r="BK143" s="23" t="e">
        <f t="shared" ca="1" si="1209"/>
        <v>#NAME?</v>
      </c>
      <c r="BL143" s="23" t="e">
        <f ca="1">+'QTR Raw'!AF79+'QTR Raw'!AF76</f>
        <v>#NAME?</v>
      </c>
      <c r="BM143" s="23" t="e">
        <f t="shared" ca="1" si="1209"/>
        <v>#NAME?</v>
      </c>
      <c r="BN143" s="23" t="e">
        <f ca="1">+'QTR Raw'!AH79+'QTR Raw'!AH76</f>
        <v>#NAME?</v>
      </c>
      <c r="BO143" s="23" t="e">
        <f t="shared" ca="1" si="1209"/>
        <v>#NAME?</v>
      </c>
      <c r="BP143" s="23" t="e">
        <f ca="1">+'QTR Raw'!AJ79+'QTR Raw'!AJ76</f>
        <v>#NAME?</v>
      </c>
      <c r="BQ143" s="23" t="e">
        <f t="shared" ca="1" si="1209"/>
        <v>#NAME?</v>
      </c>
      <c r="BR143" s="23" t="e">
        <f ca="1">+'QTR Raw'!AL79+'QTR Raw'!AL76</f>
        <v>#NAME?</v>
      </c>
      <c r="BS143" s="23" t="e">
        <f t="shared" ca="1" si="1209"/>
        <v>#NAME?</v>
      </c>
      <c r="BT143" s="23" t="e">
        <f ca="1">+'QTR Raw'!AN79+'QTR Raw'!AN76</f>
        <v>#NAME?</v>
      </c>
      <c r="BU143" s="23" t="e">
        <f t="shared" ca="1" si="1209"/>
        <v>#NAME?</v>
      </c>
      <c r="BV143" s="23" t="e">
        <f ca="1">+'QTR Raw'!AP79+'QTR Raw'!AP76</f>
        <v>#NAME?</v>
      </c>
      <c r="BW143" s="23" t="e">
        <f t="shared" ca="1" si="1209"/>
        <v>#NAME?</v>
      </c>
      <c r="BX143" s="23" t="e">
        <f ca="1">+'QTR Raw'!AR79+'QTR Raw'!AR76</f>
        <v>#NAME?</v>
      </c>
      <c r="BY143" s="23" t="e">
        <f t="shared" ca="1" si="1209"/>
        <v>#NAME?</v>
      </c>
      <c r="BZ143" s="23" t="e">
        <f ca="1">+'QTR Raw'!AT79+'QTR Raw'!AT76</f>
        <v>#NAME?</v>
      </c>
      <c r="CA143" s="23" t="e">
        <f t="shared" ca="1" si="1209"/>
        <v>#NAME?</v>
      </c>
      <c r="CB143" s="23" t="e">
        <f ca="1">+'QTR Raw'!AV79+'QTR Raw'!AV76</f>
        <v>#NAME?</v>
      </c>
      <c r="CC143" s="23" t="e">
        <f t="shared" ca="1" si="1209"/>
        <v>#NAME?</v>
      </c>
      <c r="CD143" s="23" t="e">
        <f ca="1">+'QTR Raw'!AX79+'QTR Raw'!AX76</f>
        <v>#NAME?</v>
      </c>
      <c r="CE143" s="23" t="e">
        <f t="shared" ca="1" si="1209"/>
        <v>#NAME?</v>
      </c>
      <c r="CF143" s="23" t="e">
        <f ca="1">+'QTR Raw'!AZ79+'QTR Raw'!AZ76</f>
        <v>#NAME?</v>
      </c>
      <c r="CG143" s="23" t="e">
        <f t="shared" ca="1" si="1186"/>
        <v>#NAME?</v>
      </c>
      <c r="CH143" s="23" t="e">
        <f t="shared" ca="1" si="1187"/>
        <v>#NAME?</v>
      </c>
      <c r="CJ143" s="23" t="e">
        <f ca="1">+'QTR Raw'!BD79+'QTR Raw'!BD76</f>
        <v>#NAME?</v>
      </c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1797.52</v>
      </c>
    </row>
    <row r="144" spans="1:110" s="23" customFormat="1" outlineLevel="1" x14ac:dyDescent="0.2">
      <c r="A144" s="23" t="s">
        <v>61</v>
      </c>
      <c r="B144" s="23" t="e">
        <f ca="1">'Annual Raw'!C77</f>
        <v>#NAME?</v>
      </c>
      <c r="C144" s="23" t="e">
        <f ca="1">'Annual Raw'!D77</f>
        <v>#NAME?</v>
      </c>
      <c r="D144" s="23" t="e">
        <f ca="1">'Annual Raw'!E77</f>
        <v>#NAME?</v>
      </c>
      <c r="E144" s="23" t="e">
        <f ca="1">'Annual Raw'!F77</f>
        <v>#NAME?</v>
      </c>
      <c r="F144" s="23" t="e">
        <f ca="1">'Annual Raw'!G77</f>
        <v>#NAME?</v>
      </c>
      <c r="G144" s="23" t="e">
        <f ca="1">'Annual Raw'!H77</f>
        <v>#NAME?</v>
      </c>
      <c r="H144" s="23" t="e">
        <f ca="1">'Annual Raw'!I77</f>
        <v>#NAME?</v>
      </c>
      <c r="I144" s="23" t="e">
        <f ca="1">'Annual Raw'!J77</f>
        <v>#NAME?</v>
      </c>
      <c r="J144" s="23" t="e">
        <f ca="1">'Annual Raw'!K77</f>
        <v>#NAME?</v>
      </c>
      <c r="K144" s="23" t="e">
        <f ca="1">'Annual Raw'!L77</f>
        <v>#NAME?</v>
      </c>
      <c r="L144" s="23" t="e">
        <f ca="1">'Annual Raw'!M77</f>
        <v>#NAME?</v>
      </c>
      <c r="M144" s="23" t="e">
        <f ca="1">'Annual Raw'!N77</f>
        <v>#NAME?</v>
      </c>
      <c r="N144" s="23" t="e">
        <f ca="1">'Annual Raw'!O77</f>
        <v>#NAME?</v>
      </c>
      <c r="O144" s="23" t="e">
        <f ca="1">'Annual Raw'!P77</f>
        <v>#NAME?</v>
      </c>
      <c r="P144" s="23" t="e">
        <f ca="1">'Annual Raw'!Q77</f>
        <v>#NAME?</v>
      </c>
      <c r="Q144" s="23" t="e">
        <f ca="1">'Annual Raw'!R77</f>
        <v>#NAME?</v>
      </c>
      <c r="R144" s="23" t="e">
        <f ca="1">'Annual Raw'!S77</f>
        <v>#NAME?</v>
      </c>
      <c r="S144" s="23" t="e">
        <f ca="1">'Annual Raw'!T77</f>
        <v>#NAME?</v>
      </c>
      <c r="T144" s="23" t="e">
        <f ca="1">'Annual Raw'!U77</f>
        <v>#NAME?</v>
      </c>
      <c r="U144" s="23" t="e">
        <f ca="1">'Annual Raw'!V77</f>
        <v>#NAME?</v>
      </c>
      <c r="V144" s="23" t="e">
        <f ca="1">'Annual Raw'!W77</f>
        <v>#NAME?</v>
      </c>
      <c r="W144" s="23" t="e">
        <f ca="1">'Annual Raw'!X77</f>
        <v>#NAME?</v>
      </c>
      <c r="X144" s="23" t="e">
        <f ca="1">'Annual Raw'!Y77</f>
        <v>#NAME?</v>
      </c>
      <c r="Y144" s="23" t="e">
        <f ca="1">'Annual Raw'!Z77</f>
        <v>#NAME?</v>
      </c>
      <c r="Z144" s="23" t="e">
        <f ca="1">'Annual Raw'!AA77</f>
        <v>#NAME?</v>
      </c>
      <c r="AA144" s="23" t="e">
        <f ca="1">'Annual Raw'!AB77</f>
        <v>#NAME?</v>
      </c>
      <c r="AB144" s="24" t="e">
        <f t="shared" ca="1" si="1205"/>
        <v>#NAME?</v>
      </c>
      <c r="AC144" s="24" t="e">
        <f t="shared" ca="1" si="1206"/>
        <v>#NAME?</v>
      </c>
      <c r="AD144" s="24" t="e">
        <f t="shared" ca="1" si="1207"/>
        <v>#NAME?</v>
      </c>
      <c r="AE144" s="24" t="e">
        <f t="shared" ca="1" si="1208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87"/>
        <v>#NAME?</v>
      </c>
      <c r="CI144" s="23" t="e">
        <f ca="1">+CI179*CI10/90</f>
        <v>#NAME?</v>
      </c>
      <c r="CJ144" s="23" t="e">
        <f ca="1">+'QTR Raw'!BD81</f>
        <v>#NAME?</v>
      </c>
      <c r="CK144" s="23" t="e">
        <f t="shared" ref="CK144:DB144" ca="1" si="1210">+CK179*CK10/90</f>
        <v>#NAME?</v>
      </c>
      <c r="CL144" s="23" t="e">
        <f ca="1">+'QTR Raw'!BF81</f>
        <v>#NAME?</v>
      </c>
      <c r="CM144" s="24" t="e">
        <f t="shared" ca="1" si="1210"/>
        <v>#NAME?</v>
      </c>
      <c r="CN144" s="24" t="e">
        <f t="shared" ca="1" si="1210"/>
        <v>#NAME?</v>
      </c>
      <c r="CO144" s="24" t="e">
        <f t="shared" ca="1" si="1210"/>
        <v>#NAME?</v>
      </c>
      <c r="CP144" s="24" t="e">
        <f t="shared" ca="1" si="1210"/>
        <v>#NAME?</v>
      </c>
      <c r="CQ144" s="24" t="e">
        <f t="shared" ca="1" si="1210"/>
        <v>#NAME?</v>
      </c>
      <c r="CR144" s="24" t="e">
        <f t="shared" ca="1" si="1210"/>
        <v>#NAME?</v>
      </c>
      <c r="CS144" s="24" t="e">
        <f t="shared" ca="1" si="1210"/>
        <v>#NAME?</v>
      </c>
      <c r="CT144" s="24" t="e">
        <f t="shared" ca="1" si="1210"/>
        <v>#NAME?</v>
      </c>
      <c r="CU144" s="24" t="e">
        <f t="shared" ca="1" si="1210"/>
        <v>#NAME?</v>
      </c>
      <c r="CV144" s="24" t="e">
        <f t="shared" ca="1" si="1210"/>
        <v>#NAME?</v>
      </c>
      <c r="CW144" s="24" t="e">
        <f t="shared" ca="1" si="1210"/>
        <v>#NAME?</v>
      </c>
      <c r="CX144" s="24" t="e">
        <f t="shared" ca="1" si="1210"/>
        <v>#NAME?</v>
      </c>
      <c r="CY144" s="24" t="e">
        <f t="shared" ca="1" si="1210"/>
        <v>#NAME?</v>
      </c>
      <c r="CZ144" s="24" t="e">
        <f t="shared" ca="1" si="1210"/>
        <v>#NAME?</v>
      </c>
      <c r="DA144" s="24" t="e">
        <f t="shared" ca="1" si="1210"/>
        <v>#NAME?</v>
      </c>
      <c r="DB144" s="24" t="e">
        <f t="shared" ca="1" si="1210"/>
        <v>#NAME?</v>
      </c>
      <c r="DE144" s="123"/>
      <c r="DF144" s="23">
        <v>2569.2199999999998</v>
      </c>
    </row>
    <row r="145" spans="1:110" s="23" customFormat="1" outlineLevel="1" x14ac:dyDescent="0.2">
      <c r="A145" s="23" t="s">
        <v>62</v>
      </c>
      <c r="B145" s="23" t="e">
        <f ca="1">'Annual Raw'!C78</f>
        <v>#NAME?</v>
      </c>
      <c r="C145" s="23" t="e">
        <f ca="1">'Annual Raw'!D78</f>
        <v>#NAME?</v>
      </c>
      <c r="D145" s="23" t="e">
        <f ca="1">'Annual Raw'!E78</f>
        <v>#NAME?</v>
      </c>
      <c r="E145" s="23" t="e">
        <f ca="1">'Annual Raw'!F78</f>
        <v>#NAME?</v>
      </c>
      <c r="F145" s="23" t="e">
        <f ca="1">'Annual Raw'!G78</f>
        <v>#NAME?</v>
      </c>
      <c r="G145" s="23" t="e">
        <f ca="1">'Annual Raw'!H78</f>
        <v>#NAME?</v>
      </c>
      <c r="H145" s="23" t="e">
        <f ca="1">'Annual Raw'!I78</f>
        <v>#NAME?</v>
      </c>
      <c r="I145" s="23" t="e">
        <f ca="1">'Annual Raw'!J78</f>
        <v>#NAME?</v>
      </c>
      <c r="J145" s="23" t="e">
        <f ca="1">'Annual Raw'!K78</f>
        <v>#NAME?</v>
      </c>
      <c r="K145" s="23" t="e">
        <f ca="1">'Annual Raw'!L78</f>
        <v>#NAME?</v>
      </c>
      <c r="L145" s="23" t="e">
        <f ca="1">'Annual Raw'!M78</f>
        <v>#NAME?</v>
      </c>
      <c r="M145" s="23" t="e">
        <f ca="1">'Annual Raw'!N78</f>
        <v>#NAME?</v>
      </c>
      <c r="N145" s="23" t="e">
        <f ca="1">'Annual Raw'!O78</f>
        <v>#NAME?</v>
      </c>
      <c r="O145" s="23" t="e">
        <f ca="1">'Annual Raw'!P78</f>
        <v>#NAME?</v>
      </c>
      <c r="P145" s="23" t="e">
        <f ca="1">'Annual Raw'!Q78</f>
        <v>#NAME?</v>
      </c>
      <c r="Q145" s="23" t="e">
        <f ca="1">'Annual Raw'!R78</f>
        <v>#NAME?</v>
      </c>
      <c r="R145" s="23" t="e">
        <f ca="1">'Annual Raw'!S78</f>
        <v>#NAME?</v>
      </c>
      <c r="S145" s="23" t="e">
        <f ca="1">'Annual Raw'!T78</f>
        <v>#NAME?</v>
      </c>
      <c r="T145" s="23" t="e">
        <f ca="1">'Annual Raw'!U78</f>
        <v>#NAME?</v>
      </c>
      <c r="U145" s="23" t="e">
        <f ca="1">'Annual Raw'!V78</f>
        <v>#NAME?</v>
      </c>
      <c r="V145" s="23" t="e">
        <f ca="1">'Annual Raw'!W78</f>
        <v>#NAME?</v>
      </c>
      <c r="W145" s="23" t="e">
        <f ca="1">'Annual Raw'!X78</f>
        <v>#NAME?</v>
      </c>
      <c r="X145" s="23" t="e">
        <f ca="1">'Annual Raw'!Y78</f>
        <v>#NAME?</v>
      </c>
      <c r="Y145" s="23" t="e">
        <f ca="1">'Annual Raw'!Z78</f>
        <v>#NAME?</v>
      </c>
      <c r="Z145" s="23" t="e">
        <f ca="1">'Annual Raw'!AA78</f>
        <v>#NAME?</v>
      </c>
      <c r="AA145" s="23" t="e">
        <f ca="1">'Annual Raw'!AB78</f>
        <v>#NAME?</v>
      </c>
      <c r="AB145" s="24" t="e">
        <f t="shared" ca="1" si="1205"/>
        <v>#NAME?</v>
      </c>
      <c r="AC145" s="24" t="e">
        <f t="shared" ca="1" si="1206"/>
        <v>#NAME?</v>
      </c>
      <c r="AD145" s="24" t="e">
        <f t="shared" ca="1" si="1207"/>
        <v>#NAME?</v>
      </c>
      <c r="AE145" s="24" t="e">
        <f t="shared" ca="1" si="1208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87"/>
        <v>#NAME?</v>
      </c>
      <c r="CI145" s="23" t="e">
        <f ca="1">+CI180*CI10/90</f>
        <v>#NAME?</v>
      </c>
      <c r="CJ145" s="23" t="e">
        <f ca="1">+'QTR Raw'!BD82</f>
        <v>#NAME?</v>
      </c>
      <c r="CK145" s="23" t="e">
        <f t="shared" ref="CK145:DB145" ca="1" si="1211">+CK180*CK10/90</f>
        <v>#NAME?</v>
      </c>
      <c r="CL145" s="23" t="e">
        <f ca="1">+'QTR Raw'!BF82</f>
        <v>#NAME?</v>
      </c>
      <c r="CM145" s="24" t="e">
        <f t="shared" ca="1" si="1211"/>
        <v>#NAME?</v>
      </c>
      <c r="CN145" s="24" t="e">
        <f t="shared" ca="1" si="1211"/>
        <v>#NAME?</v>
      </c>
      <c r="CO145" s="24" t="e">
        <f t="shared" ca="1" si="1211"/>
        <v>#NAME?</v>
      </c>
      <c r="CP145" s="24" t="e">
        <f t="shared" ca="1" si="1211"/>
        <v>#NAME?</v>
      </c>
      <c r="CQ145" s="24" t="e">
        <f t="shared" ca="1" si="1211"/>
        <v>#NAME?</v>
      </c>
      <c r="CR145" s="24" t="e">
        <f t="shared" ca="1" si="1211"/>
        <v>#NAME?</v>
      </c>
      <c r="CS145" s="24" t="e">
        <f t="shared" ca="1" si="1211"/>
        <v>#NAME?</v>
      </c>
      <c r="CT145" s="24" t="e">
        <f t="shared" ca="1" si="1211"/>
        <v>#NAME?</v>
      </c>
      <c r="CU145" s="24" t="e">
        <f t="shared" ca="1" si="1211"/>
        <v>#NAME?</v>
      </c>
      <c r="CV145" s="24" t="e">
        <f t="shared" ca="1" si="1211"/>
        <v>#NAME?</v>
      </c>
      <c r="CW145" s="24" t="e">
        <f t="shared" ca="1" si="1211"/>
        <v>#NAME?</v>
      </c>
      <c r="CX145" s="24" t="e">
        <f t="shared" ca="1" si="1211"/>
        <v>#NAME?</v>
      </c>
      <c r="CY145" s="24" t="e">
        <f t="shared" ca="1" si="1211"/>
        <v>#NAME?</v>
      </c>
      <c r="CZ145" s="24" t="e">
        <f t="shared" ca="1" si="1211"/>
        <v>#NAME?</v>
      </c>
      <c r="DA145" s="24" t="e">
        <f t="shared" ca="1" si="1211"/>
        <v>#NAME?</v>
      </c>
      <c r="DB145" s="24" t="e">
        <f t="shared" ca="1" si="1211"/>
        <v>#NAME?</v>
      </c>
      <c r="DE145" s="123"/>
      <c r="DF145" s="23">
        <v>329.47</v>
      </c>
    </row>
    <row r="146" spans="1:110" s="23" customFormat="1" outlineLevel="1" x14ac:dyDescent="0.2">
      <c r="A146" s="23" t="s">
        <v>63</v>
      </c>
      <c r="B146" s="23" t="e">
        <f ca="1">'Annual Raw'!C80</f>
        <v>#NAME?</v>
      </c>
      <c r="C146" s="23" t="e">
        <f ca="1">'Annual Raw'!D80</f>
        <v>#NAME?</v>
      </c>
      <c r="D146" s="23" t="e">
        <f ca="1">'Annual Raw'!E80</f>
        <v>#NAME?</v>
      </c>
      <c r="E146" s="23" t="e">
        <f ca="1">'Annual Raw'!F80</f>
        <v>#NAME?</v>
      </c>
      <c r="F146" s="23" t="e">
        <f ca="1">'Annual Raw'!G80</f>
        <v>#NAME?</v>
      </c>
      <c r="G146" s="23" t="e">
        <f ca="1">'Annual Raw'!H80</f>
        <v>#NAME?</v>
      </c>
      <c r="H146" s="23" t="e">
        <f ca="1">'Annual Raw'!I80</f>
        <v>#NAME?</v>
      </c>
      <c r="I146" s="23" t="e">
        <f ca="1">'Annual Raw'!J80</f>
        <v>#NAME?</v>
      </c>
      <c r="J146" s="23" t="e">
        <f ca="1">'Annual Raw'!K80</f>
        <v>#NAME?</v>
      </c>
      <c r="K146" s="23" t="e">
        <f ca="1">'Annual Raw'!L80</f>
        <v>#NAME?</v>
      </c>
      <c r="L146" s="23" t="e">
        <f ca="1">'Annual Raw'!M80</f>
        <v>#NAME?</v>
      </c>
      <c r="M146" s="23" t="e">
        <f ca="1">'Annual Raw'!N80</f>
        <v>#NAME?</v>
      </c>
      <c r="N146" s="23" t="e">
        <f ca="1">'Annual Raw'!O80</f>
        <v>#NAME?</v>
      </c>
      <c r="O146" s="23" t="e">
        <f ca="1">'Annual Raw'!P80</f>
        <v>#NAME?</v>
      </c>
      <c r="P146" s="23" t="e">
        <f ca="1">'Annual Raw'!Q80</f>
        <v>#NAME?</v>
      </c>
      <c r="Q146" s="23" t="e">
        <f ca="1">'Annual Raw'!R80</f>
        <v>#NAME?</v>
      </c>
      <c r="R146" s="23" t="e">
        <f ca="1">'Annual Raw'!S80</f>
        <v>#NAME?</v>
      </c>
      <c r="S146" s="23" t="e">
        <f ca="1">'Annual Raw'!T80</f>
        <v>#NAME?</v>
      </c>
      <c r="T146" s="23" t="e">
        <f ca="1">'Annual Raw'!U80</f>
        <v>#NAME?</v>
      </c>
      <c r="U146" s="23" t="e">
        <f ca="1">'Annual Raw'!V80</f>
        <v>#NAME?</v>
      </c>
      <c r="V146" s="23" t="e">
        <f ca="1">'Annual Raw'!W80</f>
        <v>#NAME?</v>
      </c>
      <c r="W146" s="23" t="e">
        <f ca="1">'Annual Raw'!X80</f>
        <v>#NAME?</v>
      </c>
      <c r="X146" s="23" t="e">
        <f ca="1">'Annual Raw'!Y80</f>
        <v>#NAME?</v>
      </c>
      <c r="Y146" s="23" t="e">
        <f ca="1">'Annual Raw'!Z80</f>
        <v>#NAME?</v>
      </c>
      <c r="Z146" s="23" t="e">
        <f ca="1">'Annual Raw'!AA80</f>
        <v>#NAME?</v>
      </c>
      <c r="AA146" s="23" t="e">
        <f ca="1">'Annual Raw'!AB80</f>
        <v>#NAME?</v>
      </c>
      <c r="AB146" s="24" t="e">
        <f t="shared" ca="1" si="1205"/>
        <v>#NAME?</v>
      </c>
      <c r="AC146" s="24" t="e">
        <f t="shared" ca="1" si="1206"/>
        <v>#NAME?</v>
      </c>
      <c r="AD146" s="24" t="e">
        <f t="shared" ca="1" si="1207"/>
        <v>#NAME?</v>
      </c>
      <c r="AE146" s="24" t="e">
        <f t="shared" ca="1" si="1208"/>
        <v>#NAME?</v>
      </c>
      <c r="AJ146" s="23" t="e">
        <f ca="1">+'QTR Raw'!D84</f>
        <v>#NAME?</v>
      </c>
      <c r="AK146" s="23" t="e">
        <f t="shared" ca="1" si="1209"/>
        <v>#NAME?</v>
      </c>
      <c r="AL146" s="23" t="e">
        <f ca="1">+'QTR Raw'!F84</f>
        <v>#NAME?</v>
      </c>
      <c r="AM146" s="23" t="e">
        <f t="shared" ca="1" si="1209"/>
        <v>#NAME?</v>
      </c>
      <c r="AN146" s="23" t="e">
        <f ca="1">+'QTR Raw'!H84</f>
        <v>#NAME?</v>
      </c>
      <c r="AO146" s="23" t="e">
        <f t="shared" ca="1" si="1209"/>
        <v>#NAME?</v>
      </c>
      <c r="AP146" s="23" t="e">
        <f ca="1">+'QTR Raw'!J84</f>
        <v>#NAME?</v>
      </c>
      <c r="AQ146" s="23" t="e">
        <f t="shared" ca="1" si="1209"/>
        <v>#NAME?</v>
      </c>
      <c r="AR146" s="23" t="e">
        <f ca="1">+'QTR Raw'!L84</f>
        <v>#NAME?</v>
      </c>
      <c r="AS146" s="23" t="e">
        <f t="shared" ca="1" si="1209"/>
        <v>#NAME?</v>
      </c>
      <c r="AT146" s="23" t="e">
        <f ca="1">+'QTR Raw'!N84</f>
        <v>#NAME?</v>
      </c>
      <c r="AU146" s="23" t="e">
        <f t="shared" ca="1" si="1209"/>
        <v>#NAME?</v>
      </c>
      <c r="AV146" s="23" t="e">
        <f ca="1">+'QTR Raw'!P84</f>
        <v>#NAME?</v>
      </c>
      <c r="AW146" s="23" t="e">
        <f t="shared" ca="1" si="1209"/>
        <v>#NAME?</v>
      </c>
      <c r="AX146" s="23" t="e">
        <f ca="1">+'QTR Raw'!R84</f>
        <v>#NAME?</v>
      </c>
      <c r="AY146" s="23" t="e">
        <f t="shared" ca="1" si="1209"/>
        <v>#NAME?</v>
      </c>
      <c r="AZ146" s="23" t="e">
        <f ca="1">+'QTR Raw'!T84</f>
        <v>#NAME?</v>
      </c>
      <c r="BA146" s="23" t="e">
        <f t="shared" ca="1" si="1209"/>
        <v>#NAME?</v>
      </c>
      <c r="BB146" s="23" t="e">
        <f ca="1">+'QTR Raw'!V84</f>
        <v>#NAME?</v>
      </c>
      <c r="BC146" s="23" t="e">
        <f t="shared" ca="1" si="1209"/>
        <v>#NAME?</v>
      </c>
      <c r="BD146" s="23" t="e">
        <f ca="1">+'QTR Raw'!X84</f>
        <v>#NAME?</v>
      </c>
      <c r="BE146" s="23" t="e">
        <f t="shared" ca="1" si="1209"/>
        <v>#NAME?</v>
      </c>
      <c r="BF146" s="23" t="e">
        <f ca="1">+'QTR Raw'!Z84</f>
        <v>#NAME?</v>
      </c>
      <c r="BG146" s="23" t="e">
        <f t="shared" ca="1" si="1209"/>
        <v>#NAME?</v>
      </c>
      <c r="BH146" s="23" t="e">
        <f ca="1">+'QTR Raw'!AB84</f>
        <v>#NAME?</v>
      </c>
      <c r="BI146" s="23" t="e">
        <f t="shared" ca="1" si="1209"/>
        <v>#NAME?</v>
      </c>
      <c r="BJ146" s="23" t="e">
        <f ca="1">+'QTR Raw'!AD84</f>
        <v>#NAME?</v>
      </c>
      <c r="BK146" s="23" t="e">
        <f t="shared" ca="1" si="1209"/>
        <v>#NAME?</v>
      </c>
      <c r="BL146" s="23" t="e">
        <f ca="1">+'QTR Raw'!AF84</f>
        <v>#NAME?</v>
      </c>
      <c r="BM146" s="23" t="e">
        <f t="shared" ca="1" si="1209"/>
        <v>#NAME?</v>
      </c>
      <c r="BN146" s="23" t="e">
        <f ca="1">+'QTR Raw'!AH84</f>
        <v>#NAME?</v>
      </c>
      <c r="BO146" s="23" t="e">
        <f t="shared" ca="1" si="1209"/>
        <v>#NAME?</v>
      </c>
      <c r="BP146" s="23" t="e">
        <f ca="1">+'QTR Raw'!AJ84</f>
        <v>#NAME?</v>
      </c>
      <c r="BQ146" s="23" t="e">
        <f t="shared" ca="1" si="1209"/>
        <v>#NAME?</v>
      </c>
      <c r="BR146" s="23" t="e">
        <f ca="1">+'QTR Raw'!AL84</f>
        <v>#NAME?</v>
      </c>
      <c r="BS146" s="23" t="e">
        <f t="shared" ca="1" si="1209"/>
        <v>#NAME?</v>
      </c>
      <c r="BT146" s="23" t="e">
        <f ca="1">+'QTR Raw'!AN84</f>
        <v>#NAME?</v>
      </c>
      <c r="BU146" s="23" t="e">
        <f t="shared" ca="1" si="1209"/>
        <v>#NAME?</v>
      </c>
      <c r="BV146" s="23" t="e">
        <f ca="1">+'QTR Raw'!AP84</f>
        <v>#NAME?</v>
      </c>
      <c r="BW146" s="23" t="e">
        <f t="shared" ca="1" si="1209"/>
        <v>#NAME?</v>
      </c>
      <c r="BX146" s="23" t="e">
        <f ca="1">+'QTR Raw'!AR84</f>
        <v>#NAME?</v>
      </c>
      <c r="BY146" s="23" t="e">
        <f t="shared" ca="1" si="1209"/>
        <v>#NAME?</v>
      </c>
      <c r="BZ146" s="23" t="e">
        <f ca="1">+'QTR Raw'!AT84</f>
        <v>#NAME?</v>
      </c>
      <c r="CA146" s="23" t="e">
        <f t="shared" ca="1" si="1209"/>
        <v>#NAME?</v>
      </c>
      <c r="CB146" s="23" t="e">
        <f ca="1">+'QTR Raw'!AV84</f>
        <v>#NAME?</v>
      </c>
      <c r="CC146" s="23" t="e">
        <f t="shared" ca="1" si="1209"/>
        <v>#NAME?</v>
      </c>
      <c r="CD146" s="23" t="e">
        <f ca="1">+'QTR Raw'!AX84</f>
        <v>#NAME?</v>
      </c>
      <c r="CE146" s="23" t="e">
        <f t="shared" ca="1" si="1209"/>
        <v>#NAME?</v>
      </c>
      <c r="CF146" s="23" t="e">
        <f ca="1">+'QTR Raw'!AZ84</f>
        <v>#NAME?</v>
      </c>
      <c r="CG146" s="23" t="e">
        <f t="shared" ref="CG146:CG147" ca="1" si="1212">+CF146</f>
        <v>#NAME?</v>
      </c>
      <c r="CH146" s="23" t="e">
        <f t="shared" ca="1" si="1187"/>
        <v>#NAME?</v>
      </c>
      <c r="CI146" s="23" t="e">
        <f ca="1">CI10/90*CI181</f>
        <v>#NAME?</v>
      </c>
      <c r="CJ146" s="23" t="e">
        <f ca="1">+'QTR Raw'!BD84</f>
        <v>#NAME?</v>
      </c>
      <c r="CK146" s="23" t="e">
        <f t="shared" ref="CK146:DB146" ca="1" si="1213">CK10/90*CK181</f>
        <v>#NAME?</v>
      </c>
      <c r="CL146" s="23" t="e">
        <f ca="1">+'QTR Raw'!BF84</f>
        <v>#NAME?</v>
      </c>
      <c r="CM146" s="24" t="e">
        <f t="shared" ca="1" si="1213"/>
        <v>#NAME?</v>
      </c>
      <c r="CN146" s="24" t="e">
        <f t="shared" ca="1" si="1213"/>
        <v>#NAME?</v>
      </c>
      <c r="CO146" s="24" t="e">
        <f t="shared" ca="1" si="1213"/>
        <v>#NAME?</v>
      </c>
      <c r="CP146" s="24" t="e">
        <f t="shared" ca="1" si="1213"/>
        <v>#NAME?</v>
      </c>
      <c r="CQ146" s="24" t="e">
        <f t="shared" ca="1" si="1213"/>
        <v>#NAME?</v>
      </c>
      <c r="CR146" s="24" t="e">
        <f t="shared" ca="1" si="1213"/>
        <v>#NAME?</v>
      </c>
      <c r="CS146" s="24" t="e">
        <f t="shared" ca="1" si="1213"/>
        <v>#NAME?</v>
      </c>
      <c r="CT146" s="24" t="e">
        <f t="shared" ca="1" si="1213"/>
        <v>#NAME?</v>
      </c>
      <c r="CU146" s="24" t="e">
        <f t="shared" ca="1" si="1213"/>
        <v>#NAME?</v>
      </c>
      <c r="CV146" s="24" t="e">
        <f t="shared" ca="1" si="1213"/>
        <v>#NAME?</v>
      </c>
      <c r="CW146" s="24" t="e">
        <f t="shared" ca="1" si="1213"/>
        <v>#NAME?</v>
      </c>
      <c r="CX146" s="24" t="e">
        <f t="shared" ca="1" si="1213"/>
        <v>#NAME?</v>
      </c>
      <c r="CY146" s="24" t="e">
        <f t="shared" ca="1" si="1213"/>
        <v>#NAME?</v>
      </c>
      <c r="CZ146" s="24" t="e">
        <f t="shared" ca="1" si="1213"/>
        <v>#NAME?</v>
      </c>
      <c r="DA146" s="24" t="e">
        <f t="shared" ca="1" si="1213"/>
        <v>#NAME?</v>
      </c>
      <c r="DB146" s="24" t="e">
        <f t="shared" ca="1" si="1213"/>
        <v>#NAME?</v>
      </c>
      <c r="DE146" s="123"/>
      <c r="DF146" s="23">
        <v>339.91</v>
      </c>
    </row>
    <row r="147" spans="1:110" s="23" customFormat="1" outlineLevel="1" x14ac:dyDescent="0.2">
      <c r="A147" s="23" t="s">
        <v>64</v>
      </c>
      <c r="B147" s="23" t="e">
        <f ca="1">'Annual Raw'!C81</f>
        <v>#NAME?</v>
      </c>
      <c r="C147" s="23" t="e">
        <f ca="1">'Annual Raw'!D81</f>
        <v>#NAME?</v>
      </c>
      <c r="D147" s="23" t="e">
        <f ca="1">'Annual Raw'!E81</f>
        <v>#NAME?</v>
      </c>
      <c r="E147" s="23" t="e">
        <f ca="1">'Annual Raw'!F81</f>
        <v>#NAME?</v>
      </c>
      <c r="F147" s="23" t="e">
        <f ca="1">'Annual Raw'!G81</f>
        <v>#NAME?</v>
      </c>
      <c r="G147" s="23" t="e">
        <f ca="1">'Annual Raw'!H81</f>
        <v>#NAME?</v>
      </c>
      <c r="H147" s="23" t="e">
        <f ca="1">'Annual Raw'!I81</f>
        <v>#NAME?</v>
      </c>
      <c r="I147" s="23" t="e">
        <f ca="1">'Annual Raw'!J81</f>
        <v>#NAME?</v>
      </c>
      <c r="J147" s="23" t="e">
        <f ca="1">'Annual Raw'!K81</f>
        <v>#NAME?</v>
      </c>
      <c r="K147" s="23" t="e">
        <f ca="1">'Annual Raw'!L81</f>
        <v>#NAME?</v>
      </c>
      <c r="L147" s="23" t="e">
        <f ca="1">'Annual Raw'!M81</f>
        <v>#NAME?</v>
      </c>
      <c r="M147" s="23" t="e">
        <f ca="1">'Annual Raw'!N81</f>
        <v>#NAME?</v>
      </c>
      <c r="N147" s="23" t="e">
        <f ca="1">'Annual Raw'!O81</f>
        <v>#NAME?</v>
      </c>
      <c r="O147" s="23" t="e">
        <f ca="1">'Annual Raw'!P81</f>
        <v>#NAME?</v>
      </c>
      <c r="P147" s="23" t="e">
        <f ca="1">'Annual Raw'!Q81</f>
        <v>#NAME?</v>
      </c>
      <c r="Q147" s="23" t="e">
        <f ca="1">'Annual Raw'!R81</f>
        <v>#NAME?</v>
      </c>
      <c r="R147" s="23" t="e">
        <f ca="1">'Annual Raw'!S81</f>
        <v>#NAME?</v>
      </c>
      <c r="S147" s="23" t="e">
        <f ca="1">'Annual Raw'!T81</f>
        <v>#NAME?</v>
      </c>
      <c r="T147" s="23" t="e">
        <f ca="1">'Annual Raw'!U81</f>
        <v>#NAME?</v>
      </c>
      <c r="U147" s="23" t="e">
        <f ca="1">'Annual Raw'!V81</f>
        <v>#NAME?</v>
      </c>
      <c r="V147" s="23" t="e">
        <f ca="1">'Annual Raw'!W81</f>
        <v>#NAME?</v>
      </c>
      <c r="W147" s="23" t="e">
        <f ca="1">'Annual Raw'!X81</f>
        <v>#NAME?</v>
      </c>
      <c r="X147" s="23" t="e">
        <f ca="1">'Annual Raw'!Y81</f>
        <v>#NAME?</v>
      </c>
      <c r="Y147" s="23" t="e">
        <f ca="1">'Annual Raw'!Z81</f>
        <v>#NAME?</v>
      </c>
      <c r="Z147" s="23" t="e">
        <f ca="1">'Annual Raw'!AA81</f>
        <v>#NAME?</v>
      </c>
      <c r="AA147" s="23" t="e">
        <f ca="1">'Annual Raw'!AB81</f>
        <v>#NAME?</v>
      </c>
      <c r="AB147" s="24">
        <f t="shared" si="1205"/>
        <v>0</v>
      </c>
      <c r="AC147" s="24">
        <f t="shared" si="1206"/>
        <v>0</v>
      </c>
      <c r="AD147" s="24">
        <f t="shared" si="1207"/>
        <v>0</v>
      </c>
      <c r="AE147" s="24">
        <f t="shared" si="1208"/>
        <v>0</v>
      </c>
      <c r="AJ147" s="23" t="e">
        <f ca="1">+'QTR Raw'!D85</f>
        <v>#NAME?</v>
      </c>
      <c r="AK147" s="23" t="e">
        <f t="shared" ca="1" si="1209"/>
        <v>#NAME?</v>
      </c>
      <c r="AL147" s="23" t="e">
        <f ca="1">+'QTR Raw'!F85</f>
        <v>#NAME?</v>
      </c>
      <c r="AM147" s="23" t="e">
        <f t="shared" ca="1" si="1209"/>
        <v>#NAME?</v>
      </c>
      <c r="AN147" s="23" t="e">
        <f ca="1">+'QTR Raw'!H85</f>
        <v>#NAME?</v>
      </c>
      <c r="AO147" s="23" t="e">
        <f t="shared" ca="1" si="1209"/>
        <v>#NAME?</v>
      </c>
      <c r="AP147" s="23" t="e">
        <f ca="1">+'QTR Raw'!J85</f>
        <v>#NAME?</v>
      </c>
      <c r="AQ147" s="23" t="e">
        <f t="shared" ca="1" si="1209"/>
        <v>#NAME?</v>
      </c>
      <c r="AR147" s="23" t="e">
        <f ca="1">+'QTR Raw'!L85</f>
        <v>#NAME?</v>
      </c>
      <c r="AS147" s="23" t="e">
        <f t="shared" ca="1" si="1209"/>
        <v>#NAME?</v>
      </c>
      <c r="AT147" s="23" t="e">
        <f ca="1">+'QTR Raw'!N85</f>
        <v>#NAME?</v>
      </c>
      <c r="AU147" s="23" t="e">
        <f t="shared" ca="1" si="1209"/>
        <v>#NAME?</v>
      </c>
      <c r="AV147" s="23" t="e">
        <f ca="1">+'QTR Raw'!P85</f>
        <v>#NAME?</v>
      </c>
      <c r="AW147" s="23" t="e">
        <f t="shared" ca="1" si="1209"/>
        <v>#NAME?</v>
      </c>
      <c r="AX147" s="23" t="e">
        <f ca="1">+'QTR Raw'!R85</f>
        <v>#NAME?</v>
      </c>
      <c r="AY147" s="23" t="e">
        <f t="shared" ca="1" si="1209"/>
        <v>#NAME?</v>
      </c>
      <c r="AZ147" s="23" t="e">
        <f ca="1">+'QTR Raw'!T85</f>
        <v>#NAME?</v>
      </c>
      <c r="BA147" s="23" t="e">
        <f t="shared" ca="1" si="1209"/>
        <v>#NAME?</v>
      </c>
      <c r="BB147" s="23" t="e">
        <f ca="1">+'QTR Raw'!V85</f>
        <v>#NAME?</v>
      </c>
      <c r="BC147" s="23" t="e">
        <f t="shared" ca="1" si="1209"/>
        <v>#NAME?</v>
      </c>
      <c r="BD147" s="23" t="e">
        <f ca="1">+'QTR Raw'!X85</f>
        <v>#NAME?</v>
      </c>
      <c r="BE147" s="23" t="e">
        <f t="shared" ca="1" si="1209"/>
        <v>#NAME?</v>
      </c>
      <c r="BF147" s="23" t="e">
        <f ca="1">+'QTR Raw'!Z85</f>
        <v>#NAME?</v>
      </c>
      <c r="BG147" s="23" t="e">
        <f t="shared" ca="1" si="1209"/>
        <v>#NAME?</v>
      </c>
      <c r="BH147" s="23" t="e">
        <f ca="1">+'QTR Raw'!AB85</f>
        <v>#NAME?</v>
      </c>
      <c r="BI147" s="23" t="e">
        <f t="shared" ca="1" si="1209"/>
        <v>#NAME?</v>
      </c>
      <c r="BJ147" s="23" t="e">
        <f ca="1">+'QTR Raw'!AD85</f>
        <v>#NAME?</v>
      </c>
      <c r="BK147" s="23" t="e">
        <f t="shared" ca="1" si="1209"/>
        <v>#NAME?</v>
      </c>
      <c r="BL147" s="23" t="e">
        <f ca="1">+'QTR Raw'!AF85</f>
        <v>#NAME?</v>
      </c>
      <c r="BM147" s="23" t="e">
        <f t="shared" ca="1" si="1209"/>
        <v>#NAME?</v>
      </c>
      <c r="BN147" s="23" t="e">
        <f ca="1">+'QTR Raw'!AH85</f>
        <v>#NAME?</v>
      </c>
      <c r="BO147" s="23" t="e">
        <f t="shared" ca="1" si="1209"/>
        <v>#NAME?</v>
      </c>
      <c r="BP147" s="23" t="e">
        <f ca="1">+'QTR Raw'!AJ85</f>
        <v>#NAME?</v>
      </c>
      <c r="BQ147" s="23" t="e">
        <f t="shared" ca="1" si="1209"/>
        <v>#NAME?</v>
      </c>
      <c r="BR147" s="23" t="e">
        <f ca="1">+'QTR Raw'!AL85</f>
        <v>#NAME?</v>
      </c>
      <c r="BS147" s="23" t="e">
        <f t="shared" ca="1" si="1209"/>
        <v>#NAME?</v>
      </c>
      <c r="BT147" s="23" t="e">
        <f ca="1">+'QTR Raw'!AN85</f>
        <v>#NAME?</v>
      </c>
      <c r="BU147" s="23" t="e">
        <f t="shared" ca="1" si="1209"/>
        <v>#NAME?</v>
      </c>
      <c r="BV147" s="23" t="e">
        <f ca="1">+'QTR Raw'!AP85</f>
        <v>#NAME?</v>
      </c>
      <c r="BW147" s="23" t="e">
        <f t="shared" ca="1" si="1209"/>
        <v>#NAME?</v>
      </c>
      <c r="BX147" s="23" t="e">
        <f ca="1">+'QTR Raw'!AR85</f>
        <v>#NAME?</v>
      </c>
      <c r="BY147" s="23" t="e">
        <f t="shared" ca="1" si="1209"/>
        <v>#NAME?</v>
      </c>
      <c r="BZ147" s="23" t="e">
        <f ca="1">+'QTR Raw'!AT85</f>
        <v>#NAME?</v>
      </c>
      <c r="CA147" s="23" t="e">
        <f t="shared" ca="1" si="1209"/>
        <v>#NAME?</v>
      </c>
      <c r="CB147" s="23" t="e">
        <f ca="1">+'QTR Raw'!AV85</f>
        <v>#NAME?</v>
      </c>
      <c r="CC147" s="23" t="e">
        <f t="shared" ca="1" si="1209"/>
        <v>#NAME?</v>
      </c>
      <c r="CD147" s="23" t="e">
        <f ca="1">+'QTR Raw'!AX85</f>
        <v>#NAME?</v>
      </c>
      <c r="CE147" s="23" t="e">
        <f t="shared" ca="1" si="1209"/>
        <v>#NAME?</v>
      </c>
      <c r="CF147" s="23" t="e">
        <f ca="1">+'QTR Raw'!AZ85</f>
        <v>#NAME?</v>
      </c>
      <c r="CG147" s="23" t="e">
        <f t="shared" ca="1" si="1212"/>
        <v>#NAME?</v>
      </c>
      <c r="CH147" s="23" t="e">
        <f t="shared" ca="1" si="1187"/>
        <v>#NAME?</v>
      </c>
      <c r="CJ147" s="23" t="e">
        <f ca="1">+'QTR Raw'!BD85</f>
        <v>#NAME?</v>
      </c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11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4">SUM(C142:C147)</f>
        <v>#NAME?</v>
      </c>
      <c r="D148" s="22" t="e">
        <f t="shared" ca="1" si="1214"/>
        <v>#NAME?</v>
      </c>
      <c r="E148" s="22" t="e">
        <f t="shared" ca="1" si="1214"/>
        <v>#NAME?</v>
      </c>
      <c r="F148" s="22" t="e">
        <f t="shared" ca="1" si="1214"/>
        <v>#NAME?</v>
      </c>
      <c r="G148" s="22" t="e">
        <f t="shared" ca="1" si="1214"/>
        <v>#NAME?</v>
      </c>
      <c r="H148" s="22" t="e">
        <f t="shared" ca="1" si="1214"/>
        <v>#NAME?</v>
      </c>
      <c r="I148" s="22" t="e">
        <f t="shared" ca="1" si="1214"/>
        <v>#NAME?</v>
      </c>
      <c r="J148" s="22" t="e">
        <f t="shared" ca="1" si="1214"/>
        <v>#NAME?</v>
      </c>
      <c r="K148" s="22" t="e">
        <f t="shared" ca="1" si="1214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4"/>
        <v>#NAME?</v>
      </c>
      <c r="O148" s="22" t="e">
        <f t="shared" ca="1" si="1214"/>
        <v>#NAME?</v>
      </c>
      <c r="P148" s="22" t="e">
        <f t="shared" ca="1" si="1214"/>
        <v>#NAME?</v>
      </c>
      <c r="Q148" s="22" t="e">
        <f t="shared" ca="1" si="1214"/>
        <v>#NAME?</v>
      </c>
      <c r="R148" s="22" t="e">
        <f t="shared" ca="1" si="1214"/>
        <v>#NAME?</v>
      </c>
      <c r="S148" s="22" t="e">
        <f t="shared" ca="1" si="1214"/>
        <v>#NAME?</v>
      </c>
      <c r="T148" s="22" t="e">
        <f t="shared" ca="1" si="1214"/>
        <v>#NAME?</v>
      </c>
      <c r="U148" s="22" t="e">
        <f t="shared" ca="1" si="1214"/>
        <v>#NAME?</v>
      </c>
      <c r="V148" s="22" t="e">
        <f t="shared" ca="1" si="1214"/>
        <v>#NAME?</v>
      </c>
      <c r="W148" s="22" t="e">
        <f t="shared" ref="W148" ca="1" si="1215">SUM(W142:W147)</f>
        <v>#NAME?</v>
      </c>
      <c r="X148" s="22" t="e">
        <f t="shared" ref="X148:Y148" ca="1" si="1216">SUM(X142:X147)</f>
        <v>#NAME?</v>
      </c>
      <c r="Y148" s="22" t="e">
        <f t="shared" ca="1" si="1216"/>
        <v>#NAME?</v>
      </c>
      <c r="Z148" s="22" t="e">
        <f t="shared" ref="Z148:AA148" ca="1" si="1217">SUM(Z142:Z147)</f>
        <v>#NAME?</v>
      </c>
      <c r="AA148" s="22" t="e">
        <f t="shared" ca="1" si="1217"/>
        <v>#NAME?</v>
      </c>
      <c r="AB148" s="21" t="e">
        <f t="shared" ref="AA148:AD148" ca="1" si="1218">SUM(AB142:AB147)</f>
        <v>#NAME?</v>
      </c>
      <c r="AC148" s="21" t="e">
        <f t="shared" ca="1" si="1218"/>
        <v>#NAME?</v>
      </c>
      <c r="AD148" s="21" t="e">
        <f t="shared" ca="1" si="1218"/>
        <v>#NAME?</v>
      </c>
      <c r="AE148" s="21" t="e">
        <f t="shared" ref="AE148" ca="1" si="1219">SUM(AE142:AE147)</f>
        <v>#NAME?</v>
      </c>
      <c r="AJ148" s="22" t="e">
        <f t="shared" ref="AJ148" ca="1" si="1220">SUM(AJ142:AJ147)</f>
        <v>#NAME?</v>
      </c>
      <c r="AK148" s="22" t="e">
        <f t="shared" ref="AK148" ca="1" si="1221">SUM(AK142:AK147)</f>
        <v>#NAME?</v>
      </c>
      <c r="AL148" s="22" t="e">
        <f t="shared" ref="AL148:AM148" ca="1" si="1222">SUM(AL142:AL147)</f>
        <v>#NAME?</v>
      </c>
      <c r="AM148" s="22" t="e">
        <f t="shared" ca="1" si="1222"/>
        <v>#NAME?</v>
      </c>
      <c r="AN148" s="22" t="e">
        <f t="shared" ref="AN148:AO148" ca="1" si="1223">SUM(AN142:AN147)</f>
        <v>#NAME?</v>
      </c>
      <c r="AO148" s="22" t="e">
        <f t="shared" ca="1" si="1223"/>
        <v>#NAME?</v>
      </c>
      <c r="AP148" s="22" t="e">
        <f t="shared" ref="AP148:CE148" ca="1" si="1224">SUM(AP142:AP147)</f>
        <v>#NAME?</v>
      </c>
      <c r="AQ148" s="22" t="e">
        <f t="shared" ca="1" si="1224"/>
        <v>#NAME?</v>
      </c>
      <c r="AR148" s="22" t="e">
        <f t="shared" ca="1" si="1224"/>
        <v>#NAME?</v>
      </c>
      <c r="AS148" s="22" t="e">
        <f t="shared" ca="1" si="1224"/>
        <v>#NAME?</v>
      </c>
      <c r="AT148" s="22" t="e">
        <f t="shared" ca="1" si="1224"/>
        <v>#NAME?</v>
      </c>
      <c r="AU148" s="22" t="e">
        <f t="shared" ca="1" si="1224"/>
        <v>#NAME?</v>
      </c>
      <c r="AV148" s="22" t="e">
        <f t="shared" ca="1" si="1224"/>
        <v>#NAME?</v>
      </c>
      <c r="AW148" s="22" t="e">
        <f t="shared" ca="1" si="1224"/>
        <v>#NAME?</v>
      </c>
      <c r="AX148" s="22" t="e">
        <f t="shared" ca="1" si="1224"/>
        <v>#NAME?</v>
      </c>
      <c r="AY148" s="22" t="e">
        <f t="shared" ca="1" si="1224"/>
        <v>#NAME?</v>
      </c>
      <c r="AZ148" s="22" t="e">
        <f t="shared" ca="1" si="1224"/>
        <v>#NAME?</v>
      </c>
      <c r="BA148" s="22" t="e">
        <f t="shared" ca="1" si="1224"/>
        <v>#NAME?</v>
      </c>
      <c r="BB148" s="22" t="e">
        <f t="shared" ca="1" si="1224"/>
        <v>#NAME?</v>
      </c>
      <c r="BC148" s="22" t="e">
        <f t="shared" ca="1" si="1224"/>
        <v>#NAME?</v>
      </c>
      <c r="BD148" s="22" t="e">
        <f t="shared" ca="1" si="1224"/>
        <v>#NAME?</v>
      </c>
      <c r="BE148" s="22" t="e">
        <f t="shared" ca="1" si="1224"/>
        <v>#NAME?</v>
      </c>
      <c r="BF148" s="22" t="e">
        <f t="shared" ca="1" si="1224"/>
        <v>#NAME?</v>
      </c>
      <c r="BG148" s="22" t="e">
        <f t="shared" ca="1" si="1224"/>
        <v>#NAME?</v>
      </c>
      <c r="BH148" s="22" t="e">
        <f t="shared" ca="1" si="1224"/>
        <v>#NAME?</v>
      </c>
      <c r="BI148" s="22" t="e">
        <f t="shared" ca="1" si="1224"/>
        <v>#NAME?</v>
      </c>
      <c r="BJ148" s="22" t="e">
        <f t="shared" ca="1" si="1224"/>
        <v>#NAME?</v>
      </c>
      <c r="BK148" s="22" t="e">
        <f t="shared" ca="1" si="1224"/>
        <v>#NAME?</v>
      </c>
      <c r="BL148" s="22" t="e">
        <f t="shared" ca="1" si="1224"/>
        <v>#NAME?</v>
      </c>
      <c r="BM148" s="22" t="e">
        <f t="shared" ca="1" si="1224"/>
        <v>#NAME?</v>
      </c>
      <c r="BN148" s="22" t="e">
        <f t="shared" ca="1" si="1224"/>
        <v>#NAME?</v>
      </c>
      <c r="BO148" s="22" t="e">
        <f t="shared" ca="1" si="1224"/>
        <v>#NAME?</v>
      </c>
      <c r="BP148" s="22" t="e">
        <f t="shared" ca="1" si="1224"/>
        <v>#NAME?</v>
      </c>
      <c r="BQ148" s="22" t="e">
        <f t="shared" ca="1" si="1224"/>
        <v>#NAME?</v>
      </c>
      <c r="BR148" s="22" t="e">
        <f t="shared" ca="1" si="1224"/>
        <v>#NAME?</v>
      </c>
      <c r="BS148" s="22" t="e">
        <f t="shared" ca="1" si="1224"/>
        <v>#NAME?</v>
      </c>
      <c r="BT148" s="22" t="e">
        <f t="shared" ca="1" si="1224"/>
        <v>#NAME?</v>
      </c>
      <c r="BU148" s="22" t="e">
        <f t="shared" ca="1" si="1224"/>
        <v>#NAME?</v>
      </c>
      <c r="BV148" s="22" t="e">
        <f t="shared" ca="1" si="1224"/>
        <v>#NAME?</v>
      </c>
      <c r="BW148" s="22" t="e">
        <f t="shared" ca="1" si="1224"/>
        <v>#NAME?</v>
      </c>
      <c r="BX148" s="22" t="e">
        <f t="shared" ca="1" si="1224"/>
        <v>#NAME?</v>
      </c>
      <c r="BY148" s="22" t="e">
        <f t="shared" ca="1" si="1224"/>
        <v>#NAME?</v>
      </c>
      <c r="BZ148" s="22" t="e">
        <f t="shared" ca="1" si="1224"/>
        <v>#NAME?</v>
      </c>
      <c r="CA148" s="22" t="e">
        <f t="shared" ca="1" si="1224"/>
        <v>#NAME?</v>
      </c>
      <c r="CB148" s="22" t="e">
        <f t="shared" ca="1" si="1224"/>
        <v>#NAME?</v>
      </c>
      <c r="CC148" s="22" t="e">
        <f t="shared" ca="1" si="1224"/>
        <v>#NAME?</v>
      </c>
      <c r="CD148" s="22" t="e">
        <f t="shared" ca="1" si="1224"/>
        <v>#NAME?</v>
      </c>
      <c r="CE148" s="22" t="e">
        <f t="shared" ca="1" si="1224"/>
        <v>#NAME?</v>
      </c>
      <c r="CF148" s="22" t="e">
        <f t="shared" ref="CF148:CG148" ca="1" si="1225">SUM(CF142:CF147)</f>
        <v>#NAME?</v>
      </c>
      <c r="CG148" s="22" t="e">
        <f t="shared" ca="1" si="1225"/>
        <v>#NAME?</v>
      </c>
      <c r="CH148" s="22" t="e">
        <f t="shared" ref="CH148:CI148" ca="1" si="1226">SUM(CH142:CH147)</f>
        <v>#NAME?</v>
      </c>
      <c r="CI148" s="22" t="e">
        <f t="shared" ca="1" si="1226"/>
        <v>#NAME?</v>
      </c>
      <c r="CJ148" s="22" t="e">
        <f t="shared" ref="CJ148:DB148" ca="1" si="1227">SUM(CJ142:CJ147)</f>
        <v>#NAME?</v>
      </c>
      <c r="CK148" s="22" t="e">
        <f t="shared" ca="1" si="1227"/>
        <v>#NAME?</v>
      </c>
      <c r="CL148" s="22" t="e">
        <f t="shared" ref="CL148" ca="1" si="1228">SUM(CL142:CL147)</f>
        <v>#NAME?</v>
      </c>
      <c r="CM148" s="21" t="e">
        <f t="shared" ca="1" si="1227"/>
        <v>#NAME?</v>
      </c>
      <c r="CN148" s="21" t="e">
        <f t="shared" ca="1" si="1227"/>
        <v>#NAME?</v>
      </c>
      <c r="CO148" s="21" t="e">
        <f t="shared" ca="1" si="1227"/>
        <v>#NAME?</v>
      </c>
      <c r="CP148" s="21" t="e">
        <f t="shared" ca="1" si="1227"/>
        <v>#NAME?</v>
      </c>
      <c r="CQ148" s="21" t="e">
        <f t="shared" ca="1" si="1227"/>
        <v>#NAME?</v>
      </c>
      <c r="CR148" s="21" t="e">
        <f t="shared" ca="1" si="1227"/>
        <v>#NAME?</v>
      </c>
      <c r="CS148" s="21" t="e">
        <f t="shared" ca="1" si="1227"/>
        <v>#NAME?</v>
      </c>
      <c r="CT148" s="21" t="e">
        <f t="shared" ca="1" si="1227"/>
        <v>#NAME?</v>
      </c>
      <c r="CU148" s="21" t="e">
        <f t="shared" ca="1" si="1227"/>
        <v>#NAME?</v>
      </c>
      <c r="CV148" s="21" t="e">
        <f t="shared" ca="1" si="1227"/>
        <v>#NAME?</v>
      </c>
      <c r="CW148" s="21" t="e">
        <f t="shared" ca="1" si="1227"/>
        <v>#NAME?</v>
      </c>
      <c r="CX148" s="21" t="e">
        <f t="shared" ca="1" si="1227"/>
        <v>#NAME?</v>
      </c>
      <c r="CY148" s="21" t="e">
        <f t="shared" ca="1" si="1227"/>
        <v>#NAME?</v>
      </c>
      <c r="CZ148" s="21" t="e">
        <f t="shared" ca="1" si="1227"/>
        <v>#NAME?</v>
      </c>
      <c r="DA148" s="21" t="e">
        <f t="shared" ca="1" si="1227"/>
        <v>#NAME?</v>
      </c>
      <c r="DB148" s="21" t="e">
        <f t="shared" ca="1" si="1227"/>
        <v>#NAME?</v>
      </c>
      <c r="DE148" s="126"/>
      <c r="DF148" s="22">
        <v>5056.1899999999996</v>
      </c>
    </row>
    <row r="149" spans="1:110" s="23" customFormat="1" outlineLevel="1" x14ac:dyDescent="0.2">
      <c r="A149" s="23" t="s">
        <v>66</v>
      </c>
      <c r="B149" s="23" t="e">
        <f ca="1">'Annual Raw'!C51+'Annual Raw'!C59</f>
        <v>#NAME?</v>
      </c>
      <c r="C149" s="23" t="e">
        <f ca="1">'Annual Raw'!D51+'Annual Raw'!D59</f>
        <v>#NAME?</v>
      </c>
      <c r="D149" s="23" t="e">
        <f ca="1">'Annual Raw'!E51+'Annual Raw'!E59</f>
        <v>#NAME?</v>
      </c>
      <c r="E149" s="23" t="e">
        <f ca="1">'Annual Raw'!F51+'Annual Raw'!F59</f>
        <v>#NAME?</v>
      </c>
      <c r="F149" s="23" t="e">
        <f ca="1">'Annual Raw'!G51+'Annual Raw'!G59</f>
        <v>#NAME?</v>
      </c>
      <c r="G149" s="23" t="e">
        <f ca="1">'Annual Raw'!H51+'Annual Raw'!H59</f>
        <v>#NAME?</v>
      </c>
      <c r="H149" s="23" t="e">
        <f ca="1">'Annual Raw'!I51+'Annual Raw'!I59</f>
        <v>#NAME?</v>
      </c>
      <c r="I149" s="23" t="e">
        <f ca="1">'Annual Raw'!J51+'Annual Raw'!J59</f>
        <v>#NAME?</v>
      </c>
      <c r="J149" s="23" t="e">
        <f ca="1">'Annual Raw'!K51+'Annual Raw'!K59</f>
        <v>#NAME?</v>
      </c>
      <c r="K149" s="23" t="e">
        <f ca="1">'Annual Raw'!L51+'Annual Raw'!L59</f>
        <v>#NAME?</v>
      </c>
      <c r="L149" s="23" t="e">
        <f ca="1">'Annual Raw'!M51+'Annual Raw'!M59</f>
        <v>#NAME?</v>
      </c>
      <c r="M149" s="23" t="e">
        <f ca="1">'Annual Raw'!N51+'Annual Raw'!N59</f>
        <v>#NAME?</v>
      </c>
      <c r="N149" s="23" t="e">
        <f ca="1">'Annual Raw'!O51+'Annual Raw'!O59</f>
        <v>#NAME?</v>
      </c>
      <c r="O149" s="23" t="e">
        <f ca="1">'Annual Raw'!P51+'Annual Raw'!P59</f>
        <v>#NAME?</v>
      </c>
      <c r="P149" s="23" t="e">
        <f ca="1">'Annual Raw'!Q51+'Annual Raw'!Q59</f>
        <v>#NAME?</v>
      </c>
      <c r="Q149" s="23" t="e">
        <f ca="1">'Annual Raw'!R51+'Annual Raw'!R59</f>
        <v>#NAME?</v>
      </c>
      <c r="R149" s="23" t="e">
        <f ca="1">'Annual Raw'!S51+'Annual Raw'!S59</f>
        <v>#NAME?</v>
      </c>
      <c r="S149" s="23" t="e">
        <f ca="1">'Annual Raw'!T51+'Annual Raw'!T59</f>
        <v>#NAME?</v>
      </c>
      <c r="T149" s="23" t="e">
        <f ca="1">'Annual Raw'!U51+'Annual Raw'!U59</f>
        <v>#NAME?</v>
      </c>
      <c r="U149" s="23" t="e">
        <f ca="1">'Annual Raw'!V51+'Annual Raw'!V59</f>
        <v>#NAME?</v>
      </c>
      <c r="V149" s="23" t="e">
        <f ca="1">'Annual Raw'!W51+'Annual Raw'!W59</f>
        <v>#NAME?</v>
      </c>
      <c r="W149" s="23" t="e">
        <f ca="1">'Annual Raw'!X51+'Annual Raw'!X59</f>
        <v>#NAME?</v>
      </c>
      <c r="X149" s="23" t="e">
        <f ca="1">'Annual Raw'!Y51+'Annual Raw'!Y59</f>
        <v>#NAME?</v>
      </c>
      <c r="Y149" s="23" t="e">
        <f ca="1">'Annual Raw'!Z51+'Annual Raw'!Z59</f>
        <v>#NAME?</v>
      </c>
      <c r="Z149" s="23" t="e">
        <f ca="1">'Annual Raw'!AA51+'Annual Raw'!AA59</f>
        <v>#NAME?</v>
      </c>
      <c r="AA149" s="23" t="e">
        <f ca="1">'Annual Raw'!AB51+'Annual Raw'!AB59</f>
        <v>#NAME?</v>
      </c>
      <c r="AB149" s="24">
        <f t="shared" ref="AB149:AB155" si="1229">+CP149</f>
        <v>0</v>
      </c>
      <c r="AC149" s="24">
        <f t="shared" ref="AC149:AC155" si="1230">+CT149</f>
        <v>0</v>
      </c>
      <c r="AD149" s="24">
        <f t="shared" ref="AD149:AD155" si="1231">+CX149</f>
        <v>0</v>
      </c>
      <c r="AE149" s="24">
        <f t="shared" ref="AE149:AE155" si="1232">+DB149</f>
        <v>0</v>
      </c>
      <c r="AJ149" s="23" t="e">
        <f ca="1">+'QTR Raw'!D64</f>
        <v>#NAME?</v>
      </c>
      <c r="AK149" s="23" t="e">
        <f t="shared" ref="AK149:CE155" ca="1" si="1233">+AJ149</f>
        <v>#NAME?</v>
      </c>
      <c r="AL149" s="23" t="e">
        <f ca="1">+'QTR Raw'!F64</f>
        <v>#NAME?</v>
      </c>
      <c r="AM149" s="23" t="e">
        <f t="shared" ca="1" si="1233"/>
        <v>#NAME?</v>
      </c>
      <c r="AN149" s="23" t="e">
        <f ca="1">+'QTR Raw'!H64</f>
        <v>#NAME?</v>
      </c>
      <c r="AO149" s="23" t="e">
        <f t="shared" ca="1" si="1233"/>
        <v>#NAME?</v>
      </c>
      <c r="AP149" s="23" t="e">
        <f ca="1">+'QTR Raw'!J64</f>
        <v>#NAME?</v>
      </c>
      <c r="AQ149" s="23" t="e">
        <f t="shared" ca="1" si="1233"/>
        <v>#NAME?</v>
      </c>
      <c r="AR149" s="23" t="e">
        <f ca="1">+'QTR Raw'!L64</f>
        <v>#NAME?</v>
      </c>
      <c r="AS149" s="23" t="e">
        <f t="shared" ca="1" si="1233"/>
        <v>#NAME?</v>
      </c>
      <c r="AT149" s="23" t="e">
        <f ca="1">+'QTR Raw'!N64</f>
        <v>#NAME?</v>
      </c>
      <c r="AU149" s="23" t="e">
        <f t="shared" ca="1" si="1233"/>
        <v>#NAME?</v>
      </c>
      <c r="AV149" s="23" t="e">
        <f ca="1">+'QTR Raw'!P64</f>
        <v>#NAME?</v>
      </c>
      <c r="AW149" s="23" t="e">
        <f t="shared" ca="1" si="1233"/>
        <v>#NAME?</v>
      </c>
      <c r="AX149" s="23" t="e">
        <f ca="1">+'QTR Raw'!R64</f>
        <v>#NAME?</v>
      </c>
      <c r="AY149" s="23" t="e">
        <f t="shared" ca="1" si="1233"/>
        <v>#NAME?</v>
      </c>
      <c r="AZ149" s="23" t="e">
        <f ca="1">+'QTR Raw'!T64</f>
        <v>#NAME?</v>
      </c>
      <c r="BA149" s="23" t="e">
        <f t="shared" ca="1" si="1233"/>
        <v>#NAME?</v>
      </c>
      <c r="BB149" s="23" t="e">
        <f ca="1">+'QTR Raw'!V64</f>
        <v>#NAME?</v>
      </c>
      <c r="BC149" s="23" t="e">
        <f t="shared" ca="1" si="1233"/>
        <v>#NAME?</v>
      </c>
      <c r="BD149" s="23" t="e">
        <f ca="1">+'QTR Raw'!X64</f>
        <v>#NAME?</v>
      </c>
      <c r="BE149" s="23" t="e">
        <f t="shared" ca="1" si="1233"/>
        <v>#NAME?</v>
      </c>
      <c r="BF149" s="23" t="e">
        <f ca="1">+'QTR Raw'!Z64</f>
        <v>#NAME?</v>
      </c>
      <c r="BG149" s="23" t="e">
        <f t="shared" ca="1" si="1233"/>
        <v>#NAME?</v>
      </c>
      <c r="BH149" s="23" t="e">
        <f ca="1">+'QTR Raw'!AB64</f>
        <v>#NAME?</v>
      </c>
      <c r="BI149" s="23" t="e">
        <f t="shared" ca="1" si="1233"/>
        <v>#NAME?</v>
      </c>
      <c r="BJ149" s="23" t="e">
        <f ca="1">+'QTR Raw'!AD64</f>
        <v>#NAME?</v>
      </c>
      <c r="BK149" s="23" t="e">
        <f t="shared" ca="1" si="1233"/>
        <v>#NAME?</v>
      </c>
      <c r="BL149" s="23" t="e">
        <f ca="1">+'QTR Raw'!AF64</f>
        <v>#NAME?</v>
      </c>
      <c r="BM149" s="23" t="e">
        <f t="shared" ca="1" si="1233"/>
        <v>#NAME?</v>
      </c>
      <c r="BN149" s="23" t="e">
        <f ca="1">+'QTR Raw'!AH64</f>
        <v>#NAME?</v>
      </c>
      <c r="BO149" s="23" t="e">
        <f t="shared" ca="1" si="1233"/>
        <v>#NAME?</v>
      </c>
      <c r="BP149" s="23" t="e">
        <f ca="1">+'QTR Raw'!AJ64</f>
        <v>#NAME?</v>
      </c>
      <c r="BQ149" s="23" t="e">
        <f t="shared" ca="1" si="1233"/>
        <v>#NAME?</v>
      </c>
      <c r="BR149" s="23" t="e">
        <f ca="1">+'QTR Raw'!AL64</f>
        <v>#NAME?</v>
      </c>
      <c r="BS149" s="23" t="e">
        <f t="shared" ca="1" si="1233"/>
        <v>#NAME?</v>
      </c>
      <c r="BT149" s="23" t="e">
        <f ca="1">+'QTR Raw'!AN64</f>
        <v>#NAME?</v>
      </c>
      <c r="BU149" s="23" t="e">
        <f t="shared" ca="1" si="1233"/>
        <v>#NAME?</v>
      </c>
      <c r="BV149" s="23" t="e">
        <f ca="1">+'QTR Raw'!AP64</f>
        <v>#NAME?</v>
      </c>
      <c r="BW149" s="23" t="e">
        <f t="shared" ca="1" si="1233"/>
        <v>#NAME?</v>
      </c>
      <c r="BX149" s="23" t="e">
        <f ca="1">+'QTR Raw'!AR64</f>
        <v>#NAME?</v>
      </c>
      <c r="BY149" s="23" t="e">
        <f t="shared" ca="1" si="1233"/>
        <v>#NAME?</v>
      </c>
      <c r="BZ149" s="23" t="e">
        <f ca="1">+'QTR Raw'!AT64</f>
        <v>#NAME?</v>
      </c>
      <c r="CA149" s="23" t="e">
        <f t="shared" ca="1" si="1233"/>
        <v>#NAME?</v>
      </c>
      <c r="CB149" s="23" t="e">
        <f ca="1">+'QTR Raw'!AV64</f>
        <v>#NAME?</v>
      </c>
      <c r="CC149" s="23" t="e">
        <f t="shared" ca="1" si="1233"/>
        <v>#NAME?</v>
      </c>
      <c r="CD149" s="23" t="e">
        <f ca="1">+'QTR Raw'!AX64</f>
        <v>#NAME?</v>
      </c>
      <c r="CE149" s="23" t="e">
        <f t="shared" ca="1" si="1233"/>
        <v>#NAME?</v>
      </c>
      <c r="CF149" s="23" t="e">
        <f ca="1">+'QTR Raw'!AZ64</f>
        <v>#NAME?</v>
      </c>
      <c r="CG149" s="23" t="e">
        <f t="shared" ref="CG149:CG152" ca="1" si="1234">+CF149</f>
        <v>#NAME?</v>
      </c>
      <c r="CH149" s="23" t="e">
        <f t="shared" ca="1" si="1187"/>
        <v>#NAME?</v>
      </c>
      <c r="CJ149" s="23" t="e">
        <f ca="1">+'QTR Raw'!BD64</f>
        <v>#NAME?</v>
      </c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356.26</v>
      </c>
    </row>
    <row r="150" spans="1:110" s="23" customFormat="1" outlineLevel="1" x14ac:dyDescent="0.2">
      <c r="A150" s="23" t="s">
        <v>67</v>
      </c>
      <c r="B150" s="23" t="e">
        <f ca="1">'Annual Raw'!C52</f>
        <v>#NAME?</v>
      </c>
      <c r="C150" s="23" t="e">
        <f ca="1">'Annual Raw'!D52</f>
        <v>#NAME?</v>
      </c>
      <c r="D150" s="23" t="e">
        <f ca="1">'Annual Raw'!E52</f>
        <v>#NAME?</v>
      </c>
      <c r="E150" s="23" t="e">
        <f ca="1">'Annual Raw'!F52</f>
        <v>#NAME?</v>
      </c>
      <c r="F150" s="23" t="e">
        <f ca="1">'Annual Raw'!G52</f>
        <v>#NAME?</v>
      </c>
      <c r="G150" s="23" t="e">
        <f ca="1">'Annual Raw'!H52</f>
        <v>#NAME?</v>
      </c>
      <c r="H150" s="23" t="e">
        <f ca="1">'Annual Raw'!I52</f>
        <v>#NAME?</v>
      </c>
      <c r="I150" s="23" t="e">
        <f ca="1">'Annual Raw'!J52</f>
        <v>#NAME?</v>
      </c>
      <c r="J150" s="23" t="e">
        <f ca="1">'Annual Raw'!K52</f>
        <v>#NAME?</v>
      </c>
      <c r="K150" s="23" t="e">
        <f ca="1">'Annual Raw'!L52</f>
        <v>#NAME?</v>
      </c>
      <c r="L150" s="23" t="e">
        <f ca="1">'Annual Raw'!M52</f>
        <v>#NAME?</v>
      </c>
      <c r="M150" s="23" t="e">
        <f ca="1">'Annual Raw'!N52</f>
        <v>#NAME?</v>
      </c>
      <c r="N150" s="23" t="e">
        <f ca="1">'Annual Raw'!O52</f>
        <v>#NAME?</v>
      </c>
      <c r="O150" s="23" t="e">
        <f ca="1">'Annual Raw'!P52</f>
        <v>#NAME?</v>
      </c>
      <c r="P150" s="23" t="e">
        <f ca="1">'Annual Raw'!Q52</f>
        <v>#NAME?</v>
      </c>
      <c r="Q150" s="23" t="e">
        <f ca="1">'Annual Raw'!R52</f>
        <v>#NAME?</v>
      </c>
      <c r="R150" s="23" t="e">
        <f ca="1">'Annual Raw'!S52</f>
        <v>#NAME?</v>
      </c>
      <c r="S150" s="23" t="e">
        <f ca="1">'Annual Raw'!T52</f>
        <v>#NAME?</v>
      </c>
      <c r="T150" s="23" t="e">
        <f ca="1">'Annual Raw'!U52</f>
        <v>#NAME?</v>
      </c>
      <c r="U150" s="23" t="e">
        <f ca="1">'Annual Raw'!V52</f>
        <v>#NAME?</v>
      </c>
      <c r="V150" s="23" t="e">
        <f ca="1">'Annual Raw'!W52</f>
        <v>#NAME?</v>
      </c>
      <c r="W150" s="23" t="e">
        <f ca="1">'Annual Raw'!X52</f>
        <v>#NAME?</v>
      </c>
      <c r="X150" s="23" t="e">
        <f ca="1">'Annual Raw'!Y52</f>
        <v>#NAME?</v>
      </c>
      <c r="Y150" s="23" t="e">
        <f ca="1">'Annual Raw'!Z52</f>
        <v>#NAME?</v>
      </c>
      <c r="Z150" s="23" t="e">
        <f ca="1">'Annual Raw'!AA52</f>
        <v>#NAME?</v>
      </c>
      <c r="AA150" s="23" t="e">
        <f ca="1">'Annual Raw'!AB52</f>
        <v>#NAME?</v>
      </c>
      <c r="AB150" s="24">
        <f t="shared" si="1229"/>
        <v>0</v>
      </c>
      <c r="AC150" s="24">
        <f t="shared" si="1230"/>
        <v>0</v>
      </c>
      <c r="AD150" s="24">
        <f t="shared" si="1231"/>
        <v>0</v>
      </c>
      <c r="AE150" s="24">
        <f t="shared" si="1232"/>
        <v>0</v>
      </c>
      <c r="AJ150" s="23" t="e">
        <f ca="1">+'QTR Raw'!D65</f>
        <v>#NAME?</v>
      </c>
      <c r="AK150" s="23" t="e">
        <f t="shared" ca="1" si="1233"/>
        <v>#NAME?</v>
      </c>
      <c r="AL150" s="23" t="e">
        <f ca="1">+'QTR Raw'!F65</f>
        <v>#NAME?</v>
      </c>
      <c r="AM150" s="23" t="e">
        <f t="shared" ca="1" si="1233"/>
        <v>#NAME?</v>
      </c>
      <c r="AN150" s="23" t="e">
        <f ca="1">+'QTR Raw'!H65</f>
        <v>#NAME?</v>
      </c>
      <c r="AO150" s="23" t="e">
        <f t="shared" ca="1" si="1233"/>
        <v>#NAME?</v>
      </c>
      <c r="AP150" s="23" t="e">
        <f ca="1">+'QTR Raw'!J65</f>
        <v>#NAME?</v>
      </c>
      <c r="AQ150" s="23" t="e">
        <f t="shared" ca="1" si="1233"/>
        <v>#NAME?</v>
      </c>
      <c r="AR150" s="23" t="e">
        <f ca="1">+'QTR Raw'!L65</f>
        <v>#NAME?</v>
      </c>
      <c r="AS150" s="23" t="e">
        <f t="shared" ca="1" si="1233"/>
        <v>#NAME?</v>
      </c>
      <c r="AT150" s="23" t="e">
        <f ca="1">+'QTR Raw'!N65</f>
        <v>#NAME?</v>
      </c>
      <c r="AU150" s="23" t="e">
        <f t="shared" ca="1" si="1233"/>
        <v>#NAME?</v>
      </c>
      <c r="AV150" s="23" t="e">
        <f ca="1">+'QTR Raw'!P65</f>
        <v>#NAME?</v>
      </c>
      <c r="AW150" s="23" t="e">
        <f t="shared" ca="1" si="1233"/>
        <v>#NAME?</v>
      </c>
      <c r="AX150" s="23" t="e">
        <f ca="1">+'QTR Raw'!R65</f>
        <v>#NAME?</v>
      </c>
      <c r="AY150" s="23" t="e">
        <f t="shared" ca="1" si="1233"/>
        <v>#NAME?</v>
      </c>
      <c r="AZ150" s="23" t="e">
        <f ca="1">+'QTR Raw'!T65</f>
        <v>#NAME?</v>
      </c>
      <c r="BA150" s="23" t="e">
        <f t="shared" ca="1" si="1233"/>
        <v>#NAME?</v>
      </c>
      <c r="BB150" s="23" t="e">
        <f ca="1">+'QTR Raw'!V65</f>
        <v>#NAME?</v>
      </c>
      <c r="BC150" s="23" t="e">
        <f t="shared" ca="1" si="1233"/>
        <v>#NAME?</v>
      </c>
      <c r="BD150" s="23" t="e">
        <f ca="1">+'QTR Raw'!X65</f>
        <v>#NAME?</v>
      </c>
      <c r="BE150" s="23" t="e">
        <f t="shared" ca="1" si="1233"/>
        <v>#NAME?</v>
      </c>
      <c r="BF150" s="23" t="e">
        <f ca="1">+'QTR Raw'!Z65</f>
        <v>#NAME?</v>
      </c>
      <c r="BG150" s="23" t="e">
        <f t="shared" ca="1" si="1233"/>
        <v>#NAME?</v>
      </c>
      <c r="BH150" s="23" t="e">
        <f ca="1">+'QTR Raw'!AB65</f>
        <v>#NAME?</v>
      </c>
      <c r="BI150" s="23" t="e">
        <f t="shared" ca="1" si="1233"/>
        <v>#NAME?</v>
      </c>
      <c r="BJ150" s="23" t="e">
        <f ca="1">+'QTR Raw'!AD65</f>
        <v>#NAME?</v>
      </c>
      <c r="BK150" s="23" t="e">
        <f t="shared" ca="1" si="1233"/>
        <v>#NAME?</v>
      </c>
      <c r="BL150" s="23" t="e">
        <f ca="1">+'QTR Raw'!AF65</f>
        <v>#NAME?</v>
      </c>
      <c r="BM150" s="23" t="e">
        <f t="shared" ca="1" si="1233"/>
        <v>#NAME?</v>
      </c>
      <c r="BN150" s="23" t="e">
        <f ca="1">+'QTR Raw'!AH65</f>
        <v>#NAME?</v>
      </c>
      <c r="BO150" s="23" t="e">
        <f t="shared" ca="1" si="1233"/>
        <v>#NAME?</v>
      </c>
      <c r="BP150" s="23" t="e">
        <f ca="1">+'QTR Raw'!AJ65</f>
        <v>#NAME?</v>
      </c>
      <c r="BQ150" s="23" t="e">
        <f t="shared" ca="1" si="1233"/>
        <v>#NAME?</v>
      </c>
      <c r="BR150" s="23" t="e">
        <f ca="1">+'QTR Raw'!AL65</f>
        <v>#NAME?</v>
      </c>
      <c r="BS150" s="23" t="e">
        <f t="shared" ca="1" si="1233"/>
        <v>#NAME?</v>
      </c>
      <c r="BT150" s="23" t="e">
        <f ca="1">+'QTR Raw'!AN65</f>
        <v>#NAME?</v>
      </c>
      <c r="BU150" s="23" t="e">
        <f t="shared" ca="1" si="1233"/>
        <v>#NAME?</v>
      </c>
      <c r="BV150" s="23" t="e">
        <f ca="1">+'QTR Raw'!AP65</f>
        <v>#NAME?</v>
      </c>
      <c r="BW150" s="23" t="e">
        <f t="shared" ca="1" si="1233"/>
        <v>#NAME?</v>
      </c>
      <c r="BX150" s="23" t="e">
        <f ca="1">+'QTR Raw'!AR65</f>
        <v>#NAME?</v>
      </c>
      <c r="BY150" s="23" t="e">
        <f t="shared" ca="1" si="1233"/>
        <v>#NAME?</v>
      </c>
      <c r="BZ150" s="23" t="e">
        <f ca="1">+'QTR Raw'!AT65</f>
        <v>#NAME?</v>
      </c>
      <c r="CA150" s="23" t="e">
        <f t="shared" ca="1" si="1233"/>
        <v>#NAME?</v>
      </c>
      <c r="CB150" s="23" t="e">
        <f ca="1">+'QTR Raw'!AV65</f>
        <v>#NAME?</v>
      </c>
      <c r="CC150" s="23" t="e">
        <f t="shared" ca="1" si="1233"/>
        <v>#NAME?</v>
      </c>
      <c r="CD150" s="23" t="e">
        <f ca="1">+'QTR Raw'!AX65</f>
        <v>#NAME?</v>
      </c>
      <c r="CE150" s="23" t="e">
        <f t="shared" ca="1" si="1233"/>
        <v>#NAME?</v>
      </c>
      <c r="CF150" s="23" t="e">
        <f ca="1">+'QTR Raw'!AZ65</f>
        <v>#NAME?</v>
      </c>
      <c r="CG150" s="23" t="e">
        <f t="shared" ca="1" si="1234"/>
        <v>#NAME?</v>
      </c>
      <c r="CH150" s="23" t="e">
        <f t="shared" ca="1" si="1187"/>
        <v>#NAME?</v>
      </c>
      <c r="CJ150" s="23" t="e">
        <f ca="1">+'QTR Raw'!BD65</f>
        <v>#NAME?</v>
      </c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Raw'!C53</f>
        <v>#NAME?</v>
      </c>
      <c r="C151" s="23" t="e">
        <f ca="1">'Annual Raw'!D53</f>
        <v>#NAME?</v>
      </c>
      <c r="D151" s="23" t="e">
        <f ca="1">'Annual Raw'!E53</f>
        <v>#NAME?</v>
      </c>
      <c r="E151" s="23" t="e">
        <f ca="1">'Annual Raw'!F53</f>
        <v>#NAME?</v>
      </c>
      <c r="F151" s="23" t="e">
        <f ca="1">'Annual Raw'!G53</f>
        <v>#NAME?</v>
      </c>
      <c r="G151" s="23" t="e">
        <f ca="1">'Annual Raw'!H53</f>
        <v>#NAME?</v>
      </c>
      <c r="H151" s="23" t="e">
        <f ca="1">'Annual Raw'!I53</f>
        <v>#NAME?</v>
      </c>
      <c r="I151" s="23" t="e">
        <f ca="1">'Annual Raw'!J53</f>
        <v>#NAME?</v>
      </c>
      <c r="J151" s="23" t="e">
        <f ca="1">'Annual Raw'!K53</f>
        <v>#NAME?</v>
      </c>
      <c r="K151" s="23" t="e">
        <f ca="1">'Annual Raw'!L53</f>
        <v>#NAME?</v>
      </c>
      <c r="L151" s="23" t="e">
        <f ca="1">'Annual Raw'!M53</f>
        <v>#NAME?</v>
      </c>
      <c r="M151" s="23" t="e">
        <f ca="1">'Annual Raw'!N53</f>
        <v>#NAME?</v>
      </c>
      <c r="N151" s="23" t="e">
        <f ca="1">'Annual Raw'!O53</f>
        <v>#NAME?</v>
      </c>
      <c r="O151" s="23" t="e">
        <f ca="1">'Annual Raw'!P53</f>
        <v>#NAME?</v>
      </c>
      <c r="P151" s="23" t="e">
        <f ca="1">'Annual Raw'!Q53</f>
        <v>#NAME?</v>
      </c>
      <c r="Q151" s="23" t="e">
        <f ca="1">'Annual Raw'!R53</f>
        <v>#NAME?</v>
      </c>
      <c r="R151" s="23" t="e">
        <f ca="1">'Annual Raw'!S53</f>
        <v>#NAME?</v>
      </c>
      <c r="S151" s="23" t="e">
        <f ca="1">'Annual Raw'!T53</f>
        <v>#NAME?</v>
      </c>
      <c r="T151" s="23" t="e">
        <f ca="1">'Annual Raw'!U53</f>
        <v>#NAME?</v>
      </c>
      <c r="U151" s="23" t="e">
        <f ca="1">'Annual Raw'!V53</f>
        <v>#NAME?</v>
      </c>
      <c r="V151" s="23" t="e">
        <f ca="1">'Annual Raw'!W53</f>
        <v>#NAME?</v>
      </c>
      <c r="W151" s="23" t="e">
        <f ca="1">'Annual Raw'!X53</f>
        <v>#NAME?</v>
      </c>
      <c r="X151" s="23" t="e">
        <f ca="1">'Annual Raw'!Y53</f>
        <v>#NAME?</v>
      </c>
      <c r="Y151" s="23" t="e">
        <f ca="1">'Annual Raw'!Z53</f>
        <v>#NAME?</v>
      </c>
      <c r="Z151" s="23" t="e">
        <f ca="1">'Annual Raw'!AA53</f>
        <v>#NAME?</v>
      </c>
      <c r="AA151" s="23" t="e">
        <f ca="1">'Annual Raw'!AB53</f>
        <v>#NAME?</v>
      </c>
      <c r="AB151" s="24">
        <f t="shared" si="1229"/>
        <v>0</v>
      </c>
      <c r="AC151" s="24">
        <f t="shared" si="1230"/>
        <v>0</v>
      </c>
      <c r="AD151" s="24">
        <f t="shared" si="1231"/>
        <v>0</v>
      </c>
      <c r="AE151" s="24">
        <f t="shared" si="1232"/>
        <v>0</v>
      </c>
      <c r="AJ151" s="23" t="e">
        <f ca="1">+'QTR Raw'!D66</f>
        <v>#NAME?</v>
      </c>
      <c r="AK151" s="23" t="e">
        <f t="shared" ca="1" si="1233"/>
        <v>#NAME?</v>
      </c>
      <c r="AL151" s="23" t="e">
        <f ca="1">+'QTR Raw'!F66</f>
        <v>#NAME?</v>
      </c>
      <c r="AM151" s="23" t="e">
        <f t="shared" ca="1" si="1233"/>
        <v>#NAME?</v>
      </c>
      <c r="AN151" s="23" t="e">
        <f ca="1">+'QTR Raw'!H66</f>
        <v>#NAME?</v>
      </c>
      <c r="AO151" s="23" t="e">
        <f t="shared" ca="1" si="1233"/>
        <v>#NAME?</v>
      </c>
      <c r="AP151" s="23" t="e">
        <f ca="1">+'QTR Raw'!J66</f>
        <v>#NAME?</v>
      </c>
      <c r="AQ151" s="23" t="e">
        <f t="shared" ca="1" si="1233"/>
        <v>#NAME?</v>
      </c>
      <c r="AR151" s="23" t="e">
        <f ca="1">+'QTR Raw'!L66</f>
        <v>#NAME?</v>
      </c>
      <c r="AS151" s="23" t="e">
        <f t="shared" ca="1" si="1233"/>
        <v>#NAME?</v>
      </c>
      <c r="AT151" s="23" t="e">
        <f ca="1">+'QTR Raw'!N66</f>
        <v>#NAME?</v>
      </c>
      <c r="AU151" s="23" t="e">
        <f t="shared" ca="1" si="1233"/>
        <v>#NAME?</v>
      </c>
      <c r="AV151" s="23" t="e">
        <f ca="1">+'QTR Raw'!P66</f>
        <v>#NAME?</v>
      </c>
      <c r="AW151" s="23" t="e">
        <f t="shared" ca="1" si="1233"/>
        <v>#NAME?</v>
      </c>
      <c r="AX151" s="23" t="e">
        <f ca="1">+'QTR Raw'!R66</f>
        <v>#NAME?</v>
      </c>
      <c r="AY151" s="23" t="e">
        <f t="shared" ca="1" si="1233"/>
        <v>#NAME?</v>
      </c>
      <c r="AZ151" s="23" t="e">
        <f ca="1">+'QTR Raw'!T66</f>
        <v>#NAME?</v>
      </c>
      <c r="BA151" s="23" t="e">
        <f t="shared" ca="1" si="1233"/>
        <v>#NAME?</v>
      </c>
      <c r="BB151" s="23" t="e">
        <f ca="1">+'QTR Raw'!V66</f>
        <v>#NAME?</v>
      </c>
      <c r="BC151" s="23" t="e">
        <f t="shared" ca="1" si="1233"/>
        <v>#NAME?</v>
      </c>
      <c r="BD151" s="23" t="e">
        <f ca="1">+'QTR Raw'!X66</f>
        <v>#NAME?</v>
      </c>
      <c r="BE151" s="23" t="e">
        <f t="shared" ca="1" si="1233"/>
        <v>#NAME?</v>
      </c>
      <c r="BF151" s="23" t="e">
        <f ca="1">+'QTR Raw'!Z66</f>
        <v>#NAME?</v>
      </c>
      <c r="BG151" s="23" t="e">
        <f t="shared" ca="1" si="1233"/>
        <v>#NAME?</v>
      </c>
      <c r="BH151" s="23" t="e">
        <f ca="1">+'QTR Raw'!AB66</f>
        <v>#NAME?</v>
      </c>
      <c r="BI151" s="23" t="e">
        <f t="shared" ca="1" si="1233"/>
        <v>#NAME?</v>
      </c>
      <c r="BJ151" s="23" t="e">
        <f ca="1">+'QTR Raw'!AD66</f>
        <v>#NAME?</v>
      </c>
      <c r="BK151" s="23" t="e">
        <f t="shared" ca="1" si="1233"/>
        <v>#NAME?</v>
      </c>
      <c r="BL151" s="23" t="e">
        <f ca="1">+'QTR Raw'!AF66</f>
        <v>#NAME?</v>
      </c>
      <c r="BM151" s="23" t="e">
        <f t="shared" ca="1" si="1233"/>
        <v>#NAME?</v>
      </c>
      <c r="BN151" s="23" t="e">
        <f ca="1">+'QTR Raw'!AH66</f>
        <v>#NAME?</v>
      </c>
      <c r="BO151" s="23" t="e">
        <f t="shared" ca="1" si="1233"/>
        <v>#NAME?</v>
      </c>
      <c r="BP151" s="23" t="e">
        <f ca="1">+'QTR Raw'!AJ66</f>
        <v>#NAME?</v>
      </c>
      <c r="BQ151" s="23" t="e">
        <f t="shared" ca="1" si="1233"/>
        <v>#NAME?</v>
      </c>
      <c r="BR151" s="23" t="e">
        <f ca="1">+'QTR Raw'!AL66</f>
        <v>#NAME?</v>
      </c>
      <c r="BS151" s="23" t="e">
        <f t="shared" ca="1" si="1233"/>
        <v>#NAME?</v>
      </c>
      <c r="BT151" s="23" t="e">
        <f ca="1">+'QTR Raw'!AN66</f>
        <v>#NAME?</v>
      </c>
      <c r="BU151" s="23" t="e">
        <f t="shared" ca="1" si="1233"/>
        <v>#NAME?</v>
      </c>
      <c r="BV151" s="23" t="e">
        <f ca="1">+'QTR Raw'!AP66</f>
        <v>#NAME?</v>
      </c>
      <c r="BW151" s="23" t="e">
        <f t="shared" ca="1" si="1233"/>
        <v>#NAME?</v>
      </c>
      <c r="BX151" s="23" t="e">
        <f ca="1">+'QTR Raw'!AR66</f>
        <v>#NAME?</v>
      </c>
      <c r="BY151" s="23" t="e">
        <f t="shared" ca="1" si="1233"/>
        <v>#NAME?</v>
      </c>
      <c r="BZ151" s="23" t="e">
        <f ca="1">+'QTR Raw'!AT66</f>
        <v>#NAME?</v>
      </c>
      <c r="CA151" s="23" t="e">
        <f t="shared" ca="1" si="1233"/>
        <v>#NAME?</v>
      </c>
      <c r="CB151" s="23" t="e">
        <f ca="1">+'QTR Raw'!AV66</f>
        <v>#NAME?</v>
      </c>
      <c r="CC151" s="23" t="e">
        <f t="shared" ca="1" si="1233"/>
        <v>#NAME?</v>
      </c>
      <c r="CD151" s="23" t="e">
        <f ca="1">+'QTR Raw'!AX66</f>
        <v>#NAME?</v>
      </c>
      <c r="CE151" s="23" t="e">
        <f t="shared" ca="1" si="1233"/>
        <v>#NAME?</v>
      </c>
      <c r="CF151" s="23" t="e">
        <f ca="1">+'QTR Raw'!AZ66</f>
        <v>#NAME?</v>
      </c>
      <c r="CG151" s="23" t="e">
        <f t="shared" ca="1" si="1234"/>
        <v>#NAME?</v>
      </c>
      <c r="CH151" s="23" t="e">
        <f t="shared" ca="1" si="1187"/>
        <v>#NAME?</v>
      </c>
      <c r="CJ151" s="23" t="e">
        <f ca="1">+'QTR Raw'!BD66</f>
        <v>#NAME?</v>
      </c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2823.61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29"/>
        <v>#NAME?</v>
      </c>
      <c r="AC152" s="24" t="e">
        <f t="shared" ca="1" si="1230"/>
        <v>#NAME?</v>
      </c>
      <c r="AD152" s="24" t="e">
        <f t="shared" ca="1" si="1231"/>
        <v>#NAME?</v>
      </c>
      <c r="AE152" s="24" t="e">
        <f t="shared" ca="1" si="1232"/>
        <v>#NAME?</v>
      </c>
      <c r="AJ152" s="23" t="e">
        <f ca="1">+'QTR Raw'!D87</f>
        <v>#NAME?</v>
      </c>
      <c r="AK152" s="23" t="e">
        <f t="shared" ca="1" si="1233"/>
        <v>#NAME?</v>
      </c>
      <c r="AL152" s="23" t="e">
        <f ca="1">+'QTR Raw'!F87</f>
        <v>#NAME?</v>
      </c>
      <c r="AM152" s="23" t="e">
        <f t="shared" ca="1" si="1233"/>
        <v>#NAME?</v>
      </c>
      <c r="AN152" s="23" t="e">
        <f ca="1">+'QTR Raw'!H87</f>
        <v>#NAME?</v>
      </c>
      <c r="AO152" s="23" t="e">
        <f t="shared" ca="1" si="1233"/>
        <v>#NAME?</v>
      </c>
      <c r="AP152" s="23" t="e">
        <f ca="1">+'QTR Raw'!J87</f>
        <v>#NAME?</v>
      </c>
      <c r="AQ152" s="23" t="e">
        <f t="shared" ca="1" si="1233"/>
        <v>#NAME?</v>
      </c>
      <c r="AR152" s="23" t="e">
        <f ca="1">+'QTR Raw'!L87</f>
        <v>#NAME?</v>
      </c>
      <c r="AS152" s="23" t="e">
        <f t="shared" ca="1" si="1233"/>
        <v>#NAME?</v>
      </c>
      <c r="AT152" s="23" t="e">
        <f ca="1">+'QTR Raw'!N87</f>
        <v>#NAME?</v>
      </c>
      <c r="AU152" s="23" t="e">
        <f t="shared" ca="1" si="1233"/>
        <v>#NAME?</v>
      </c>
      <c r="AV152" s="23" t="e">
        <f ca="1">+'QTR Raw'!P87</f>
        <v>#NAME?</v>
      </c>
      <c r="AW152" s="23" t="e">
        <f t="shared" ca="1" si="1233"/>
        <v>#NAME?</v>
      </c>
      <c r="AX152" s="23" t="e">
        <f ca="1">+'QTR Raw'!R87</f>
        <v>#NAME?</v>
      </c>
      <c r="AY152" s="23" t="e">
        <f t="shared" ca="1" si="1233"/>
        <v>#NAME?</v>
      </c>
      <c r="AZ152" s="23" t="e">
        <f ca="1">+'QTR Raw'!T87</f>
        <v>#NAME?</v>
      </c>
      <c r="BA152" s="23" t="e">
        <f t="shared" ca="1" si="1233"/>
        <v>#NAME?</v>
      </c>
      <c r="BB152" s="23" t="e">
        <f ca="1">+'QTR Raw'!V87</f>
        <v>#NAME?</v>
      </c>
      <c r="BC152" s="23" t="e">
        <f t="shared" ca="1" si="1233"/>
        <v>#NAME?</v>
      </c>
      <c r="BD152" s="23" t="e">
        <f ca="1">+'QTR Raw'!X87</f>
        <v>#NAME?</v>
      </c>
      <c r="BE152" s="23" t="e">
        <f t="shared" ca="1" si="1233"/>
        <v>#NAME?</v>
      </c>
      <c r="BF152" s="23" t="e">
        <f ca="1">+'QTR Raw'!Z87</f>
        <v>#NAME?</v>
      </c>
      <c r="BG152" s="23" t="e">
        <f t="shared" ca="1" si="1233"/>
        <v>#NAME?</v>
      </c>
      <c r="BH152" s="23" t="e">
        <f ca="1">+'QTR Raw'!AB87</f>
        <v>#NAME?</v>
      </c>
      <c r="BI152" s="23" t="e">
        <f t="shared" ca="1" si="1233"/>
        <v>#NAME?</v>
      </c>
      <c r="BJ152" s="23" t="e">
        <f ca="1">+'QTR Raw'!AD87</f>
        <v>#NAME?</v>
      </c>
      <c r="BK152" s="23" t="e">
        <f t="shared" ca="1" si="1233"/>
        <v>#NAME?</v>
      </c>
      <c r="BL152" s="23" t="e">
        <f ca="1">+'QTR Raw'!AF87</f>
        <v>#NAME?</v>
      </c>
      <c r="BM152" s="23" t="e">
        <f t="shared" ca="1" si="1233"/>
        <v>#NAME?</v>
      </c>
      <c r="BN152" s="23" t="e">
        <f ca="1">+'QTR Raw'!AH87</f>
        <v>#NAME?</v>
      </c>
      <c r="BO152" s="23" t="e">
        <f t="shared" ca="1" si="1233"/>
        <v>#NAME?</v>
      </c>
      <c r="BP152" s="23" t="e">
        <f ca="1">+'QTR Raw'!AJ87</f>
        <v>#NAME?</v>
      </c>
      <c r="BQ152" s="23" t="e">
        <f t="shared" ca="1" si="1233"/>
        <v>#NAME?</v>
      </c>
      <c r="BR152" s="23" t="e">
        <f ca="1">+'QTR Raw'!AL87</f>
        <v>#NAME?</v>
      </c>
      <c r="BS152" s="23" t="e">
        <f t="shared" ca="1" si="1233"/>
        <v>#NAME?</v>
      </c>
      <c r="BT152" s="23" t="e">
        <f ca="1">+'QTR Raw'!AN87</f>
        <v>#NAME?</v>
      </c>
      <c r="BU152" s="23" t="e">
        <f t="shared" ca="1" si="1233"/>
        <v>#NAME?</v>
      </c>
      <c r="BV152" s="23" t="e">
        <f ca="1">+'QTR Raw'!AP87</f>
        <v>#NAME?</v>
      </c>
      <c r="BW152" s="23" t="e">
        <f t="shared" ca="1" si="1233"/>
        <v>#NAME?</v>
      </c>
      <c r="BX152" s="23" t="e">
        <f ca="1">+'QTR Raw'!AR87</f>
        <v>#NAME?</v>
      </c>
      <c r="BY152" s="23" t="e">
        <f t="shared" ca="1" si="1233"/>
        <v>#NAME?</v>
      </c>
      <c r="BZ152" s="23" t="e">
        <f ca="1">+'QTR Raw'!AT87</f>
        <v>#NAME?</v>
      </c>
      <c r="CA152" s="23" t="e">
        <f t="shared" ca="1" si="1233"/>
        <v>#NAME?</v>
      </c>
      <c r="CB152" s="23" t="e">
        <f ca="1">+'QTR Raw'!AV87</f>
        <v>#NAME?</v>
      </c>
      <c r="CC152" s="23" t="e">
        <f t="shared" ca="1" si="1233"/>
        <v>#NAME?</v>
      </c>
      <c r="CD152" s="23" t="e">
        <f ca="1">+'QTR Raw'!AX87</f>
        <v>#NAME?</v>
      </c>
      <c r="CE152" s="23" t="e">
        <f t="shared" ca="1" si="1233"/>
        <v>#NAME?</v>
      </c>
      <c r="CF152" s="23" t="e">
        <f ca="1">+'QTR Raw'!AZ87</f>
        <v>#NAME?</v>
      </c>
      <c r="CG152" s="23" t="e">
        <f t="shared" ca="1" si="1234"/>
        <v>#NAME?</v>
      </c>
      <c r="CH152" s="23">
        <f t="shared" si="1187"/>
        <v>0</v>
      </c>
      <c r="CI152" s="23" t="e">
        <f ca="1">CI10/90*CI184</f>
        <v>#NAME?</v>
      </c>
      <c r="CJ152" s="23" t="e">
        <f ca="1">+'QTR Raw'!BD87</f>
        <v>#NAME?</v>
      </c>
      <c r="CK152" s="23" t="e">
        <f t="shared" ref="CK152:DB152" ca="1" si="1235">CK10/90*CK184</f>
        <v>#NAME?</v>
      </c>
      <c r="CL152" s="23" t="e">
        <f ca="1">+'QTR Raw'!BF87</f>
        <v>#NAME?</v>
      </c>
      <c r="CM152" s="24" t="e">
        <f t="shared" ca="1" si="1235"/>
        <v>#NAME?</v>
      </c>
      <c r="CN152" s="24" t="e">
        <f t="shared" ca="1" si="1235"/>
        <v>#NAME?</v>
      </c>
      <c r="CO152" s="24" t="e">
        <f t="shared" ca="1" si="1235"/>
        <v>#NAME?</v>
      </c>
      <c r="CP152" s="24" t="e">
        <f t="shared" ca="1" si="1235"/>
        <v>#NAME?</v>
      </c>
      <c r="CQ152" s="24" t="e">
        <f t="shared" ca="1" si="1235"/>
        <v>#NAME?</v>
      </c>
      <c r="CR152" s="24" t="e">
        <f t="shared" ca="1" si="1235"/>
        <v>#NAME?</v>
      </c>
      <c r="CS152" s="24" t="e">
        <f t="shared" ca="1" si="1235"/>
        <v>#NAME?</v>
      </c>
      <c r="CT152" s="24" t="e">
        <f t="shared" ca="1" si="1235"/>
        <v>#NAME?</v>
      </c>
      <c r="CU152" s="24" t="e">
        <f t="shared" ca="1" si="1235"/>
        <v>#NAME?</v>
      </c>
      <c r="CV152" s="24" t="e">
        <f t="shared" ca="1" si="1235"/>
        <v>#NAME?</v>
      </c>
      <c r="CW152" s="24" t="e">
        <f t="shared" ca="1" si="1235"/>
        <v>#NAME?</v>
      </c>
      <c r="CX152" s="24" t="e">
        <f t="shared" ca="1" si="1235"/>
        <v>#NAME?</v>
      </c>
      <c r="CY152" s="24" t="e">
        <f t="shared" ca="1" si="1235"/>
        <v>#NAME?</v>
      </c>
      <c r="CZ152" s="24" t="e">
        <f t="shared" ca="1" si="1235"/>
        <v>#NAME?</v>
      </c>
      <c r="DA152" s="24" t="e">
        <f t="shared" ca="1" si="1235"/>
        <v>#NAME?</v>
      </c>
      <c r="DB152" s="24" t="e">
        <f t="shared" ca="1" si="1235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Raw'!C55</f>
        <v>#NAME?</v>
      </c>
      <c r="C153" s="23" t="e">
        <f ca="1">'Annual Raw'!D55</f>
        <v>#NAME?</v>
      </c>
      <c r="D153" s="23" t="e">
        <f ca="1">'Annual Raw'!E55</f>
        <v>#NAME?</v>
      </c>
      <c r="E153" s="23" t="e">
        <f ca="1">'Annual Raw'!F55</f>
        <v>#NAME?</v>
      </c>
      <c r="F153" s="23" t="e">
        <f ca="1">'Annual Raw'!G55</f>
        <v>#NAME?</v>
      </c>
      <c r="G153" s="23" t="e">
        <f ca="1">'Annual Raw'!H55</f>
        <v>#NAME?</v>
      </c>
      <c r="H153" s="23" t="e">
        <f ca="1">'Annual Raw'!I55</f>
        <v>#NAME?</v>
      </c>
      <c r="I153" s="23" t="e">
        <f ca="1">'Annual Raw'!J55</f>
        <v>#NAME?</v>
      </c>
      <c r="J153" s="23" t="e">
        <f ca="1">'Annual Raw'!K55</f>
        <v>#NAME?</v>
      </c>
      <c r="K153" s="23" t="e">
        <f ca="1">'Annual Raw'!L55</f>
        <v>#NAME?</v>
      </c>
      <c r="L153" s="23" t="e">
        <f ca="1">'Annual Raw'!M55</f>
        <v>#NAME?</v>
      </c>
      <c r="M153" s="23" t="e">
        <f ca="1">'Annual Raw'!N55</f>
        <v>#NAME?</v>
      </c>
      <c r="N153" s="23" t="e">
        <f ca="1">'Annual Raw'!O55</f>
        <v>#NAME?</v>
      </c>
      <c r="O153" s="23" t="e">
        <f ca="1">'Annual Raw'!P55</f>
        <v>#NAME?</v>
      </c>
      <c r="P153" s="23" t="e">
        <f ca="1">'Annual Raw'!Q55</f>
        <v>#NAME?</v>
      </c>
      <c r="Q153" s="23" t="e">
        <f ca="1">'Annual Raw'!R55</f>
        <v>#NAME?</v>
      </c>
      <c r="R153" s="23" t="e">
        <f ca="1">'Annual Raw'!S55</f>
        <v>#NAME?</v>
      </c>
      <c r="S153" s="23" t="e">
        <f ca="1">'Annual Raw'!T55</f>
        <v>#NAME?</v>
      </c>
      <c r="T153" s="23" t="e">
        <f ca="1">'Annual Raw'!U55</f>
        <v>#NAME?</v>
      </c>
      <c r="U153" s="23" t="e">
        <f ca="1">'Annual Raw'!V55</f>
        <v>#NAME?</v>
      </c>
      <c r="V153" s="23" t="e">
        <f ca="1">'Annual Raw'!W55</f>
        <v>#NAME?</v>
      </c>
      <c r="W153" s="23" t="e">
        <f ca="1">'Annual Raw'!X55</f>
        <v>#NAME?</v>
      </c>
      <c r="X153" s="23" t="e">
        <f ca="1">'Annual Raw'!Y55</f>
        <v>#NAME?</v>
      </c>
      <c r="Y153" s="23" t="e">
        <f ca="1">'Annual Raw'!Z55</f>
        <v>#NAME?</v>
      </c>
      <c r="Z153" s="23" t="e">
        <f ca="1">'Annual Raw'!AA55</f>
        <v>#NAME?</v>
      </c>
      <c r="AA153" s="23" t="e">
        <f ca="1">'Annual Raw'!AB55</f>
        <v>#NAME?</v>
      </c>
      <c r="AB153" s="24" t="e">
        <f t="shared" ca="1" si="1229"/>
        <v>#NAME?</v>
      </c>
      <c r="AC153" s="24" t="e">
        <f t="shared" ca="1" si="1230"/>
        <v>#NAME?</v>
      </c>
      <c r="AD153" s="24" t="e">
        <f t="shared" ca="1" si="1231"/>
        <v>#NAME?</v>
      </c>
      <c r="AE153" s="24" t="e">
        <f t="shared" ca="1" si="1232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87"/>
        <v>#NAME?</v>
      </c>
      <c r="CI153" s="23" t="e">
        <f ca="1">+CI183*CI10/90</f>
        <v>#NAME?</v>
      </c>
      <c r="CJ153" s="23" t="e">
        <f ca="1">+'QTR Raw'!BD89</f>
        <v>#NAME?</v>
      </c>
      <c r="CK153" s="23" t="e">
        <f t="shared" ref="CK153:DB153" ca="1" si="1236">+CK183*CK10/90</f>
        <v>#NAME?</v>
      </c>
      <c r="CL153" s="23" t="e">
        <f ca="1">+'QTR Raw'!BF89</f>
        <v>#NAME?</v>
      </c>
      <c r="CM153" s="24" t="e">
        <f t="shared" ca="1" si="1236"/>
        <v>#NAME?</v>
      </c>
      <c r="CN153" s="24" t="e">
        <f t="shared" ca="1" si="1236"/>
        <v>#NAME?</v>
      </c>
      <c r="CO153" s="24" t="e">
        <f t="shared" ca="1" si="1236"/>
        <v>#NAME?</v>
      </c>
      <c r="CP153" s="24" t="e">
        <f t="shared" ca="1" si="1236"/>
        <v>#NAME?</v>
      </c>
      <c r="CQ153" s="24" t="e">
        <f t="shared" ca="1" si="1236"/>
        <v>#NAME?</v>
      </c>
      <c r="CR153" s="24" t="e">
        <f t="shared" ca="1" si="1236"/>
        <v>#NAME?</v>
      </c>
      <c r="CS153" s="24" t="e">
        <f t="shared" ca="1" si="1236"/>
        <v>#NAME?</v>
      </c>
      <c r="CT153" s="24" t="e">
        <f t="shared" ca="1" si="1236"/>
        <v>#NAME?</v>
      </c>
      <c r="CU153" s="24" t="e">
        <f t="shared" ca="1" si="1236"/>
        <v>#NAME?</v>
      </c>
      <c r="CV153" s="24" t="e">
        <f t="shared" ca="1" si="1236"/>
        <v>#NAME?</v>
      </c>
      <c r="CW153" s="24" t="e">
        <f t="shared" ca="1" si="1236"/>
        <v>#NAME?</v>
      </c>
      <c r="CX153" s="24" t="e">
        <f t="shared" ca="1" si="1236"/>
        <v>#NAME?</v>
      </c>
      <c r="CY153" s="24" t="e">
        <f t="shared" ca="1" si="1236"/>
        <v>#NAME?</v>
      </c>
      <c r="CZ153" s="24" t="e">
        <f t="shared" ca="1" si="1236"/>
        <v>#NAME?</v>
      </c>
      <c r="DA153" s="24" t="e">
        <f t="shared" ca="1" si="1236"/>
        <v>#NAME?</v>
      </c>
      <c r="DB153" s="24" t="e">
        <f t="shared" ca="1" si="1236"/>
        <v>#NAME?</v>
      </c>
      <c r="DE153" s="123"/>
      <c r="DF153" s="23">
        <v>3159.96</v>
      </c>
    </row>
    <row r="154" spans="1:110" s="23" customFormat="1" outlineLevel="1" x14ac:dyDescent="0.2">
      <c r="A154" s="23" t="s">
        <v>71</v>
      </c>
      <c r="B154" s="23" t="e">
        <f ca="1">'Annual Raw'!C56-Template!B126</f>
        <v>#NAME?</v>
      </c>
      <c r="C154" s="23" t="e">
        <f ca="1">'Annual Raw'!D56-Template!C126</f>
        <v>#NAME?</v>
      </c>
      <c r="D154" s="23" t="e">
        <f ca="1">'Annual Raw'!E56-Template!D126</f>
        <v>#NAME?</v>
      </c>
      <c r="E154" s="23" t="e">
        <f ca="1">'Annual Raw'!F56-Template!E126</f>
        <v>#NAME?</v>
      </c>
      <c r="F154" s="23" t="e">
        <f ca="1">'Annual Raw'!G56-Template!F126</f>
        <v>#NAME?</v>
      </c>
      <c r="G154" s="23" t="e">
        <f ca="1">'Annual Raw'!H56-Template!G126</f>
        <v>#NAME?</v>
      </c>
      <c r="H154" s="23" t="e">
        <f ca="1">'Annual Raw'!I56-Template!H126</f>
        <v>#NAME?</v>
      </c>
      <c r="I154" s="23" t="e">
        <f ca="1">'Annual Raw'!J56-Template!I126</f>
        <v>#NAME?</v>
      </c>
      <c r="J154" s="23" t="e">
        <f ca="1">'Annual Raw'!K56-Template!J126</f>
        <v>#NAME?</v>
      </c>
      <c r="K154" s="23" t="e">
        <f ca="1">'Annual Raw'!L56-Template!K126</f>
        <v>#NAME?</v>
      </c>
      <c r="L154" s="23" t="e">
        <f ca="1">'Annual Raw'!M56-Template!L126</f>
        <v>#NAME?</v>
      </c>
      <c r="M154" s="23" t="e">
        <f ca="1">'Annual Raw'!N56-Template!M126</f>
        <v>#NAME?</v>
      </c>
      <c r="N154" s="23" t="e">
        <f ca="1">'Annual Raw'!O56-Template!N126</f>
        <v>#NAME?</v>
      </c>
      <c r="O154" s="23" t="e">
        <f ca="1">'Annual Raw'!P56-Template!O126</f>
        <v>#NAME?</v>
      </c>
      <c r="P154" s="23" t="e">
        <f ca="1">'Annual Raw'!Q56-Template!P126</f>
        <v>#NAME?</v>
      </c>
      <c r="Q154" s="23" t="e">
        <f ca="1">'Annual Raw'!R56-Template!Q126</f>
        <v>#NAME?</v>
      </c>
      <c r="R154" s="23" t="e">
        <f ca="1">'Annual Raw'!S56-Template!R126</f>
        <v>#NAME?</v>
      </c>
      <c r="S154" s="23" t="e">
        <f ca="1">'Annual Raw'!T56-Template!S126</f>
        <v>#NAME?</v>
      </c>
      <c r="T154" s="23" t="e">
        <f ca="1">'Annual Raw'!U56-Template!T126</f>
        <v>#NAME?</v>
      </c>
      <c r="U154" s="23" t="e">
        <f ca="1">'Annual Raw'!V56-Template!U126</f>
        <v>#NAME?</v>
      </c>
      <c r="V154" s="23" t="e">
        <f ca="1">'Annual Raw'!W56-Template!V126</f>
        <v>#NAME?</v>
      </c>
      <c r="W154" s="23" t="e">
        <f ca="1">'Annual Raw'!X56-Template!W126</f>
        <v>#NAME?</v>
      </c>
      <c r="X154" s="23" t="e">
        <f ca="1">'Annual Raw'!Y56-Template!X126</f>
        <v>#NAME?</v>
      </c>
      <c r="Y154" s="23" t="e">
        <f ca="1">'Annual Raw'!Z56-Template!Y126</f>
        <v>#NAME?</v>
      </c>
      <c r="Z154" s="23" t="e">
        <f ca="1">'Annual Raw'!AA56-Template!Z126</f>
        <v>#NAME?</v>
      </c>
      <c r="AA154" s="23" t="e">
        <f ca="1">'Annual Raw'!AB56-Template!AA126</f>
        <v>#NAME?</v>
      </c>
      <c r="AB154" s="24">
        <f t="shared" si="1229"/>
        <v>0</v>
      </c>
      <c r="AC154" s="24">
        <f t="shared" si="1230"/>
        <v>0</v>
      </c>
      <c r="AD154" s="24">
        <f t="shared" si="1231"/>
        <v>0</v>
      </c>
      <c r="AE154" s="24">
        <f t="shared" si="1232"/>
        <v>0</v>
      </c>
      <c r="AJ154" s="23" t="e">
        <f ca="1">+'QTR Raw'!D91</f>
        <v>#NAME?</v>
      </c>
      <c r="AK154" s="23" t="e">
        <f t="shared" ca="1" si="1233"/>
        <v>#NAME?</v>
      </c>
      <c r="AL154" s="23" t="e">
        <f ca="1">+'QTR Raw'!F91</f>
        <v>#NAME?</v>
      </c>
      <c r="AM154" s="23" t="e">
        <f t="shared" ca="1" si="1233"/>
        <v>#NAME?</v>
      </c>
      <c r="AN154" s="23" t="e">
        <f ca="1">+'QTR Raw'!H91</f>
        <v>#NAME?</v>
      </c>
      <c r="AO154" s="23" t="e">
        <f t="shared" ca="1" si="1233"/>
        <v>#NAME?</v>
      </c>
      <c r="AP154" s="23" t="e">
        <f ca="1">+'QTR Raw'!J91</f>
        <v>#NAME?</v>
      </c>
      <c r="AQ154" s="23" t="e">
        <f t="shared" ca="1" si="1233"/>
        <v>#NAME?</v>
      </c>
      <c r="AR154" s="23" t="e">
        <f ca="1">+'QTR Raw'!L91</f>
        <v>#NAME?</v>
      </c>
      <c r="AS154" s="23" t="e">
        <f t="shared" ca="1" si="1233"/>
        <v>#NAME?</v>
      </c>
      <c r="AT154" s="23" t="e">
        <f ca="1">+'QTR Raw'!N91</f>
        <v>#NAME?</v>
      </c>
      <c r="AU154" s="23" t="e">
        <f t="shared" ca="1" si="1233"/>
        <v>#NAME?</v>
      </c>
      <c r="AV154" s="23" t="e">
        <f ca="1">+'QTR Raw'!P91</f>
        <v>#NAME?</v>
      </c>
      <c r="AW154" s="23" t="e">
        <f t="shared" ca="1" si="1233"/>
        <v>#NAME?</v>
      </c>
      <c r="AX154" s="23" t="e">
        <f ca="1">+'QTR Raw'!R91</f>
        <v>#NAME?</v>
      </c>
      <c r="AY154" s="23" t="e">
        <f t="shared" ca="1" si="1233"/>
        <v>#NAME?</v>
      </c>
      <c r="AZ154" s="23" t="e">
        <f ca="1">+'QTR Raw'!T91</f>
        <v>#NAME?</v>
      </c>
      <c r="BA154" s="23" t="e">
        <f t="shared" ca="1" si="1233"/>
        <v>#NAME?</v>
      </c>
      <c r="BB154" s="23" t="e">
        <f ca="1">+'QTR Raw'!V91</f>
        <v>#NAME?</v>
      </c>
      <c r="BC154" s="23" t="e">
        <f t="shared" ca="1" si="1233"/>
        <v>#NAME?</v>
      </c>
      <c r="BD154" s="23" t="e">
        <f ca="1">+'QTR Raw'!X91</f>
        <v>#NAME?</v>
      </c>
      <c r="BE154" s="23" t="e">
        <f t="shared" ca="1" si="1233"/>
        <v>#NAME?</v>
      </c>
      <c r="BF154" s="23" t="e">
        <f ca="1">+'QTR Raw'!Z91</f>
        <v>#NAME?</v>
      </c>
      <c r="BG154" s="23" t="e">
        <f t="shared" ca="1" si="1233"/>
        <v>#NAME?</v>
      </c>
      <c r="BH154" s="23" t="e">
        <f ca="1">+'QTR Raw'!AB91</f>
        <v>#NAME?</v>
      </c>
      <c r="BI154" s="23" t="e">
        <f t="shared" ca="1" si="1233"/>
        <v>#NAME?</v>
      </c>
      <c r="BJ154" s="23" t="e">
        <f ca="1">+'QTR Raw'!AD91</f>
        <v>#NAME?</v>
      </c>
      <c r="BK154" s="23" t="e">
        <f t="shared" ca="1" si="1233"/>
        <v>#NAME?</v>
      </c>
      <c r="BL154" s="23" t="e">
        <f ca="1">+'QTR Raw'!AF91</f>
        <v>#NAME?</v>
      </c>
      <c r="BM154" s="23" t="e">
        <f t="shared" ca="1" si="1233"/>
        <v>#NAME?</v>
      </c>
      <c r="BN154" s="23" t="e">
        <f ca="1">+'QTR Raw'!AH91</f>
        <v>#NAME?</v>
      </c>
      <c r="BO154" s="23" t="e">
        <f t="shared" ca="1" si="1233"/>
        <v>#NAME?</v>
      </c>
      <c r="BP154" s="23" t="e">
        <f ca="1">+'QTR Raw'!AJ91</f>
        <v>#NAME?</v>
      </c>
      <c r="BQ154" s="23" t="e">
        <f t="shared" ca="1" si="1233"/>
        <v>#NAME?</v>
      </c>
      <c r="BR154" s="23" t="e">
        <f ca="1">+'QTR Raw'!AL91</f>
        <v>#NAME?</v>
      </c>
      <c r="BS154" s="23" t="e">
        <f t="shared" ca="1" si="1233"/>
        <v>#NAME?</v>
      </c>
      <c r="BT154" s="23" t="e">
        <f ca="1">+'QTR Raw'!AN91</f>
        <v>#NAME?</v>
      </c>
      <c r="BU154" s="23" t="e">
        <f t="shared" ca="1" si="1233"/>
        <v>#NAME?</v>
      </c>
      <c r="BV154" s="23" t="e">
        <f ca="1">+'QTR Raw'!AP91</f>
        <v>#NAME?</v>
      </c>
      <c r="BW154" s="23" t="e">
        <f t="shared" ca="1" si="1233"/>
        <v>#NAME?</v>
      </c>
      <c r="BX154" s="23" t="e">
        <f ca="1">+'QTR Raw'!AR91</f>
        <v>#NAME?</v>
      </c>
      <c r="BY154" s="23" t="e">
        <f t="shared" ca="1" si="1233"/>
        <v>#NAME?</v>
      </c>
      <c r="BZ154" s="23" t="e">
        <f ca="1">+'QTR Raw'!AT91</f>
        <v>#NAME?</v>
      </c>
      <c r="CA154" s="23" t="e">
        <f t="shared" ca="1" si="1233"/>
        <v>#NAME?</v>
      </c>
      <c r="CB154" s="23" t="e">
        <f ca="1">+'QTR Raw'!AV91</f>
        <v>#NAME?</v>
      </c>
      <c r="CC154" s="23" t="e">
        <f t="shared" ca="1" si="1233"/>
        <v>#NAME?</v>
      </c>
      <c r="CD154" s="23" t="e">
        <f ca="1">+'QTR Raw'!AX91</f>
        <v>#NAME?</v>
      </c>
      <c r="CE154" s="23" t="e">
        <f t="shared" ca="1" si="1233"/>
        <v>#NAME?</v>
      </c>
      <c r="CF154" s="23" t="e">
        <f ca="1">+'QTR Raw'!AZ91</f>
        <v>#NAME?</v>
      </c>
      <c r="CG154" s="23" t="e">
        <f t="shared" ref="CG154:CG155" ca="1" si="1237">+CF154</f>
        <v>#NAME?</v>
      </c>
      <c r="CH154" s="23" t="e">
        <f t="shared" ca="1" si="1187"/>
        <v>#NAME?</v>
      </c>
      <c r="CJ154" s="23" t="e">
        <f ca="1">+'QTR Raw'!BD91</f>
        <v>#NAME?</v>
      </c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1289.33</v>
      </c>
    </row>
    <row r="155" spans="1:110" s="23" customFormat="1" outlineLevel="1" x14ac:dyDescent="0.2">
      <c r="A155" s="23" t="s">
        <v>72</v>
      </c>
      <c r="B155" s="23" t="e">
        <f ca="1">'Annual Raw'!C58</f>
        <v>#NAME?</v>
      </c>
      <c r="C155" s="23" t="e">
        <f ca="1">'Annual Raw'!D58</f>
        <v>#NAME?</v>
      </c>
      <c r="D155" s="23" t="e">
        <f ca="1">'Annual Raw'!E58</f>
        <v>#NAME?</v>
      </c>
      <c r="E155" s="23" t="e">
        <f ca="1">'Annual Raw'!F58</f>
        <v>#NAME?</v>
      </c>
      <c r="F155" s="23" t="e">
        <f ca="1">'Annual Raw'!G58</f>
        <v>#NAME?</v>
      </c>
      <c r="G155" s="23" t="e">
        <f ca="1">'Annual Raw'!H58</f>
        <v>#NAME?</v>
      </c>
      <c r="H155" s="23" t="e">
        <f ca="1">'Annual Raw'!I58</f>
        <v>#NAME?</v>
      </c>
      <c r="I155" s="23" t="e">
        <f ca="1">'Annual Raw'!J58</f>
        <v>#NAME?</v>
      </c>
      <c r="J155" s="23" t="e">
        <f ca="1">'Annual Raw'!K58</f>
        <v>#NAME?</v>
      </c>
      <c r="K155" s="23" t="e">
        <f ca="1">'Annual Raw'!L58</f>
        <v>#NAME?</v>
      </c>
      <c r="L155" s="23" t="e">
        <f ca="1">'Annual Raw'!M58</f>
        <v>#NAME?</v>
      </c>
      <c r="M155" s="23" t="e">
        <f ca="1">'Annual Raw'!N58</f>
        <v>#NAME?</v>
      </c>
      <c r="N155" s="23" t="e">
        <f ca="1">'Annual Raw'!O58</f>
        <v>#NAME?</v>
      </c>
      <c r="O155" s="23" t="e">
        <f ca="1">'Annual Raw'!P58</f>
        <v>#NAME?</v>
      </c>
      <c r="P155" s="23" t="e">
        <f ca="1">'Annual Raw'!Q58</f>
        <v>#NAME?</v>
      </c>
      <c r="Q155" s="23" t="e">
        <f ca="1">'Annual Raw'!R58</f>
        <v>#NAME?</v>
      </c>
      <c r="R155" s="23" t="e">
        <f ca="1">'Annual Raw'!S58</f>
        <v>#NAME?</v>
      </c>
      <c r="S155" s="23" t="e">
        <f ca="1">'Annual Raw'!T58</f>
        <v>#NAME?</v>
      </c>
      <c r="T155" s="23" t="e">
        <f ca="1">'Annual Raw'!U58</f>
        <v>#NAME?</v>
      </c>
      <c r="U155" s="23" t="e">
        <f ca="1">'Annual Raw'!V58</f>
        <v>#NAME?</v>
      </c>
      <c r="V155" s="23" t="e">
        <f ca="1">'Annual Raw'!W58</f>
        <v>#NAME?</v>
      </c>
      <c r="W155" s="23" t="e">
        <f ca="1">'Annual Raw'!X58</f>
        <v>#NAME?</v>
      </c>
      <c r="X155" s="23" t="e">
        <f ca="1">'Annual Raw'!Y58</f>
        <v>#NAME?</v>
      </c>
      <c r="Y155" s="23" t="e">
        <f ca="1">'Annual Raw'!Z58</f>
        <v>#NAME?</v>
      </c>
      <c r="Z155" s="23" t="e">
        <f ca="1">'Annual Raw'!AA58</f>
        <v>#NAME?</v>
      </c>
      <c r="AA155" s="23" t="e">
        <f ca="1">'Annual Raw'!AB58</f>
        <v>#NAME?</v>
      </c>
      <c r="AB155" s="24">
        <f t="shared" si="1229"/>
        <v>0</v>
      </c>
      <c r="AC155" s="24">
        <f t="shared" si="1230"/>
        <v>0</v>
      </c>
      <c r="AD155" s="24">
        <f t="shared" si="1231"/>
        <v>0</v>
      </c>
      <c r="AE155" s="24">
        <f t="shared" si="1232"/>
        <v>0</v>
      </c>
      <c r="AJ155" s="23" t="e">
        <f ca="1">+'QTR Raw'!D92</f>
        <v>#NAME?</v>
      </c>
      <c r="AK155" s="23" t="e">
        <f t="shared" ca="1" si="1233"/>
        <v>#NAME?</v>
      </c>
      <c r="AL155" s="23" t="e">
        <f ca="1">+'QTR Raw'!F92</f>
        <v>#NAME?</v>
      </c>
      <c r="AM155" s="23" t="e">
        <f t="shared" ca="1" si="1233"/>
        <v>#NAME?</v>
      </c>
      <c r="AN155" s="23" t="e">
        <f ca="1">+'QTR Raw'!H92</f>
        <v>#NAME?</v>
      </c>
      <c r="AO155" s="23" t="e">
        <f t="shared" ca="1" si="1233"/>
        <v>#NAME?</v>
      </c>
      <c r="AP155" s="23" t="e">
        <f ca="1">+'QTR Raw'!J92</f>
        <v>#NAME?</v>
      </c>
      <c r="AQ155" s="23" t="e">
        <f t="shared" ca="1" si="1233"/>
        <v>#NAME?</v>
      </c>
      <c r="AR155" s="23" t="e">
        <f ca="1">+'QTR Raw'!L92</f>
        <v>#NAME?</v>
      </c>
      <c r="AS155" s="23" t="e">
        <f t="shared" ca="1" si="1233"/>
        <v>#NAME?</v>
      </c>
      <c r="AT155" s="23" t="e">
        <f ca="1">+'QTR Raw'!N92</f>
        <v>#NAME?</v>
      </c>
      <c r="AU155" s="23" t="e">
        <f t="shared" ca="1" si="1233"/>
        <v>#NAME?</v>
      </c>
      <c r="AV155" s="23" t="e">
        <f ca="1">+'QTR Raw'!P92</f>
        <v>#NAME?</v>
      </c>
      <c r="AW155" s="23" t="e">
        <f t="shared" ca="1" si="1233"/>
        <v>#NAME?</v>
      </c>
      <c r="AX155" s="23" t="e">
        <f ca="1">+'QTR Raw'!R92</f>
        <v>#NAME?</v>
      </c>
      <c r="AY155" s="23" t="e">
        <f t="shared" ca="1" si="1233"/>
        <v>#NAME?</v>
      </c>
      <c r="AZ155" s="23" t="e">
        <f ca="1">+'QTR Raw'!T92</f>
        <v>#NAME?</v>
      </c>
      <c r="BA155" s="23" t="e">
        <f t="shared" ca="1" si="1233"/>
        <v>#NAME?</v>
      </c>
      <c r="BB155" s="23" t="e">
        <f ca="1">+'QTR Raw'!V92</f>
        <v>#NAME?</v>
      </c>
      <c r="BC155" s="23" t="e">
        <f t="shared" ca="1" si="1233"/>
        <v>#NAME?</v>
      </c>
      <c r="BD155" s="23" t="e">
        <f ca="1">+'QTR Raw'!X92</f>
        <v>#NAME?</v>
      </c>
      <c r="BE155" s="23" t="e">
        <f t="shared" ca="1" si="1233"/>
        <v>#NAME?</v>
      </c>
      <c r="BF155" s="23" t="e">
        <f ca="1">+'QTR Raw'!Z92</f>
        <v>#NAME?</v>
      </c>
      <c r="BG155" s="23" t="e">
        <f t="shared" ca="1" si="1233"/>
        <v>#NAME?</v>
      </c>
      <c r="BH155" s="23" t="e">
        <f ca="1">+'QTR Raw'!AB92</f>
        <v>#NAME?</v>
      </c>
      <c r="BI155" s="23" t="e">
        <f t="shared" ca="1" si="1233"/>
        <v>#NAME?</v>
      </c>
      <c r="BJ155" s="23" t="e">
        <f ca="1">+'QTR Raw'!AD92</f>
        <v>#NAME?</v>
      </c>
      <c r="BK155" s="23" t="e">
        <f t="shared" ca="1" si="1233"/>
        <v>#NAME?</v>
      </c>
      <c r="BL155" s="23" t="e">
        <f ca="1">+'QTR Raw'!AF92</f>
        <v>#NAME?</v>
      </c>
      <c r="BM155" s="23" t="e">
        <f t="shared" ca="1" si="1233"/>
        <v>#NAME?</v>
      </c>
      <c r="BN155" s="23" t="e">
        <f ca="1">+'QTR Raw'!AH92</f>
        <v>#NAME?</v>
      </c>
      <c r="BO155" s="23" t="e">
        <f t="shared" ca="1" si="1233"/>
        <v>#NAME?</v>
      </c>
      <c r="BP155" s="23" t="e">
        <f ca="1">+'QTR Raw'!AJ92</f>
        <v>#NAME?</v>
      </c>
      <c r="BQ155" s="23" t="e">
        <f t="shared" ca="1" si="1233"/>
        <v>#NAME?</v>
      </c>
      <c r="BR155" s="23" t="e">
        <f ca="1">+'QTR Raw'!AL92</f>
        <v>#NAME?</v>
      </c>
      <c r="BS155" s="23" t="e">
        <f t="shared" ca="1" si="1233"/>
        <v>#NAME?</v>
      </c>
      <c r="BT155" s="23" t="e">
        <f ca="1">+'QTR Raw'!AN92</f>
        <v>#NAME?</v>
      </c>
      <c r="BU155" s="23" t="e">
        <f t="shared" ca="1" si="1233"/>
        <v>#NAME?</v>
      </c>
      <c r="BV155" s="23" t="e">
        <f ca="1">+'QTR Raw'!AP92</f>
        <v>#NAME?</v>
      </c>
      <c r="BW155" s="23" t="e">
        <f t="shared" ca="1" si="1233"/>
        <v>#NAME?</v>
      </c>
      <c r="BX155" s="23" t="e">
        <f ca="1">+'QTR Raw'!AR92</f>
        <v>#NAME?</v>
      </c>
      <c r="BY155" s="23" t="e">
        <f t="shared" ca="1" si="1233"/>
        <v>#NAME?</v>
      </c>
      <c r="BZ155" s="23" t="e">
        <f ca="1">+'QTR Raw'!AT92</f>
        <v>#NAME?</v>
      </c>
      <c r="CA155" s="23" t="e">
        <f t="shared" ca="1" si="1233"/>
        <v>#NAME?</v>
      </c>
      <c r="CB155" s="23" t="e">
        <f ca="1">+'QTR Raw'!AV92</f>
        <v>#NAME?</v>
      </c>
      <c r="CC155" s="23" t="e">
        <f t="shared" ca="1" si="1233"/>
        <v>#NAME?</v>
      </c>
      <c r="CD155" s="23" t="e">
        <f ca="1">+'QTR Raw'!AX92</f>
        <v>#NAME?</v>
      </c>
      <c r="CE155" s="23" t="e">
        <f t="shared" ca="1" si="1233"/>
        <v>#NAME?</v>
      </c>
      <c r="CF155" s="23" t="e">
        <f ca="1">+'QTR Raw'!AZ92</f>
        <v>#NAME?</v>
      </c>
      <c r="CG155" s="23" t="e">
        <f t="shared" ca="1" si="1237"/>
        <v>#NAME?</v>
      </c>
      <c r="CH155" s="23" t="e">
        <f t="shared" ca="1" si="1187"/>
        <v>#NAME?</v>
      </c>
      <c r="CJ155" s="23" t="e">
        <f ca="1">+'QTR Raw'!BD92</f>
        <v>#NAME?</v>
      </c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307.79000000000002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38">SUM(C149:C155)</f>
        <v>#NAME?</v>
      </c>
      <c r="D156" s="22" t="e">
        <f t="shared" ca="1" si="1238"/>
        <v>#NAME?</v>
      </c>
      <c r="E156" s="22" t="e">
        <f t="shared" ca="1" si="1238"/>
        <v>#NAME?</v>
      </c>
      <c r="F156" s="22" t="e">
        <f t="shared" ca="1" si="1238"/>
        <v>#NAME?</v>
      </c>
      <c r="G156" s="22" t="e">
        <f t="shared" ca="1" si="1238"/>
        <v>#NAME?</v>
      </c>
      <c r="H156" s="22" t="e">
        <f t="shared" ca="1" si="1238"/>
        <v>#NAME?</v>
      </c>
      <c r="I156" s="22" t="e">
        <f t="shared" ca="1" si="1238"/>
        <v>#NAME?</v>
      </c>
      <c r="J156" s="22" t="e">
        <f t="shared" ca="1" si="1238"/>
        <v>#NAME?</v>
      </c>
      <c r="K156" s="22" t="e">
        <f t="shared" ca="1" si="1238"/>
        <v>#NAME?</v>
      </c>
      <c r="L156" s="22" t="e">
        <f t="shared" ca="1" si="1238"/>
        <v>#NAME?</v>
      </c>
      <c r="M156" s="22" t="e">
        <f t="shared" ca="1" si="1238"/>
        <v>#NAME?</v>
      </c>
      <c r="N156" s="22" t="e">
        <f t="shared" ca="1" si="1238"/>
        <v>#NAME?</v>
      </c>
      <c r="O156" s="22" t="e">
        <f t="shared" ca="1" si="1238"/>
        <v>#NAME?</v>
      </c>
      <c r="P156" s="22" t="e">
        <f t="shared" ca="1" si="1238"/>
        <v>#NAME?</v>
      </c>
      <c r="Q156" s="22" t="e">
        <f t="shared" ca="1" si="1238"/>
        <v>#NAME?</v>
      </c>
      <c r="R156" s="22" t="e">
        <f t="shared" ca="1" si="1238"/>
        <v>#NAME?</v>
      </c>
      <c r="S156" s="22" t="e">
        <f t="shared" ca="1" si="1238"/>
        <v>#NAME?</v>
      </c>
      <c r="T156" s="22" t="e">
        <f t="shared" ca="1" si="1238"/>
        <v>#NAME?</v>
      </c>
      <c r="U156" s="22" t="e">
        <f t="shared" ca="1" si="1238"/>
        <v>#NAME?</v>
      </c>
      <c r="V156" s="22" t="e">
        <f t="shared" ca="1" si="1238"/>
        <v>#NAME?</v>
      </c>
      <c r="W156" s="22" t="e">
        <f t="shared" ref="W156" ca="1" si="1239">SUM(W149:W155)</f>
        <v>#NAME?</v>
      </c>
      <c r="X156" s="22" t="e">
        <f t="shared" ref="X156:Y156" ca="1" si="1240">SUM(X149:X155)</f>
        <v>#NAME?</v>
      </c>
      <c r="Y156" s="22" t="e">
        <f t="shared" ca="1" si="1240"/>
        <v>#NAME?</v>
      </c>
      <c r="Z156" s="22" t="e">
        <f t="shared" ref="Z156:AA156" ca="1" si="1241">SUM(Z149:Z155)</f>
        <v>#NAME?</v>
      </c>
      <c r="AA156" s="22" t="e">
        <f t="shared" ca="1" si="1241"/>
        <v>#NAME?</v>
      </c>
      <c r="AB156" s="21" t="e">
        <f t="shared" ref="AA156:AD156" ca="1" si="1242">SUM(AB149:AB155)</f>
        <v>#NAME?</v>
      </c>
      <c r="AC156" s="21" t="e">
        <f t="shared" ca="1" si="1242"/>
        <v>#NAME?</v>
      </c>
      <c r="AD156" s="21" t="e">
        <f t="shared" ca="1" si="1242"/>
        <v>#NAME?</v>
      </c>
      <c r="AE156" s="21" t="e">
        <f t="shared" ref="AE156" ca="1" si="1243">SUM(AE149:AE155)</f>
        <v>#NAME?</v>
      </c>
      <c r="AJ156" s="22" t="e">
        <f t="shared" ref="AJ156" ca="1" si="1244">SUM(AJ149:AJ155)</f>
        <v>#NAME?</v>
      </c>
      <c r="AK156" s="22" t="e">
        <f t="shared" ref="AK156" ca="1" si="1245">SUM(AK149:AK155)</f>
        <v>#NAME?</v>
      </c>
      <c r="AL156" s="22" t="e">
        <f t="shared" ref="AL156:AM156" ca="1" si="1246">SUM(AL149:AL155)</f>
        <v>#NAME?</v>
      </c>
      <c r="AM156" s="22" t="e">
        <f t="shared" ca="1" si="1246"/>
        <v>#NAME?</v>
      </c>
      <c r="AN156" s="22" t="e">
        <f t="shared" ref="AN156:AO156" ca="1" si="1247">SUM(AN149:AN155)</f>
        <v>#NAME?</v>
      </c>
      <c r="AO156" s="22" t="e">
        <f t="shared" ca="1" si="1247"/>
        <v>#NAME?</v>
      </c>
      <c r="AP156" s="22" t="e">
        <f t="shared" ref="AP156:CE156" ca="1" si="1248">SUM(AP149:AP155)</f>
        <v>#NAME?</v>
      </c>
      <c r="AQ156" s="22" t="e">
        <f t="shared" ca="1" si="1248"/>
        <v>#NAME?</v>
      </c>
      <c r="AR156" s="22" t="e">
        <f t="shared" ca="1" si="1248"/>
        <v>#NAME?</v>
      </c>
      <c r="AS156" s="22" t="e">
        <f t="shared" ca="1" si="1248"/>
        <v>#NAME?</v>
      </c>
      <c r="AT156" s="22" t="e">
        <f t="shared" ca="1" si="1248"/>
        <v>#NAME?</v>
      </c>
      <c r="AU156" s="22" t="e">
        <f t="shared" ca="1" si="1248"/>
        <v>#NAME?</v>
      </c>
      <c r="AV156" s="22" t="e">
        <f t="shared" ca="1" si="1248"/>
        <v>#NAME?</v>
      </c>
      <c r="AW156" s="22" t="e">
        <f t="shared" ca="1" si="1248"/>
        <v>#NAME?</v>
      </c>
      <c r="AX156" s="22" t="e">
        <f t="shared" ca="1" si="1248"/>
        <v>#NAME?</v>
      </c>
      <c r="AY156" s="22" t="e">
        <f t="shared" ca="1" si="1248"/>
        <v>#NAME?</v>
      </c>
      <c r="AZ156" s="22" t="e">
        <f t="shared" ca="1" si="1248"/>
        <v>#NAME?</v>
      </c>
      <c r="BA156" s="22" t="e">
        <f t="shared" ca="1" si="1248"/>
        <v>#NAME?</v>
      </c>
      <c r="BB156" s="22" t="e">
        <f t="shared" ca="1" si="1248"/>
        <v>#NAME?</v>
      </c>
      <c r="BC156" s="22" t="e">
        <f t="shared" ca="1" si="1248"/>
        <v>#NAME?</v>
      </c>
      <c r="BD156" s="22" t="e">
        <f t="shared" ca="1" si="1248"/>
        <v>#NAME?</v>
      </c>
      <c r="BE156" s="22" t="e">
        <f t="shared" ca="1" si="1248"/>
        <v>#NAME?</v>
      </c>
      <c r="BF156" s="22" t="e">
        <f t="shared" ca="1" si="1248"/>
        <v>#NAME?</v>
      </c>
      <c r="BG156" s="22" t="e">
        <f t="shared" ca="1" si="1248"/>
        <v>#NAME?</v>
      </c>
      <c r="BH156" s="22" t="e">
        <f t="shared" ref="BH156" ca="1" si="1249">SUM(BH149:BH155)</f>
        <v>#NAME?</v>
      </c>
      <c r="BI156" s="22" t="e">
        <f t="shared" ca="1" si="1248"/>
        <v>#NAME?</v>
      </c>
      <c r="BJ156" s="22" t="e">
        <f t="shared" ca="1" si="1248"/>
        <v>#NAME?</v>
      </c>
      <c r="BK156" s="22" t="e">
        <f t="shared" ca="1" si="1248"/>
        <v>#NAME?</v>
      </c>
      <c r="BL156" s="22" t="e">
        <f t="shared" ca="1" si="1248"/>
        <v>#NAME?</v>
      </c>
      <c r="BM156" s="22" t="e">
        <f t="shared" ca="1" si="1248"/>
        <v>#NAME?</v>
      </c>
      <c r="BN156" s="22" t="e">
        <f t="shared" ca="1" si="1248"/>
        <v>#NAME?</v>
      </c>
      <c r="BO156" s="22" t="e">
        <f t="shared" ca="1" si="1248"/>
        <v>#NAME?</v>
      </c>
      <c r="BP156" s="22" t="e">
        <f t="shared" ca="1" si="1248"/>
        <v>#NAME?</v>
      </c>
      <c r="BQ156" s="22" t="e">
        <f t="shared" ca="1" si="1248"/>
        <v>#NAME?</v>
      </c>
      <c r="BR156" s="22" t="e">
        <f t="shared" ca="1" si="1248"/>
        <v>#NAME?</v>
      </c>
      <c r="BS156" s="22" t="e">
        <f t="shared" ca="1" si="1248"/>
        <v>#NAME?</v>
      </c>
      <c r="BT156" s="22" t="e">
        <f t="shared" ca="1" si="1248"/>
        <v>#NAME?</v>
      </c>
      <c r="BU156" s="22" t="e">
        <f t="shared" ca="1" si="1248"/>
        <v>#NAME?</v>
      </c>
      <c r="BV156" s="22" t="e">
        <f t="shared" ca="1" si="1248"/>
        <v>#NAME?</v>
      </c>
      <c r="BW156" s="22" t="e">
        <f t="shared" ca="1" si="1248"/>
        <v>#NAME?</v>
      </c>
      <c r="BX156" s="22" t="e">
        <f t="shared" ca="1" si="1248"/>
        <v>#NAME?</v>
      </c>
      <c r="BY156" s="22" t="e">
        <f t="shared" ca="1" si="1248"/>
        <v>#NAME?</v>
      </c>
      <c r="BZ156" s="22" t="e">
        <f t="shared" ca="1" si="1248"/>
        <v>#NAME?</v>
      </c>
      <c r="CA156" s="22" t="e">
        <f t="shared" ca="1" si="1248"/>
        <v>#NAME?</v>
      </c>
      <c r="CB156" s="22" t="e">
        <f t="shared" ca="1" si="1248"/>
        <v>#NAME?</v>
      </c>
      <c r="CC156" s="22" t="e">
        <f t="shared" ca="1" si="1248"/>
        <v>#NAME?</v>
      </c>
      <c r="CD156" s="22" t="e">
        <f t="shared" ca="1" si="1248"/>
        <v>#NAME?</v>
      </c>
      <c r="CE156" s="22" t="e">
        <f t="shared" ca="1" si="1248"/>
        <v>#NAME?</v>
      </c>
      <c r="CF156" s="22" t="e">
        <f t="shared" ref="CF156:CG156" ca="1" si="1250">SUM(CF149:CF155)</f>
        <v>#NAME?</v>
      </c>
      <c r="CG156" s="22" t="e">
        <f t="shared" ca="1" si="1250"/>
        <v>#NAME?</v>
      </c>
      <c r="CH156" s="22" t="e">
        <f t="shared" ref="CH156:CI156" ca="1" si="1251">SUM(CH149:CH155)</f>
        <v>#NAME?</v>
      </c>
      <c r="CI156" s="22" t="e">
        <f t="shared" ca="1" si="1251"/>
        <v>#NAME?</v>
      </c>
      <c r="CJ156" s="22" t="e">
        <f t="shared" ref="CJ156:DB156" ca="1" si="1252">SUM(CJ149:CJ155)</f>
        <v>#NAME?</v>
      </c>
      <c r="CK156" s="22" t="e">
        <f t="shared" ca="1" si="1252"/>
        <v>#NAME?</v>
      </c>
      <c r="CL156" s="22" t="e">
        <f t="shared" ref="CL156" ca="1" si="1253">SUM(CL149:CL155)</f>
        <v>#NAME?</v>
      </c>
      <c r="CM156" s="21" t="e">
        <f t="shared" ca="1" si="1252"/>
        <v>#NAME?</v>
      </c>
      <c r="CN156" s="21" t="e">
        <f t="shared" ca="1" si="1252"/>
        <v>#NAME?</v>
      </c>
      <c r="CO156" s="21" t="e">
        <f t="shared" ca="1" si="1252"/>
        <v>#NAME?</v>
      </c>
      <c r="CP156" s="21" t="e">
        <f t="shared" ca="1" si="1252"/>
        <v>#NAME?</v>
      </c>
      <c r="CQ156" s="21" t="e">
        <f t="shared" ca="1" si="1252"/>
        <v>#NAME?</v>
      </c>
      <c r="CR156" s="21" t="e">
        <f t="shared" ca="1" si="1252"/>
        <v>#NAME?</v>
      </c>
      <c r="CS156" s="21" t="e">
        <f t="shared" ca="1" si="1252"/>
        <v>#NAME?</v>
      </c>
      <c r="CT156" s="21" t="e">
        <f t="shared" ca="1" si="1252"/>
        <v>#NAME?</v>
      </c>
      <c r="CU156" s="21" t="e">
        <f t="shared" ca="1" si="1252"/>
        <v>#NAME?</v>
      </c>
      <c r="CV156" s="21" t="e">
        <f t="shared" ca="1" si="1252"/>
        <v>#NAME?</v>
      </c>
      <c r="CW156" s="21" t="e">
        <f t="shared" ca="1" si="1252"/>
        <v>#NAME?</v>
      </c>
      <c r="CX156" s="21" t="e">
        <f t="shared" ca="1" si="1252"/>
        <v>#NAME?</v>
      </c>
      <c r="CY156" s="21" t="e">
        <f t="shared" ca="1" si="1252"/>
        <v>#NAME?</v>
      </c>
      <c r="CZ156" s="21" t="e">
        <f t="shared" ca="1" si="1252"/>
        <v>#NAME?</v>
      </c>
      <c r="DA156" s="21" t="e">
        <f t="shared" ca="1" si="1252"/>
        <v>#NAME?</v>
      </c>
      <c r="DB156" s="21" t="e">
        <f t="shared" ca="1" si="1252"/>
        <v>#NAME?</v>
      </c>
      <c r="DE156" s="126"/>
      <c r="DF156" s="22">
        <v>7936.95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4">C148-C156</f>
        <v>#NAME?</v>
      </c>
      <c r="D157" s="22" t="e">
        <f t="shared" ca="1" si="1254"/>
        <v>#NAME?</v>
      </c>
      <c r="E157" s="22" t="e">
        <f t="shared" ca="1" si="1254"/>
        <v>#NAME?</v>
      </c>
      <c r="F157" s="22" t="e">
        <f t="shared" ca="1" si="1254"/>
        <v>#NAME?</v>
      </c>
      <c r="G157" s="22" t="e">
        <f t="shared" ca="1" si="1254"/>
        <v>#NAME?</v>
      </c>
      <c r="H157" s="22" t="e">
        <f t="shared" ca="1" si="1254"/>
        <v>#NAME?</v>
      </c>
      <c r="I157" s="22" t="e">
        <f t="shared" ca="1" si="1254"/>
        <v>#NAME?</v>
      </c>
      <c r="J157" s="22" t="e">
        <f t="shared" ca="1" si="1254"/>
        <v>#NAME?</v>
      </c>
      <c r="K157" s="22" t="e">
        <f t="shared" ca="1" si="1254"/>
        <v>#NAME?</v>
      </c>
      <c r="L157" s="22" t="e">
        <f t="shared" ca="1" si="1254"/>
        <v>#NAME?</v>
      </c>
      <c r="M157" s="22" t="e">
        <f t="shared" ca="1" si="1254"/>
        <v>#NAME?</v>
      </c>
      <c r="N157" s="22" t="e">
        <f t="shared" ca="1" si="1254"/>
        <v>#NAME?</v>
      </c>
      <c r="O157" s="22" t="e">
        <f t="shared" ca="1" si="1254"/>
        <v>#NAME?</v>
      </c>
      <c r="P157" s="22" t="e">
        <f t="shared" ca="1" si="1254"/>
        <v>#NAME?</v>
      </c>
      <c r="Q157" s="22" t="e">
        <f t="shared" ca="1" si="1254"/>
        <v>#NAME?</v>
      </c>
      <c r="R157" s="22" t="e">
        <f t="shared" ca="1" si="1254"/>
        <v>#NAME?</v>
      </c>
      <c r="S157" s="22" t="e">
        <f t="shared" ca="1" si="1254"/>
        <v>#NAME?</v>
      </c>
      <c r="T157" s="22" t="e">
        <f t="shared" ca="1" si="1254"/>
        <v>#NAME?</v>
      </c>
      <c r="U157" s="22" t="e">
        <f t="shared" ca="1" si="1254"/>
        <v>#NAME?</v>
      </c>
      <c r="V157" s="22" t="e">
        <f t="shared" ca="1" si="1254"/>
        <v>#NAME?</v>
      </c>
      <c r="W157" s="22" t="e">
        <f t="shared" ref="W157" ca="1" si="1255">W148-W156</f>
        <v>#NAME?</v>
      </c>
      <c r="X157" s="22" t="e">
        <f t="shared" ref="X157:Y157" ca="1" si="1256">X148-X156</f>
        <v>#NAME?</v>
      </c>
      <c r="Y157" s="22" t="e">
        <f t="shared" ca="1" si="1256"/>
        <v>#NAME?</v>
      </c>
      <c r="Z157" s="22" t="e">
        <f t="shared" ref="Z157:AA157" ca="1" si="1257">Z148-Z156</f>
        <v>#NAME?</v>
      </c>
      <c r="AA157" s="22" t="e">
        <f t="shared" ca="1" si="1257"/>
        <v>#NAME?</v>
      </c>
      <c r="AB157" s="21" t="e">
        <f t="shared" ref="AA157:AD157" ca="1" si="1258">AB148-AB156</f>
        <v>#NAME?</v>
      </c>
      <c r="AC157" s="21" t="e">
        <f t="shared" ca="1" si="1258"/>
        <v>#NAME?</v>
      </c>
      <c r="AD157" s="21" t="e">
        <f t="shared" ca="1" si="1258"/>
        <v>#NAME?</v>
      </c>
      <c r="AE157" s="21" t="e">
        <f t="shared" ref="AE157" ca="1" si="1259">AE148-AE156</f>
        <v>#NAME?</v>
      </c>
      <c r="AJ157" s="22" t="e">
        <f t="shared" ref="AJ157" ca="1" si="1260">AJ148-AJ156</f>
        <v>#NAME?</v>
      </c>
      <c r="AK157" s="22" t="e">
        <f t="shared" ref="AK157" ca="1" si="1261">AK148-AK156</f>
        <v>#NAME?</v>
      </c>
      <c r="AL157" s="22" t="e">
        <f t="shared" ref="AL157:AM157" ca="1" si="1262">AL148-AL156</f>
        <v>#NAME?</v>
      </c>
      <c r="AM157" s="22" t="e">
        <f t="shared" ca="1" si="1262"/>
        <v>#NAME?</v>
      </c>
      <c r="AN157" s="22" t="e">
        <f t="shared" ref="AN157:AO157" ca="1" si="1263">AN148-AN156</f>
        <v>#NAME?</v>
      </c>
      <c r="AO157" s="22" t="e">
        <f t="shared" ca="1" si="1263"/>
        <v>#NAME?</v>
      </c>
      <c r="AP157" s="22" t="e">
        <f t="shared" ref="AP157:CE157" ca="1" si="1264">AP148-AP156</f>
        <v>#NAME?</v>
      </c>
      <c r="AQ157" s="22" t="e">
        <f t="shared" ca="1" si="1264"/>
        <v>#NAME?</v>
      </c>
      <c r="AR157" s="22" t="e">
        <f t="shared" ca="1" si="1264"/>
        <v>#NAME?</v>
      </c>
      <c r="AS157" s="22" t="e">
        <f t="shared" ca="1" si="1264"/>
        <v>#NAME?</v>
      </c>
      <c r="AT157" s="22" t="e">
        <f t="shared" ca="1" si="1264"/>
        <v>#NAME?</v>
      </c>
      <c r="AU157" s="22" t="e">
        <f t="shared" ca="1" si="1264"/>
        <v>#NAME?</v>
      </c>
      <c r="AV157" s="22" t="e">
        <f t="shared" ca="1" si="1264"/>
        <v>#NAME?</v>
      </c>
      <c r="AW157" s="22" t="e">
        <f t="shared" ca="1" si="1264"/>
        <v>#NAME?</v>
      </c>
      <c r="AX157" s="22" t="e">
        <f t="shared" ca="1" si="1264"/>
        <v>#NAME?</v>
      </c>
      <c r="AY157" s="22" t="e">
        <f t="shared" ca="1" si="1264"/>
        <v>#NAME?</v>
      </c>
      <c r="AZ157" s="22" t="e">
        <f t="shared" ca="1" si="1264"/>
        <v>#NAME?</v>
      </c>
      <c r="BA157" s="22" t="e">
        <f t="shared" ca="1" si="1264"/>
        <v>#NAME?</v>
      </c>
      <c r="BB157" s="22" t="e">
        <f t="shared" ca="1" si="1264"/>
        <v>#NAME?</v>
      </c>
      <c r="BC157" s="22" t="e">
        <f t="shared" ca="1" si="1264"/>
        <v>#NAME?</v>
      </c>
      <c r="BD157" s="22" t="e">
        <f t="shared" ca="1" si="1264"/>
        <v>#NAME?</v>
      </c>
      <c r="BE157" s="22" t="e">
        <f t="shared" ca="1" si="1264"/>
        <v>#NAME?</v>
      </c>
      <c r="BF157" s="22" t="e">
        <f t="shared" ca="1" si="1264"/>
        <v>#NAME?</v>
      </c>
      <c r="BG157" s="22" t="e">
        <f t="shared" ca="1" si="1264"/>
        <v>#NAME?</v>
      </c>
      <c r="BH157" s="22" t="e">
        <f t="shared" ref="BH157" ca="1" si="1265">BH148-BH156</f>
        <v>#NAME?</v>
      </c>
      <c r="BI157" s="22" t="e">
        <f t="shared" ca="1" si="1264"/>
        <v>#NAME?</v>
      </c>
      <c r="BJ157" s="22" t="e">
        <f t="shared" ca="1" si="1264"/>
        <v>#NAME?</v>
      </c>
      <c r="BK157" s="22" t="e">
        <f t="shared" ca="1" si="1264"/>
        <v>#NAME?</v>
      </c>
      <c r="BL157" s="22" t="e">
        <f t="shared" ca="1" si="1264"/>
        <v>#NAME?</v>
      </c>
      <c r="BM157" s="22" t="e">
        <f t="shared" ca="1" si="1264"/>
        <v>#NAME?</v>
      </c>
      <c r="BN157" s="22" t="e">
        <f t="shared" ca="1" si="1264"/>
        <v>#NAME?</v>
      </c>
      <c r="BO157" s="22" t="e">
        <f t="shared" ca="1" si="1264"/>
        <v>#NAME?</v>
      </c>
      <c r="BP157" s="22" t="e">
        <f t="shared" ca="1" si="1264"/>
        <v>#NAME?</v>
      </c>
      <c r="BQ157" s="22" t="e">
        <f t="shared" ca="1" si="1264"/>
        <v>#NAME?</v>
      </c>
      <c r="BR157" s="22" t="e">
        <f t="shared" ca="1" si="1264"/>
        <v>#NAME?</v>
      </c>
      <c r="BS157" s="22" t="e">
        <f t="shared" ca="1" si="1264"/>
        <v>#NAME?</v>
      </c>
      <c r="BT157" s="22" t="e">
        <f t="shared" ca="1" si="1264"/>
        <v>#NAME?</v>
      </c>
      <c r="BU157" s="22" t="e">
        <f t="shared" ca="1" si="1264"/>
        <v>#NAME?</v>
      </c>
      <c r="BV157" s="22" t="e">
        <f t="shared" ca="1" si="1264"/>
        <v>#NAME?</v>
      </c>
      <c r="BW157" s="22" t="e">
        <f t="shared" ca="1" si="1264"/>
        <v>#NAME?</v>
      </c>
      <c r="BX157" s="22" t="e">
        <f t="shared" ca="1" si="1264"/>
        <v>#NAME?</v>
      </c>
      <c r="BY157" s="22" t="e">
        <f t="shared" ca="1" si="1264"/>
        <v>#NAME?</v>
      </c>
      <c r="BZ157" s="22" t="e">
        <f t="shared" ca="1" si="1264"/>
        <v>#NAME?</v>
      </c>
      <c r="CA157" s="22" t="e">
        <f t="shared" ca="1" si="1264"/>
        <v>#NAME?</v>
      </c>
      <c r="CB157" s="22" t="e">
        <f t="shared" ca="1" si="1264"/>
        <v>#NAME?</v>
      </c>
      <c r="CC157" s="22" t="e">
        <f t="shared" ca="1" si="1264"/>
        <v>#NAME?</v>
      </c>
      <c r="CD157" s="22" t="e">
        <f t="shared" ca="1" si="1264"/>
        <v>#NAME?</v>
      </c>
      <c r="CE157" s="22" t="e">
        <f t="shared" ca="1" si="1264"/>
        <v>#NAME?</v>
      </c>
      <c r="CF157" s="22" t="e">
        <f t="shared" ref="CF157:CG157" ca="1" si="1266">CF148-CF156</f>
        <v>#NAME?</v>
      </c>
      <c r="CG157" s="22" t="e">
        <f t="shared" ca="1" si="1266"/>
        <v>#NAME?</v>
      </c>
      <c r="CH157" s="22" t="e">
        <f t="shared" ref="CH157:CI157" ca="1" si="1267">CH148-CH156</f>
        <v>#NAME?</v>
      </c>
      <c r="CI157" s="22" t="e">
        <f t="shared" ca="1" si="1267"/>
        <v>#NAME?</v>
      </c>
      <c r="CJ157" s="22" t="e">
        <f t="shared" ref="CJ157:DB157" ca="1" si="1268">CJ148-CJ156</f>
        <v>#NAME?</v>
      </c>
      <c r="CK157" s="22" t="e">
        <f t="shared" ca="1" si="1268"/>
        <v>#NAME?</v>
      </c>
      <c r="CL157" s="22" t="e">
        <f t="shared" ref="CL157" ca="1" si="1269">CL148-CL156</f>
        <v>#NAME?</v>
      </c>
      <c r="CM157" s="21" t="e">
        <f t="shared" ca="1" si="1268"/>
        <v>#NAME?</v>
      </c>
      <c r="CN157" s="21" t="e">
        <f t="shared" ca="1" si="1268"/>
        <v>#NAME?</v>
      </c>
      <c r="CO157" s="21" t="e">
        <f t="shared" ca="1" si="1268"/>
        <v>#NAME?</v>
      </c>
      <c r="CP157" s="21" t="e">
        <f t="shared" ca="1" si="1268"/>
        <v>#NAME?</v>
      </c>
      <c r="CQ157" s="21" t="e">
        <f t="shared" ca="1" si="1268"/>
        <v>#NAME?</v>
      </c>
      <c r="CR157" s="21" t="e">
        <f t="shared" ca="1" si="1268"/>
        <v>#NAME?</v>
      </c>
      <c r="CS157" s="21" t="e">
        <f t="shared" ca="1" si="1268"/>
        <v>#NAME?</v>
      </c>
      <c r="CT157" s="21" t="e">
        <f t="shared" ca="1" si="1268"/>
        <v>#NAME?</v>
      </c>
      <c r="CU157" s="21" t="e">
        <f t="shared" ca="1" si="1268"/>
        <v>#NAME?</v>
      </c>
      <c r="CV157" s="21" t="e">
        <f t="shared" ca="1" si="1268"/>
        <v>#NAME?</v>
      </c>
      <c r="CW157" s="21" t="e">
        <f t="shared" ca="1" si="1268"/>
        <v>#NAME?</v>
      </c>
      <c r="CX157" s="21" t="e">
        <f t="shared" ca="1" si="1268"/>
        <v>#NAME?</v>
      </c>
      <c r="CY157" s="21" t="e">
        <f t="shared" ca="1" si="1268"/>
        <v>#NAME?</v>
      </c>
      <c r="CZ157" s="21" t="e">
        <f t="shared" ca="1" si="1268"/>
        <v>#NAME?</v>
      </c>
      <c r="DA157" s="21" t="e">
        <f t="shared" ca="1" si="1268"/>
        <v>#NAME?</v>
      </c>
      <c r="DB157" s="21" t="e">
        <f t="shared" ca="1" si="1268"/>
        <v>#NAME?</v>
      </c>
      <c r="DE157" s="126"/>
      <c r="DF157" s="22">
        <v>-2880.76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Raw'!C76</f>
        <v>#NAME?</v>
      </c>
      <c r="C159" s="23" t="e">
        <f ca="1">'Annual Raw'!D76</f>
        <v>#NAME?</v>
      </c>
      <c r="D159" s="23" t="e">
        <f ca="1">'Annual Raw'!E76</f>
        <v>#NAME?</v>
      </c>
      <c r="E159" s="23" t="e">
        <f ca="1">'Annual Raw'!F76</f>
        <v>#NAME?</v>
      </c>
      <c r="F159" s="23" t="e">
        <f ca="1">'Annual Raw'!G76</f>
        <v>#NAME?</v>
      </c>
      <c r="G159" s="23" t="e">
        <f ca="1">'Annual Raw'!H76</f>
        <v>#NAME?</v>
      </c>
      <c r="H159" s="23" t="e">
        <f ca="1">'Annual Raw'!I76</f>
        <v>#NAME?</v>
      </c>
      <c r="I159" s="23" t="e">
        <f ca="1">'Annual Raw'!J76</f>
        <v>#NAME?</v>
      </c>
      <c r="J159" s="23" t="e">
        <f ca="1">'Annual Raw'!K76</f>
        <v>#NAME?</v>
      </c>
      <c r="K159" s="23" t="e">
        <f ca="1">'Annual Raw'!L76</f>
        <v>#NAME?</v>
      </c>
      <c r="L159" s="23" t="e">
        <f ca="1">'Annual Raw'!M76</f>
        <v>#NAME?</v>
      </c>
      <c r="M159" s="23" t="e">
        <f ca="1">'Annual Raw'!N76</f>
        <v>#NAME?</v>
      </c>
      <c r="N159" s="23" t="e">
        <f ca="1">'Annual Raw'!O76</f>
        <v>#NAME?</v>
      </c>
      <c r="O159" s="23" t="e">
        <f ca="1">'Annual Raw'!P76</f>
        <v>#NAME?</v>
      </c>
      <c r="P159" s="23" t="e">
        <f ca="1">'Annual Raw'!Q76</f>
        <v>#NAME?</v>
      </c>
      <c r="Q159" s="23" t="e">
        <f ca="1">'Annual Raw'!R76</f>
        <v>#NAME?</v>
      </c>
      <c r="R159" s="23" t="e">
        <f ca="1">'Annual Raw'!S76</f>
        <v>#NAME?</v>
      </c>
      <c r="S159" s="23" t="e">
        <f ca="1">'Annual Raw'!T76</f>
        <v>#NAME?</v>
      </c>
      <c r="T159" s="23" t="e">
        <f ca="1">'Annual Raw'!U76</f>
        <v>#NAME?</v>
      </c>
      <c r="U159" s="23" t="e">
        <f ca="1">'Annual Raw'!V76</f>
        <v>#NAME?</v>
      </c>
      <c r="V159" s="23" t="e">
        <f ca="1">'Annual Raw'!W76</f>
        <v>#NAME?</v>
      </c>
      <c r="W159" s="23" t="e">
        <f ca="1">'Annual Raw'!X76</f>
        <v>#NAME?</v>
      </c>
      <c r="X159" s="23" t="e">
        <f ca="1">'Annual Raw'!Y76</f>
        <v>#NAME?</v>
      </c>
      <c r="Y159" s="23" t="e">
        <f ca="1">'Annual Raw'!Z76</f>
        <v>#NAME?</v>
      </c>
      <c r="Z159" s="23" t="e">
        <f ca="1">'Annual Raw'!AA76</f>
        <v>#NAME?</v>
      </c>
      <c r="AA159" s="23" t="e">
        <f ca="1">'Annual Raw'!AB76</f>
        <v>#NAME?</v>
      </c>
      <c r="AB159" s="24">
        <f t="shared" ref="AB159:AB160" si="1270">+CP159</f>
        <v>0</v>
      </c>
      <c r="AC159" s="24">
        <f t="shared" ref="AC159:AC160" si="1271">+CT159</f>
        <v>0</v>
      </c>
      <c r="AD159" s="24">
        <f t="shared" ref="AD159:AD160" si="1272">+CX159</f>
        <v>0</v>
      </c>
      <c r="AE159" s="24">
        <f t="shared" ref="AE159:AE160" si="1273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4">Z159</f>
        <v>#NAME?</v>
      </c>
      <c r="CJ159" s="23" t="e">
        <f ca="1">+'QTR Raw'!BD80</f>
        <v>#NAME?</v>
      </c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 t="e">
        <f ca="1">'Annual Raw'!C79</f>
        <v>#NAME?</v>
      </c>
      <c r="C160" s="23" t="e">
        <f ca="1">'Annual Raw'!D79</f>
        <v>#NAME?</v>
      </c>
      <c r="D160" s="23" t="e">
        <f ca="1">'Annual Raw'!E79</f>
        <v>#NAME?</v>
      </c>
      <c r="E160" s="23" t="e">
        <f ca="1">'Annual Raw'!F79</f>
        <v>#NAME?</v>
      </c>
      <c r="F160" s="23" t="e">
        <f ca="1">'Annual Raw'!G79</f>
        <v>#NAME?</v>
      </c>
      <c r="G160" s="23" t="e">
        <f ca="1">'Annual Raw'!H79</f>
        <v>#NAME?</v>
      </c>
      <c r="H160" s="23" t="e">
        <f ca="1">'Annual Raw'!I79</f>
        <v>#NAME?</v>
      </c>
      <c r="I160" s="23" t="e">
        <f ca="1">'Annual Raw'!J79</f>
        <v>#NAME?</v>
      </c>
      <c r="J160" s="23" t="e">
        <f ca="1">'Annual Raw'!K79</f>
        <v>#NAME?</v>
      </c>
      <c r="K160" s="23" t="e">
        <f ca="1">'Annual Raw'!L79</f>
        <v>#NAME?</v>
      </c>
      <c r="L160" s="23" t="e">
        <f ca="1">'Annual Raw'!M79</f>
        <v>#NAME?</v>
      </c>
      <c r="M160" s="23" t="e">
        <f ca="1">'Annual Raw'!N79</f>
        <v>#NAME?</v>
      </c>
      <c r="N160" s="23" t="e">
        <f ca="1">'Annual Raw'!O79</f>
        <v>#NAME?</v>
      </c>
      <c r="O160" s="23" t="e">
        <f ca="1">'Annual Raw'!P79</f>
        <v>#NAME?</v>
      </c>
      <c r="P160" s="23" t="e">
        <f ca="1">'Annual Raw'!Q79</f>
        <v>#NAME?</v>
      </c>
      <c r="Q160" s="23" t="e">
        <f ca="1">'Annual Raw'!R79</f>
        <v>#NAME?</v>
      </c>
      <c r="R160" s="23" t="e">
        <f ca="1">'Annual Raw'!S79</f>
        <v>#NAME?</v>
      </c>
      <c r="S160" s="23" t="e">
        <f ca="1">'Annual Raw'!T79</f>
        <v>#NAME?</v>
      </c>
      <c r="T160" s="23" t="e">
        <f ca="1">'Annual Raw'!U79</f>
        <v>#NAME?</v>
      </c>
      <c r="U160" s="23" t="e">
        <f ca="1">'Annual Raw'!V79</f>
        <v>#NAME?</v>
      </c>
      <c r="V160" s="23" t="e">
        <f ca="1">'Annual Raw'!W79</f>
        <v>#NAME?</v>
      </c>
      <c r="W160" s="23" t="e">
        <f ca="1">'Annual Raw'!X79</f>
        <v>#NAME?</v>
      </c>
      <c r="X160" s="23" t="e">
        <f ca="1">'Annual Raw'!Y79</f>
        <v>#NAME?</v>
      </c>
      <c r="Y160" s="23" t="e">
        <f ca="1">'Annual Raw'!Z79</f>
        <v>#NAME?</v>
      </c>
      <c r="Z160" s="23" t="e">
        <f ca="1">'Annual Raw'!AA79</f>
        <v>#NAME?</v>
      </c>
      <c r="AA160" s="23" t="e">
        <f ca="1">'Annual Raw'!AB79</f>
        <v>#NAME?</v>
      </c>
      <c r="AB160" s="24" t="e">
        <f t="shared" ca="1" si="1270"/>
        <v>#NAME?</v>
      </c>
      <c r="AC160" s="24" t="e">
        <f t="shared" ca="1" si="1271"/>
        <v>#NAME?</v>
      </c>
      <c r="AD160" s="24" t="e">
        <f t="shared" ca="1" si="1272"/>
        <v>#NAME?</v>
      </c>
      <c r="AE160" s="24" t="e">
        <f t="shared" ca="1" si="1273"/>
        <v>#NAME?</v>
      </c>
      <c r="AJ160" s="23" t="e">
        <f ca="1">+'QTR Raw'!D83</f>
        <v>#NAME?</v>
      </c>
      <c r="AK160" s="23" t="e">
        <f t="shared" ref="AK160:AM160" ca="1" si="1275">+AK210</f>
        <v>#NAME?</v>
      </c>
      <c r="AL160" s="23" t="e">
        <f ca="1">+'QTR Raw'!F83</f>
        <v>#NAME?</v>
      </c>
      <c r="AM160" s="23" t="e">
        <f t="shared" ca="1" si="1275"/>
        <v>#NAME?</v>
      </c>
      <c r="AN160" s="23" t="e">
        <f ca="1">+'QTR Raw'!H83</f>
        <v>#NAME?</v>
      </c>
      <c r="AO160" s="23" t="e">
        <f t="shared" ref="AO160" ca="1" si="1276">+AO210</f>
        <v>#NAME?</v>
      </c>
      <c r="AP160" s="23" t="e">
        <f ca="1">+'QTR Raw'!J83</f>
        <v>#NAME?</v>
      </c>
      <c r="AQ160" s="23" t="e">
        <f t="shared" ref="AQ160" ca="1" si="1277">+AQ210</f>
        <v>#NAME?</v>
      </c>
      <c r="AR160" s="23" t="e">
        <f ca="1">+'QTR Raw'!L83</f>
        <v>#NAME?</v>
      </c>
      <c r="AS160" s="23" t="e">
        <f t="shared" ref="AS160" ca="1" si="1278">+AS210</f>
        <v>#NAME?</v>
      </c>
      <c r="AT160" s="23" t="e">
        <f ca="1">+'QTR Raw'!N83</f>
        <v>#NAME?</v>
      </c>
      <c r="AU160" s="23" t="e">
        <f t="shared" ref="AU160" ca="1" si="1279">+AU210</f>
        <v>#NAME?</v>
      </c>
      <c r="AV160" s="23" t="e">
        <f ca="1">+'QTR Raw'!P83</f>
        <v>#NAME?</v>
      </c>
      <c r="AW160" s="23" t="e">
        <f t="shared" ref="AW160" ca="1" si="1280">+AW210</f>
        <v>#NAME?</v>
      </c>
      <c r="AX160" s="23" t="e">
        <f ca="1">+'QTR Raw'!R83</f>
        <v>#NAME?</v>
      </c>
      <c r="AY160" s="23" t="e">
        <f t="shared" ref="AY160" ca="1" si="1281">+AY210</f>
        <v>#NAME?</v>
      </c>
      <c r="AZ160" s="23" t="e">
        <f ca="1">+'QTR Raw'!T83</f>
        <v>#NAME?</v>
      </c>
      <c r="BA160" s="23" t="e">
        <f t="shared" ref="BA160" ca="1" si="1282">+BA210</f>
        <v>#NAME?</v>
      </c>
      <c r="BB160" s="23" t="e">
        <f ca="1">+'QTR Raw'!V83</f>
        <v>#NAME?</v>
      </c>
      <c r="BC160" s="23" t="e">
        <f t="shared" ref="BC160" ca="1" si="1283">+BC210</f>
        <v>#NAME?</v>
      </c>
      <c r="BD160" s="23" t="e">
        <f ca="1">+'QTR Raw'!X83</f>
        <v>#NAME?</v>
      </c>
      <c r="BE160" s="23" t="e">
        <f t="shared" ref="BE160" ca="1" si="1284">+BE210</f>
        <v>#NAME?</v>
      </c>
      <c r="BF160" s="23" t="e">
        <f ca="1">+'QTR Raw'!Z83</f>
        <v>#NAME?</v>
      </c>
      <c r="BG160" s="23" t="e">
        <f t="shared" ref="BG160" ca="1" si="1285">+BG210</f>
        <v>#NAME?</v>
      </c>
      <c r="BH160" s="23" t="e">
        <f ca="1">+'QTR Raw'!AB83</f>
        <v>#NAME?</v>
      </c>
      <c r="BI160" s="23" t="e">
        <f t="shared" ref="BI160" ca="1" si="1286">+BI210</f>
        <v>#NAME?</v>
      </c>
      <c r="BJ160" s="23" t="e">
        <f ca="1">+'QTR Raw'!AD83</f>
        <v>#NAME?</v>
      </c>
      <c r="BK160" s="23" t="e">
        <f t="shared" ref="BK160" ca="1" si="1287">+BK210</f>
        <v>#NAME?</v>
      </c>
      <c r="BL160" s="23" t="e">
        <f ca="1">+'QTR Raw'!AF83</f>
        <v>#NAME?</v>
      </c>
      <c r="BM160" s="23" t="e">
        <f t="shared" ref="BM160" ca="1" si="1288">+BM210</f>
        <v>#NAME?</v>
      </c>
      <c r="BN160" s="23" t="e">
        <f ca="1">+'QTR Raw'!AH83</f>
        <v>#NAME?</v>
      </c>
      <c r="BO160" s="23" t="e">
        <f t="shared" ref="BO160" ca="1" si="1289">+BO210</f>
        <v>#NAME?</v>
      </c>
      <c r="BP160" s="23" t="e">
        <f ca="1">+'QTR Raw'!AJ83</f>
        <v>#NAME?</v>
      </c>
      <c r="BQ160" s="23" t="e">
        <f t="shared" ref="BQ160" ca="1" si="1290">+BQ210</f>
        <v>#NAME?</v>
      </c>
      <c r="BR160" s="23" t="e">
        <f ca="1">+'QTR Raw'!AL83</f>
        <v>#NAME?</v>
      </c>
      <c r="BS160" s="23" t="e">
        <f t="shared" ref="BS160" ca="1" si="1291">+BS210</f>
        <v>#NAME?</v>
      </c>
      <c r="BT160" s="23" t="e">
        <f ca="1">+'QTR Raw'!AN83</f>
        <v>#NAME?</v>
      </c>
      <c r="BU160" s="23" t="e">
        <f t="shared" ref="BU160" ca="1" si="1292">+BU210</f>
        <v>#NAME?</v>
      </c>
      <c r="BV160" s="23" t="e">
        <f ca="1">+'QTR Raw'!AP83</f>
        <v>#NAME?</v>
      </c>
      <c r="BW160" s="23" t="e">
        <f t="shared" ref="BW160" ca="1" si="1293">+BW210</f>
        <v>#NAME?</v>
      </c>
      <c r="BX160" s="23" t="e">
        <f ca="1">+'QTR Raw'!AR83</f>
        <v>#NAME?</v>
      </c>
      <c r="BY160" s="23" t="e">
        <f t="shared" ref="BY160" ca="1" si="1294">+BY210</f>
        <v>#NAME?</v>
      </c>
      <c r="BZ160" s="23" t="e">
        <f ca="1">+'QTR Raw'!AT83</f>
        <v>#NAME?</v>
      </c>
      <c r="CA160" s="23" t="e">
        <f t="shared" ref="CA160" ca="1" si="1295">+CA210</f>
        <v>#NAME?</v>
      </c>
      <c r="CB160" s="23" t="e">
        <f ca="1">+'QTR Raw'!AV83</f>
        <v>#NAME?</v>
      </c>
      <c r="CC160" s="23" t="e">
        <f t="shared" ref="CC160" ca="1" si="1296">+CC210</f>
        <v>#NAME?</v>
      </c>
      <c r="CD160" s="23" t="e">
        <f ca="1">+'QTR Raw'!AX83</f>
        <v>#NAME?</v>
      </c>
      <c r="CE160" s="23" t="e">
        <f t="shared" ref="CE160" ca="1" si="1297">+CE210</f>
        <v>#NAME?</v>
      </c>
      <c r="CF160" s="23" t="e">
        <f ca="1">+'QTR Raw'!AZ83</f>
        <v>#NAME?</v>
      </c>
      <c r="CG160" s="23" t="e">
        <f t="shared" ref="CG160:CI160" ca="1" si="1298">+CG210</f>
        <v>#NAME?</v>
      </c>
      <c r="CH160" s="23" t="e">
        <f t="shared" ca="1" si="1274"/>
        <v>#NAME?</v>
      </c>
      <c r="CI160" s="23" t="e">
        <f t="shared" ca="1" si="1298"/>
        <v>#NAME?</v>
      </c>
      <c r="CJ160" s="23" t="e">
        <f ca="1">+'QTR Raw'!BD83</f>
        <v>#NAME?</v>
      </c>
      <c r="CK160" s="23" t="e">
        <f t="shared" ref="CK160:DB160" ca="1" si="1299">+CK210</f>
        <v>#NAME?</v>
      </c>
      <c r="CL160" s="23" t="e">
        <f ca="1">+'QTR Raw'!BF83</f>
        <v>#NAME?</v>
      </c>
      <c r="CM160" s="24" t="e">
        <f t="shared" ca="1" si="1299"/>
        <v>#NAME?</v>
      </c>
      <c r="CN160" s="24" t="e">
        <f t="shared" ca="1" si="1299"/>
        <v>#NAME?</v>
      </c>
      <c r="CO160" s="24" t="e">
        <f t="shared" ca="1" si="1299"/>
        <v>#NAME?</v>
      </c>
      <c r="CP160" s="24" t="e">
        <f t="shared" ca="1" si="1299"/>
        <v>#NAME?</v>
      </c>
      <c r="CQ160" s="24" t="e">
        <f t="shared" ca="1" si="1299"/>
        <v>#NAME?</v>
      </c>
      <c r="CR160" s="24" t="e">
        <f t="shared" ca="1" si="1299"/>
        <v>#NAME?</v>
      </c>
      <c r="CS160" s="24" t="e">
        <f t="shared" ca="1" si="1299"/>
        <v>#NAME?</v>
      </c>
      <c r="CT160" s="24" t="e">
        <f t="shared" ca="1" si="1299"/>
        <v>#NAME?</v>
      </c>
      <c r="CU160" s="24" t="e">
        <f t="shared" ca="1" si="1299"/>
        <v>#NAME?</v>
      </c>
      <c r="CV160" s="24" t="e">
        <f t="shared" ca="1" si="1299"/>
        <v>#NAME?</v>
      </c>
      <c r="CW160" s="24" t="e">
        <f t="shared" ca="1" si="1299"/>
        <v>#NAME?</v>
      </c>
      <c r="CX160" s="24" t="e">
        <f t="shared" ca="1" si="1299"/>
        <v>#NAME?</v>
      </c>
      <c r="CY160" s="24" t="e">
        <f t="shared" ca="1" si="1299"/>
        <v>#NAME?</v>
      </c>
      <c r="CZ160" s="24" t="e">
        <f t="shared" ca="1" si="1299"/>
        <v>#NAME?</v>
      </c>
      <c r="DA160" s="24" t="e">
        <f t="shared" ca="1" si="1299"/>
        <v>#NAME?</v>
      </c>
      <c r="DB160" s="24" t="e">
        <f t="shared" ca="1" si="1299"/>
        <v>#NAME?</v>
      </c>
      <c r="DE160" s="123"/>
      <c r="DF160" s="23">
        <v>1340.87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0">C159+C160</f>
        <v>#NAME?</v>
      </c>
      <c r="D161" s="22" t="e">
        <f t="shared" ca="1" si="1300"/>
        <v>#NAME?</v>
      </c>
      <c r="E161" s="22" t="e">
        <f t="shared" ca="1" si="1300"/>
        <v>#NAME?</v>
      </c>
      <c r="F161" s="22" t="e">
        <f t="shared" ca="1" si="1300"/>
        <v>#NAME?</v>
      </c>
      <c r="G161" s="22" t="e">
        <f t="shared" ca="1" si="1300"/>
        <v>#NAME?</v>
      </c>
      <c r="H161" s="22" t="e">
        <f t="shared" ca="1" si="1300"/>
        <v>#NAME?</v>
      </c>
      <c r="I161" s="22" t="e">
        <f t="shared" ca="1" si="1300"/>
        <v>#NAME?</v>
      </c>
      <c r="J161" s="22" t="e">
        <f t="shared" ca="1" si="1300"/>
        <v>#NAME?</v>
      </c>
      <c r="K161" s="22" t="e">
        <f t="shared" ca="1" si="1300"/>
        <v>#NAME?</v>
      </c>
      <c r="L161" s="22" t="e">
        <f t="shared" ca="1" si="1300"/>
        <v>#NAME?</v>
      </c>
      <c r="M161" s="22" t="e">
        <f t="shared" ca="1" si="1300"/>
        <v>#NAME?</v>
      </c>
      <c r="N161" s="22" t="e">
        <f t="shared" ca="1" si="1300"/>
        <v>#NAME?</v>
      </c>
      <c r="O161" s="22" t="e">
        <f t="shared" ca="1" si="1300"/>
        <v>#NAME?</v>
      </c>
      <c r="P161" s="22" t="e">
        <f t="shared" ca="1" si="1300"/>
        <v>#NAME?</v>
      </c>
      <c r="Q161" s="22" t="e">
        <f t="shared" ca="1" si="1300"/>
        <v>#NAME?</v>
      </c>
      <c r="R161" s="22" t="e">
        <f t="shared" ca="1" si="1300"/>
        <v>#NAME?</v>
      </c>
      <c r="S161" s="22" t="e">
        <f t="shared" ca="1" si="1300"/>
        <v>#NAME?</v>
      </c>
      <c r="T161" s="22" t="e">
        <f t="shared" ca="1" si="1300"/>
        <v>#NAME?</v>
      </c>
      <c r="U161" s="22" t="e">
        <f t="shared" ca="1" si="1300"/>
        <v>#NAME?</v>
      </c>
      <c r="V161" s="22" t="e">
        <f t="shared" ca="1" si="1300"/>
        <v>#NAME?</v>
      </c>
      <c r="W161" s="22" t="e">
        <f t="shared" ref="W161" ca="1" si="1301">W159+W160</f>
        <v>#NAME?</v>
      </c>
      <c r="X161" s="22" t="e">
        <f t="shared" ref="X161:Y161" ca="1" si="1302">X159+X160</f>
        <v>#NAME?</v>
      </c>
      <c r="Y161" s="22" t="e">
        <f t="shared" ca="1" si="1302"/>
        <v>#NAME?</v>
      </c>
      <c r="Z161" s="22" t="e">
        <f t="shared" ref="Z161:AA161" ca="1" si="1303">Z159+Z160</f>
        <v>#NAME?</v>
      </c>
      <c r="AA161" s="22" t="e">
        <f t="shared" ca="1" si="1303"/>
        <v>#NAME?</v>
      </c>
      <c r="AB161" s="21" t="e">
        <f t="shared" ref="AA161:AD161" ca="1" si="1304">AB159+AB160</f>
        <v>#NAME?</v>
      </c>
      <c r="AC161" s="21" t="e">
        <f t="shared" ca="1" si="1304"/>
        <v>#NAME?</v>
      </c>
      <c r="AD161" s="21" t="e">
        <f t="shared" ca="1" si="1304"/>
        <v>#NAME?</v>
      </c>
      <c r="AE161" s="21" t="e">
        <f t="shared" ref="AE161" ca="1" si="1305">AE159+AE160</f>
        <v>#NAME?</v>
      </c>
      <c r="AJ161" s="22" t="e">
        <f t="shared" ref="AJ161" ca="1" si="1306">AJ159+AJ160</f>
        <v>#NAME?</v>
      </c>
      <c r="AK161" s="22" t="e">
        <f t="shared" ref="AK161" ca="1" si="1307">AK159+AK160</f>
        <v>#NAME?</v>
      </c>
      <c r="AL161" s="22" t="e">
        <f t="shared" ref="AL161:AM161" ca="1" si="1308">AL159+AL160</f>
        <v>#NAME?</v>
      </c>
      <c r="AM161" s="22" t="e">
        <f t="shared" ca="1" si="1308"/>
        <v>#NAME?</v>
      </c>
      <c r="AN161" s="22" t="e">
        <f t="shared" ref="AN161:AO161" ca="1" si="1309">AN159+AN160</f>
        <v>#NAME?</v>
      </c>
      <c r="AO161" s="22" t="e">
        <f t="shared" ca="1" si="1309"/>
        <v>#NAME?</v>
      </c>
      <c r="AP161" s="22" t="e">
        <f t="shared" ref="AP161:CE161" ca="1" si="1310">AP159+AP160</f>
        <v>#NAME?</v>
      </c>
      <c r="AQ161" s="22" t="e">
        <f t="shared" ca="1" si="1310"/>
        <v>#NAME?</v>
      </c>
      <c r="AR161" s="22" t="e">
        <f t="shared" ca="1" si="1310"/>
        <v>#NAME?</v>
      </c>
      <c r="AS161" s="22" t="e">
        <f t="shared" ca="1" si="1310"/>
        <v>#NAME?</v>
      </c>
      <c r="AT161" s="22" t="e">
        <f t="shared" ca="1" si="1310"/>
        <v>#NAME?</v>
      </c>
      <c r="AU161" s="22" t="e">
        <f t="shared" ca="1" si="1310"/>
        <v>#NAME?</v>
      </c>
      <c r="AV161" s="22" t="e">
        <f t="shared" ca="1" si="1310"/>
        <v>#NAME?</v>
      </c>
      <c r="AW161" s="22" t="e">
        <f t="shared" ca="1" si="1310"/>
        <v>#NAME?</v>
      </c>
      <c r="AX161" s="22" t="e">
        <f t="shared" ca="1" si="1310"/>
        <v>#NAME?</v>
      </c>
      <c r="AY161" s="22" t="e">
        <f t="shared" ca="1" si="1310"/>
        <v>#NAME?</v>
      </c>
      <c r="AZ161" s="22" t="e">
        <f t="shared" ca="1" si="1310"/>
        <v>#NAME?</v>
      </c>
      <c r="BA161" s="22" t="e">
        <f t="shared" ca="1" si="1310"/>
        <v>#NAME?</v>
      </c>
      <c r="BB161" s="22" t="e">
        <f t="shared" ca="1" si="1310"/>
        <v>#NAME?</v>
      </c>
      <c r="BC161" s="22" t="e">
        <f t="shared" ca="1" si="1310"/>
        <v>#NAME?</v>
      </c>
      <c r="BD161" s="22" t="e">
        <f t="shared" ca="1" si="1310"/>
        <v>#NAME?</v>
      </c>
      <c r="BE161" s="22" t="e">
        <f t="shared" ca="1" si="1310"/>
        <v>#NAME?</v>
      </c>
      <c r="BF161" s="22" t="e">
        <f t="shared" ca="1" si="1310"/>
        <v>#NAME?</v>
      </c>
      <c r="BG161" s="22" t="e">
        <f t="shared" ca="1" si="1310"/>
        <v>#NAME?</v>
      </c>
      <c r="BH161" s="22" t="e">
        <f t="shared" ca="1" si="1310"/>
        <v>#NAME?</v>
      </c>
      <c r="BI161" s="22" t="e">
        <f t="shared" ca="1" si="1310"/>
        <v>#NAME?</v>
      </c>
      <c r="BJ161" s="22" t="e">
        <f t="shared" ca="1" si="1310"/>
        <v>#NAME?</v>
      </c>
      <c r="BK161" s="22" t="e">
        <f t="shared" ca="1" si="1310"/>
        <v>#NAME?</v>
      </c>
      <c r="BL161" s="22" t="e">
        <f t="shared" ca="1" si="1310"/>
        <v>#NAME?</v>
      </c>
      <c r="BM161" s="22" t="e">
        <f t="shared" ca="1" si="1310"/>
        <v>#NAME?</v>
      </c>
      <c r="BN161" s="22" t="e">
        <f t="shared" ca="1" si="1310"/>
        <v>#NAME?</v>
      </c>
      <c r="BO161" s="22" t="e">
        <f t="shared" ca="1" si="1310"/>
        <v>#NAME?</v>
      </c>
      <c r="BP161" s="22" t="e">
        <f t="shared" ca="1" si="1310"/>
        <v>#NAME?</v>
      </c>
      <c r="BQ161" s="22" t="e">
        <f t="shared" ca="1" si="1310"/>
        <v>#NAME?</v>
      </c>
      <c r="BR161" s="22" t="e">
        <f t="shared" ca="1" si="1310"/>
        <v>#NAME?</v>
      </c>
      <c r="BS161" s="22" t="e">
        <f t="shared" ca="1" si="1310"/>
        <v>#NAME?</v>
      </c>
      <c r="BT161" s="22" t="e">
        <f t="shared" ca="1" si="1310"/>
        <v>#NAME?</v>
      </c>
      <c r="BU161" s="22" t="e">
        <f t="shared" ca="1" si="1310"/>
        <v>#NAME?</v>
      </c>
      <c r="BV161" s="22" t="e">
        <f t="shared" ca="1" si="1310"/>
        <v>#NAME?</v>
      </c>
      <c r="BW161" s="22" t="e">
        <f t="shared" ca="1" si="1310"/>
        <v>#NAME?</v>
      </c>
      <c r="BX161" s="22" t="e">
        <f t="shared" ca="1" si="1310"/>
        <v>#NAME?</v>
      </c>
      <c r="BY161" s="22" t="e">
        <f t="shared" ca="1" si="1310"/>
        <v>#NAME?</v>
      </c>
      <c r="BZ161" s="22" t="e">
        <f t="shared" ca="1" si="1310"/>
        <v>#NAME?</v>
      </c>
      <c r="CA161" s="22" t="e">
        <f t="shared" ca="1" si="1310"/>
        <v>#NAME?</v>
      </c>
      <c r="CB161" s="22" t="e">
        <f t="shared" ca="1" si="1310"/>
        <v>#NAME?</v>
      </c>
      <c r="CC161" s="22" t="e">
        <f t="shared" ca="1" si="1310"/>
        <v>#NAME?</v>
      </c>
      <c r="CD161" s="22" t="e">
        <f t="shared" ca="1" si="1310"/>
        <v>#NAME?</v>
      </c>
      <c r="CE161" s="22" t="e">
        <f t="shared" ca="1" si="1310"/>
        <v>#NAME?</v>
      </c>
      <c r="CF161" s="22" t="e">
        <f t="shared" ref="CF161:CG161" ca="1" si="1311">CF159+CF160</f>
        <v>#NAME?</v>
      </c>
      <c r="CG161" s="22" t="e">
        <f t="shared" ca="1" si="1311"/>
        <v>#NAME?</v>
      </c>
      <c r="CH161" s="22" t="e">
        <f t="shared" ref="CH161:CI161" ca="1" si="1312">CH159+CH160</f>
        <v>#NAME?</v>
      </c>
      <c r="CI161" s="22" t="e">
        <f t="shared" ca="1" si="1312"/>
        <v>#NAME?</v>
      </c>
      <c r="CJ161" s="22" t="e">
        <f t="shared" ref="CJ161:DB161" ca="1" si="1313">CJ159+CJ160</f>
        <v>#NAME?</v>
      </c>
      <c r="CK161" s="22" t="e">
        <f t="shared" ca="1" si="1313"/>
        <v>#NAME?</v>
      </c>
      <c r="CL161" s="22" t="e">
        <f t="shared" ref="CL161" ca="1" si="1314">CL159+CL160</f>
        <v>#NAME?</v>
      </c>
      <c r="CM161" s="21" t="e">
        <f t="shared" ca="1" si="1313"/>
        <v>#NAME?</v>
      </c>
      <c r="CN161" s="21" t="e">
        <f t="shared" ca="1" si="1313"/>
        <v>#NAME?</v>
      </c>
      <c r="CO161" s="21" t="e">
        <f t="shared" ca="1" si="1313"/>
        <v>#NAME?</v>
      </c>
      <c r="CP161" s="21" t="e">
        <f t="shared" ca="1" si="1313"/>
        <v>#NAME?</v>
      </c>
      <c r="CQ161" s="21" t="e">
        <f t="shared" ca="1" si="1313"/>
        <v>#NAME?</v>
      </c>
      <c r="CR161" s="21" t="e">
        <f t="shared" ca="1" si="1313"/>
        <v>#NAME?</v>
      </c>
      <c r="CS161" s="21" t="e">
        <f t="shared" ca="1" si="1313"/>
        <v>#NAME?</v>
      </c>
      <c r="CT161" s="21" t="e">
        <f t="shared" ca="1" si="1313"/>
        <v>#NAME?</v>
      </c>
      <c r="CU161" s="21" t="e">
        <f t="shared" ca="1" si="1313"/>
        <v>#NAME?</v>
      </c>
      <c r="CV161" s="21" t="e">
        <f t="shared" ca="1" si="1313"/>
        <v>#NAME?</v>
      </c>
      <c r="CW161" s="21" t="e">
        <f t="shared" ca="1" si="1313"/>
        <v>#NAME?</v>
      </c>
      <c r="CX161" s="21" t="e">
        <f t="shared" ca="1" si="1313"/>
        <v>#NAME?</v>
      </c>
      <c r="CY161" s="21" t="e">
        <f t="shared" ca="1" si="1313"/>
        <v>#NAME?</v>
      </c>
      <c r="CZ161" s="21" t="e">
        <f t="shared" ca="1" si="1313"/>
        <v>#NAME?</v>
      </c>
      <c r="DA161" s="21" t="e">
        <f t="shared" ca="1" si="1313"/>
        <v>#NAME?</v>
      </c>
      <c r="DB161" s="21" t="e">
        <f t="shared" ca="1" si="1313"/>
        <v>#NAME?</v>
      </c>
      <c r="DE161" s="126"/>
      <c r="DF161" s="22">
        <v>1340.87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Raw'!C50</f>
        <v>#NAME?</v>
      </c>
      <c r="C163" s="23" t="e">
        <f ca="1">-'Annual Raw'!D50</f>
        <v>#NAME?</v>
      </c>
      <c r="D163" s="23" t="e">
        <f ca="1">-'Annual Raw'!E50</f>
        <v>#NAME?</v>
      </c>
      <c r="E163" s="23" t="e">
        <f ca="1">-'Annual Raw'!F50</f>
        <v>#NAME?</v>
      </c>
      <c r="F163" s="23" t="e">
        <f ca="1">-'Annual Raw'!G50</f>
        <v>#NAME?</v>
      </c>
      <c r="G163" s="23" t="e">
        <f ca="1">-'Annual Raw'!H50</f>
        <v>#NAME?</v>
      </c>
      <c r="H163" s="23" t="e">
        <f ca="1">-'Annual Raw'!I50</f>
        <v>#NAME?</v>
      </c>
      <c r="I163" s="23" t="e">
        <f ca="1">-'Annual Raw'!J50</f>
        <v>#NAME?</v>
      </c>
      <c r="J163" s="23" t="e">
        <f ca="1">-'Annual Raw'!K50</f>
        <v>#NAME?</v>
      </c>
      <c r="K163" s="23" t="e">
        <f ca="1">-'Annual Raw'!L50</f>
        <v>#NAME?</v>
      </c>
      <c r="L163" s="23" t="e">
        <f ca="1">-'Annual Raw'!M50</f>
        <v>#NAME?</v>
      </c>
      <c r="M163" s="23" t="e">
        <f ca="1">-'Annual Raw'!N50</f>
        <v>#NAME?</v>
      </c>
      <c r="N163" s="23" t="e">
        <f ca="1">-'Annual Raw'!O50</f>
        <v>#NAME?</v>
      </c>
      <c r="O163" s="23" t="e">
        <f ca="1">-'Annual Raw'!P50</f>
        <v>#NAME?</v>
      </c>
      <c r="P163" s="23" t="e">
        <f ca="1">-'Annual Raw'!Q50</f>
        <v>#NAME?</v>
      </c>
      <c r="Q163" s="23" t="e">
        <f ca="1">-'Annual Raw'!R50</f>
        <v>#NAME?</v>
      </c>
      <c r="R163" s="23" t="e">
        <f ca="1">-'Annual Raw'!S50</f>
        <v>#NAME?</v>
      </c>
      <c r="S163" s="23" t="e">
        <f ca="1">-'Annual Raw'!T50</f>
        <v>#NAME?</v>
      </c>
      <c r="T163" s="23" t="e">
        <f ca="1">-'Annual Raw'!U50</f>
        <v>#NAME?</v>
      </c>
      <c r="U163" s="23" t="e">
        <f ca="1">-'Annual Raw'!V50</f>
        <v>#NAME?</v>
      </c>
      <c r="V163" s="23" t="e">
        <f ca="1">-'Annual Raw'!W50</f>
        <v>#NAME?</v>
      </c>
      <c r="W163" s="23" t="e">
        <f ca="1">-'Annual Raw'!X50</f>
        <v>#NAME?</v>
      </c>
      <c r="X163" s="23" t="e">
        <f ca="1">-'Annual Raw'!Y50</f>
        <v>#NAME?</v>
      </c>
      <c r="Y163" s="23" t="e">
        <f ca="1">-'Annual Raw'!Z50</f>
        <v>#NAME?</v>
      </c>
      <c r="Z163" s="23" t="e">
        <f ca="1">-'Annual Raw'!AA50</f>
        <v>#NAME?</v>
      </c>
      <c r="AA163" s="23" t="e">
        <f ca="1">-'Annual Raw'!AB50</f>
        <v>#NAME?</v>
      </c>
      <c r="AB163" s="24" t="e">
        <f t="shared" ref="AB163:AB164" ca="1" si="1315">+CP163</f>
        <v>#NAME?</v>
      </c>
      <c r="AC163" s="24" t="e">
        <f t="shared" ref="AC163:AC164" ca="1" si="1316">+CT163</f>
        <v>#NAME?</v>
      </c>
      <c r="AD163" s="24" t="e">
        <f t="shared" ref="AD163:AD164" ca="1" si="1317">+CX163</f>
        <v>#NAME?</v>
      </c>
      <c r="AE163" s="24" t="e">
        <f t="shared" ref="AE163:AE164" ca="1" si="1318">+DB163</f>
        <v>#NAME?</v>
      </c>
      <c r="AJ163" s="23" t="e">
        <f ca="1">+'QTR Raw'!D96</f>
        <v>#NAME?</v>
      </c>
      <c r="AK163" s="23" t="e">
        <f t="shared" ref="AK163:CE163" ca="1" si="1319">+AJ163</f>
        <v>#NAME?</v>
      </c>
      <c r="AL163" s="23" t="e">
        <f ca="1">+'QTR Raw'!F96</f>
        <v>#NAME?</v>
      </c>
      <c r="AM163" s="23" t="e">
        <f t="shared" ca="1" si="1319"/>
        <v>#NAME?</v>
      </c>
      <c r="AN163" s="23" t="e">
        <f ca="1">+'QTR Raw'!H96</f>
        <v>#NAME?</v>
      </c>
      <c r="AO163" s="23" t="e">
        <f t="shared" ca="1" si="1319"/>
        <v>#NAME?</v>
      </c>
      <c r="AP163" s="23" t="e">
        <f ca="1">+'QTR Raw'!J96</f>
        <v>#NAME?</v>
      </c>
      <c r="AQ163" s="23" t="e">
        <f t="shared" ca="1" si="1319"/>
        <v>#NAME?</v>
      </c>
      <c r="AR163" s="23" t="e">
        <f ca="1">+'QTR Raw'!L96</f>
        <v>#NAME?</v>
      </c>
      <c r="AS163" s="23" t="e">
        <f t="shared" ca="1" si="1319"/>
        <v>#NAME?</v>
      </c>
      <c r="AT163" s="23" t="e">
        <f ca="1">+'QTR Raw'!N96</f>
        <v>#NAME?</v>
      </c>
      <c r="AU163" s="23" t="e">
        <f t="shared" ca="1" si="1319"/>
        <v>#NAME?</v>
      </c>
      <c r="AV163" s="23" t="e">
        <f ca="1">+'QTR Raw'!P96</f>
        <v>#NAME?</v>
      </c>
      <c r="AW163" s="23" t="e">
        <f t="shared" ca="1" si="1319"/>
        <v>#NAME?</v>
      </c>
      <c r="AX163" s="23" t="e">
        <f ca="1">+'QTR Raw'!R96</f>
        <v>#NAME?</v>
      </c>
      <c r="AY163" s="23" t="e">
        <f t="shared" ca="1" si="1319"/>
        <v>#NAME?</v>
      </c>
      <c r="AZ163" s="23" t="e">
        <f ca="1">+'QTR Raw'!T96</f>
        <v>#NAME?</v>
      </c>
      <c r="BA163" s="23" t="e">
        <f t="shared" ca="1" si="1319"/>
        <v>#NAME?</v>
      </c>
      <c r="BB163" s="23" t="e">
        <f ca="1">+'QTR Raw'!V96</f>
        <v>#NAME?</v>
      </c>
      <c r="BC163" s="23" t="e">
        <f t="shared" ca="1" si="1319"/>
        <v>#NAME?</v>
      </c>
      <c r="BD163" s="23" t="e">
        <f ca="1">+'QTR Raw'!X96</f>
        <v>#NAME?</v>
      </c>
      <c r="BE163" s="23" t="e">
        <f t="shared" ca="1" si="1319"/>
        <v>#NAME?</v>
      </c>
      <c r="BF163" s="23" t="e">
        <f ca="1">+'QTR Raw'!Z96</f>
        <v>#NAME?</v>
      </c>
      <c r="BG163" s="23" t="e">
        <f t="shared" ca="1" si="1319"/>
        <v>#NAME?</v>
      </c>
      <c r="BH163" s="23" t="e">
        <f ca="1">+'QTR Raw'!AB96</f>
        <v>#NAME?</v>
      </c>
      <c r="BI163" s="23" t="e">
        <f t="shared" ca="1" si="1319"/>
        <v>#NAME?</v>
      </c>
      <c r="BJ163" s="23" t="e">
        <f ca="1">+'QTR Raw'!AD96</f>
        <v>#NAME?</v>
      </c>
      <c r="BK163" s="23" t="e">
        <f t="shared" ca="1" si="1319"/>
        <v>#NAME?</v>
      </c>
      <c r="BL163" s="23" t="e">
        <f ca="1">+'QTR Raw'!AF96</f>
        <v>#NAME?</v>
      </c>
      <c r="BM163" s="23" t="e">
        <f t="shared" ca="1" si="1319"/>
        <v>#NAME?</v>
      </c>
      <c r="BN163" s="23" t="e">
        <f ca="1">+'QTR Raw'!AH96</f>
        <v>#NAME?</v>
      </c>
      <c r="BO163" s="23" t="e">
        <f t="shared" ca="1" si="1319"/>
        <v>#NAME?</v>
      </c>
      <c r="BP163" s="23" t="e">
        <f ca="1">+'QTR Raw'!AJ96</f>
        <v>#NAME?</v>
      </c>
      <c r="BQ163" s="23" t="e">
        <f t="shared" ca="1" si="1319"/>
        <v>#NAME?</v>
      </c>
      <c r="BR163" s="23" t="e">
        <f ca="1">+'QTR Raw'!AL96</f>
        <v>#NAME?</v>
      </c>
      <c r="BS163" s="23" t="e">
        <f t="shared" ca="1" si="1319"/>
        <v>#NAME?</v>
      </c>
      <c r="BT163" s="23" t="e">
        <f ca="1">+'QTR Raw'!AN96</f>
        <v>#NAME?</v>
      </c>
      <c r="BU163" s="23" t="e">
        <f t="shared" ca="1" si="1319"/>
        <v>#NAME?</v>
      </c>
      <c r="BV163" s="23" t="e">
        <f ca="1">+'QTR Raw'!AP96</f>
        <v>#NAME?</v>
      </c>
      <c r="BW163" s="23" t="e">
        <f t="shared" ca="1" si="1319"/>
        <v>#NAME?</v>
      </c>
      <c r="BX163" s="23" t="e">
        <f ca="1">+'QTR Raw'!AR96</f>
        <v>#NAME?</v>
      </c>
      <c r="BY163" s="23" t="e">
        <f t="shared" ca="1" si="1319"/>
        <v>#NAME?</v>
      </c>
      <c r="BZ163" s="23" t="e">
        <f ca="1">+'QTR Raw'!AT96</f>
        <v>#NAME?</v>
      </c>
      <c r="CA163" s="23" t="e">
        <f t="shared" ca="1" si="1319"/>
        <v>#NAME?</v>
      </c>
      <c r="CB163" s="23" t="e">
        <f ca="1">+'QTR Raw'!AV96</f>
        <v>#NAME?</v>
      </c>
      <c r="CC163" s="23" t="e">
        <f t="shared" ca="1" si="1319"/>
        <v>#NAME?</v>
      </c>
      <c r="CD163" s="23" t="e">
        <f ca="1">+'QTR Raw'!AX96</f>
        <v>#NAME?</v>
      </c>
      <c r="CE163" s="23" t="e">
        <f t="shared" ca="1" si="1319"/>
        <v>#NAME?</v>
      </c>
      <c r="CF163" s="23" t="e">
        <f ca="1">+'QTR Raw'!AZ96</f>
        <v>#NAME?</v>
      </c>
      <c r="CG163" s="23" t="e">
        <f t="shared" ref="CG163:CI164" ca="1" si="1320">+CF163</f>
        <v>#NAME?</v>
      </c>
      <c r="CH163" s="23" t="e">
        <f t="shared" ref="CH163:CH164" ca="1" si="1321">Z163</f>
        <v>#NAME?</v>
      </c>
      <c r="CI163" s="23" t="e">
        <f t="shared" ca="1" si="1320"/>
        <v>#NAME?</v>
      </c>
      <c r="CJ163" s="23" t="e">
        <f ca="1">+'QTR Raw'!BD96</f>
        <v>#NAME?</v>
      </c>
      <c r="CK163" s="23" t="e">
        <f t="shared" ref="CK163:CK164" ca="1" si="1322">+CJ163</f>
        <v>#NAME?</v>
      </c>
      <c r="CL163" s="23" t="e">
        <f ca="1">+'QTR Raw'!BF96</f>
        <v>#NAME?</v>
      </c>
      <c r="CM163" s="24" t="e">
        <f t="shared" ref="CM163:CM164" ca="1" si="1323">+CL163</f>
        <v>#NAME?</v>
      </c>
      <c r="CN163" s="24" t="e">
        <f t="shared" ref="CN163:CN164" ca="1" si="1324">+CM163</f>
        <v>#NAME?</v>
      </c>
      <c r="CO163" s="24" t="e">
        <f t="shared" ref="CO163:CO164" ca="1" si="1325">+CN163</f>
        <v>#NAME?</v>
      </c>
      <c r="CP163" s="24" t="e">
        <f t="shared" ref="CP163:CP164" ca="1" si="1326">+CO163</f>
        <v>#NAME?</v>
      </c>
      <c r="CQ163" s="24" t="e">
        <f t="shared" ref="CQ163:CQ164" ca="1" si="1327">+CP163</f>
        <v>#NAME?</v>
      </c>
      <c r="CR163" s="24" t="e">
        <f t="shared" ref="CR163:CR164" ca="1" si="1328">+CQ163</f>
        <v>#NAME?</v>
      </c>
      <c r="CS163" s="24" t="e">
        <f t="shared" ref="CS163:CS164" ca="1" si="1329">+CR163</f>
        <v>#NAME?</v>
      </c>
      <c r="CT163" s="24" t="e">
        <f t="shared" ref="CT163:CT164" ca="1" si="1330">+CS163</f>
        <v>#NAME?</v>
      </c>
      <c r="CU163" s="24" t="e">
        <f t="shared" ref="CU163:CU164" ca="1" si="1331">+CT163</f>
        <v>#NAME?</v>
      </c>
      <c r="CV163" s="24" t="e">
        <f t="shared" ref="CV163:CV164" ca="1" si="1332">+CU163</f>
        <v>#NAME?</v>
      </c>
      <c r="CW163" s="24" t="e">
        <f t="shared" ref="CW163:CW164" ca="1" si="1333">+CV163</f>
        <v>#NAME?</v>
      </c>
      <c r="CX163" s="24" t="e">
        <f t="shared" ref="CX163:CX164" ca="1" si="1334">+CW163</f>
        <v>#NAME?</v>
      </c>
      <c r="CY163" s="24" t="e">
        <f t="shared" ref="CY163:CY164" ca="1" si="1335">+CX163</f>
        <v>#NAME?</v>
      </c>
      <c r="CZ163" s="24" t="e">
        <f t="shared" ref="CZ163:CZ164" ca="1" si="1336">+CY163</f>
        <v>#NAME?</v>
      </c>
      <c r="DA163" s="24" t="e">
        <f t="shared" ref="DA163:DA164" ca="1" si="1337">+CZ163</f>
        <v>#NAME?</v>
      </c>
      <c r="DB163" s="24" t="e">
        <f t="shared" ref="DB163:DB164" ca="1" si="1338">+DA163</f>
        <v>#NAME?</v>
      </c>
      <c r="DE163" s="123"/>
      <c r="DF163" s="23">
        <v>-64.13</v>
      </c>
    </row>
    <row r="164" spans="1:110" s="23" customFormat="1" x14ac:dyDescent="0.2">
      <c r="A164" s="23" t="s">
        <v>79</v>
      </c>
      <c r="B164" s="23" t="e">
        <f ca="1">'Annual Raw'!C84</f>
        <v>#NAME?</v>
      </c>
      <c r="C164" s="23" t="e">
        <f ca="1">'Annual Raw'!D84</f>
        <v>#NAME?</v>
      </c>
      <c r="D164" s="23" t="e">
        <f ca="1">'Annual Raw'!E84</f>
        <v>#NAME?</v>
      </c>
      <c r="E164" s="23" t="e">
        <f ca="1">'Annual Raw'!F84</f>
        <v>#NAME?</v>
      </c>
      <c r="F164" s="23" t="e">
        <f ca="1">'Annual Raw'!G84</f>
        <v>#NAME?</v>
      </c>
      <c r="G164" s="23" t="e">
        <f ca="1">'Annual Raw'!H84</f>
        <v>#NAME?</v>
      </c>
      <c r="H164" s="23" t="e">
        <f ca="1">'Annual Raw'!I84</f>
        <v>#NAME?</v>
      </c>
      <c r="I164" s="23" t="e">
        <f ca="1">'Annual Raw'!J84</f>
        <v>#NAME?</v>
      </c>
      <c r="J164" s="23" t="e">
        <f ca="1">'Annual Raw'!K84</f>
        <v>#NAME?</v>
      </c>
      <c r="K164" s="23" t="e">
        <f ca="1">'Annual Raw'!L84</f>
        <v>#NAME?</v>
      </c>
      <c r="L164" s="23" t="e">
        <f ca="1">'Annual Raw'!M84</f>
        <v>#NAME?</v>
      </c>
      <c r="M164" s="23" t="e">
        <f ca="1">'Annual Raw'!N84</f>
        <v>#NAME?</v>
      </c>
      <c r="N164" s="23" t="e">
        <f ca="1">'Annual Raw'!O84</f>
        <v>#NAME?</v>
      </c>
      <c r="O164" s="23" t="e">
        <f ca="1">'Annual Raw'!P84</f>
        <v>#NAME?</v>
      </c>
      <c r="P164" s="23" t="e">
        <f ca="1">'Annual Raw'!Q84</f>
        <v>#NAME?</v>
      </c>
      <c r="Q164" s="23" t="e">
        <f ca="1">'Annual Raw'!R84</f>
        <v>#NAME?</v>
      </c>
      <c r="R164" s="23" t="e">
        <f ca="1">'Annual Raw'!S84</f>
        <v>#NAME?</v>
      </c>
      <c r="S164" s="23" t="e">
        <f ca="1">'Annual Raw'!T84</f>
        <v>#NAME?</v>
      </c>
      <c r="T164" s="23" t="e">
        <f ca="1">'Annual Raw'!U84</f>
        <v>#NAME?</v>
      </c>
      <c r="U164" s="23" t="e">
        <f ca="1">'Annual Raw'!V84</f>
        <v>#NAME?</v>
      </c>
      <c r="V164" s="23" t="e">
        <f ca="1">'Annual Raw'!W84</f>
        <v>#NAME?</v>
      </c>
      <c r="W164" s="23" t="e">
        <f ca="1">'Annual Raw'!X84</f>
        <v>#NAME?</v>
      </c>
      <c r="X164" s="23" t="e">
        <f ca="1">'Annual Raw'!Y84</f>
        <v>#NAME?</v>
      </c>
      <c r="Y164" s="23" t="e">
        <f ca="1">'Annual Raw'!Z84</f>
        <v>#NAME?</v>
      </c>
      <c r="Z164" s="23" t="e">
        <f ca="1">'Annual Raw'!AA84</f>
        <v>#NAME?</v>
      </c>
      <c r="AA164" s="23" t="e">
        <f ca="1">'Annual Raw'!AB84</f>
        <v>#NAME?</v>
      </c>
      <c r="AB164" s="24" t="e">
        <f t="shared" ca="1" si="1315"/>
        <v>#NAME?</v>
      </c>
      <c r="AC164" s="24" t="e">
        <f t="shared" ca="1" si="1316"/>
        <v>#NAME?</v>
      </c>
      <c r="AD164" s="24" t="e">
        <f t="shared" ca="1" si="1317"/>
        <v>#NAME?</v>
      </c>
      <c r="AE164" s="24" t="e">
        <f t="shared" ca="1" si="1318"/>
        <v>#NAME?</v>
      </c>
      <c r="AJ164" s="23" t="e">
        <f ca="1">+'QTR Raw'!D95</f>
        <v>#NAME?</v>
      </c>
      <c r="AK164" s="23" t="e">
        <f t="shared" ref="AK164:CE164" ca="1" si="1339">+AJ164</f>
        <v>#NAME?</v>
      </c>
      <c r="AL164" s="23" t="e">
        <f ca="1">+'QTR Raw'!F95</f>
        <v>#NAME?</v>
      </c>
      <c r="AM164" s="23" t="e">
        <f t="shared" ca="1" si="1339"/>
        <v>#NAME?</v>
      </c>
      <c r="AN164" s="23" t="e">
        <f ca="1">+'QTR Raw'!H95</f>
        <v>#NAME?</v>
      </c>
      <c r="AO164" s="23" t="e">
        <f t="shared" ca="1" si="1339"/>
        <v>#NAME?</v>
      </c>
      <c r="AP164" s="23" t="e">
        <f ca="1">+'QTR Raw'!J95</f>
        <v>#NAME?</v>
      </c>
      <c r="AQ164" s="23" t="e">
        <f t="shared" ca="1" si="1339"/>
        <v>#NAME?</v>
      </c>
      <c r="AR164" s="23" t="e">
        <f ca="1">+'QTR Raw'!L95</f>
        <v>#NAME?</v>
      </c>
      <c r="AS164" s="23" t="e">
        <f t="shared" ca="1" si="1339"/>
        <v>#NAME?</v>
      </c>
      <c r="AT164" s="23" t="e">
        <f ca="1">+'QTR Raw'!N95</f>
        <v>#NAME?</v>
      </c>
      <c r="AU164" s="23" t="e">
        <f t="shared" ca="1" si="1339"/>
        <v>#NAME?</v>
      </c>
      <c r="AV164" s="23" t="e">
        <f ca="1">+'QTR Raw'!P95</f>
        <v>#NAME?</v>
      </c>
      <c r="AW164" s="23" t="e">
        <f t="shared" ca="1" si="1339"/>
        <v>#NAME?</v>
      </c>
      <c r="AX164" s="23" t="e">
        <f ca="1">+'QTR Raw'!R95</f>
        <v>#NAME?</v>
      </c>
      <c r="AY164" s="23" t="e">
        <f t="shared" ca="1" si="1339"/>
        <v>#NAME?</v>
      </c>
      <c r="AZ164" s="23" t="e">
        <f ca="1">+'QTR Raw'!T95</f>
        <v>#NAME?</v>
      </c>
      <c r="BA164" s="23" t="e">
        <f t="shared" ca="1" si="1339"/>
        <v>#NAME?</v>
      </c>
      <c r="BB164" s="23" t="e">
        <f ca="1">+'QTR Raw'!V95</f>
        <v>#NAME?</v>
      </c>
      <c r="BC164" s="23" t="e">
        <f t="shared" ca="1" si="1339"/>
        <v>#NAME?</v>
      </c>
      <c r="BD164" s="23" t="e">
        <f ca="1">+'QTR Raw'!X95</f>
        <v>#NAME?</v>
      </c>
      <c r="BE164" s="23" t="e">
        <f t="shared" ca="1" si="1339"/>
        <v>#NAME?</v>
      </c>
      <c r="BF164" s="23" t="e">
        <f ca="1">+'QTR Raw'!Z95</f>
        <v>#NAME?</v>
      </c>
      <c r="BG164" s="23" t="e">
        <f t="shared" ca="1" si="1339"/>
        <v>#NAME?</v>
      </c>
      <c r="BH164" s="23" t="e">
        <f ca="1">+'QTR Raw'!AB95</f>
        <v>#NAME?</v>
      </c>
      <c r="BI164" s="23" t="e">
        <f t="shared" ca="1" si="1339"/>
        <v>#NAME?</v>
      </c>
      <c r="BJ164" s="23" t="e">
        <f ca="1">+'QTR Raw'!AD95</f>
        <v>#NAME?</v>
      </c>
      <c r="BK164" s="23" t="e">
        <f t="shared" ca="1" si="1339"/>
        <v>#NAME?</v>
      </c>
      <c r="BL164" s="23" t="e">
        <f ca="1">+'QTR Raw'!AF95</f>
        <v>#NAME?</v>
      </c>
      <c r="BM164" s="23" t="e">
        <f t="shared" ca="1" si="1339"/>
        <v>#NAME?</v>
      </c>
      <c r="BN164" s="23" t="e">
        <f ca="1">+'QTR Raw'!AH95</f>
        <v>#NAME?</v>
      </c>
      <c r="BO164" s="23" t="e">
        <f t="shared" ca="1" si="1339"/>
        <v>#NAME?</v>
      </c>
      <c r="BP164" s="23" t="e">
        <f ca="1">+'QTR Raw'!AJ95</f>
        <v>#NAME?</v>
      </c>
      <c r="BQ164" s="23" t="e">
        <f t="shared" ca="1" si="1339"/>
        <v>#NAME?</v>
      </c>
      <c r="BR164" s="23" t="e">
        <f ca="1">+'QTR Raw'!AL95</f>
        <v>#NAME?</v>
      </c>
      <c r="BS164" s="23" t="e">
        <f t="shared" ca="1" si="1339"/>
        <v>#NAME?</v>
      </c>
      <c r="BT164" s="23" t="e">
        <f ca="1">+'QTR Raw'!AN95</f>
        <v>#NAME?</v>
      </c>
      <c r="BU164" s="23" t="e">
        <f t="shared" ca="1" si="1339"/>
        <v>#NAME?</v>
      </c>
      <c r="BV164" s="23" t="e">
        <f ca="1">+'QTR Raw'!AP95</f>
        <v>#NAME?</v>
      </c>
      <c r="BW164" s="23" t="e">
        <f t="shared" ca="1" si="1339"/>
        <v>#NAME?</v>
      </c>
      <c r="BX164" s="23" t="e">
        <f ca="1">+'QTR Raw'!AR95</f>
        <v>#NAME?</v>
      </c>
      <c r="BY164" s="23" t="e">
        <f t="shared" ca="1" si="1339"/>
        <v>#NAME?</v>
      </c>
      <c r="BZ164" s="23" t="e">
        <f ca="1">+'QTR Raw'!AT95</f>
        <v>#NAME?</v>
      </c>
      <c r="CA164" s="23" t="e">
        <f t="shared" ca="1" si="1339"/>
        <v>#NAME?</v>
      </c>
      <c r="CB164" s="23" t="e">
        <f ca="1">+'QTR Raw'!AV95</f>
        <v>#NAME?</v>
      </c>
      <c r="CC164" s="23" t="e">
        <f t="shared" ca="1" si="1339"/>
        <v>#NAME?</v>
      </c>
      <c r="CD164" s="23" t="e">
        <f ca="1">+'QTR Raw'!AX95</f>
        <v>#NAME?</v>
      </c>
      <c r="CE164" s="23" t="e">
        <f t="shared" ca="1" si="1339"/>
        <v>#NAME?</v>
      </c>
      <c r="CF164" s="23" t="e">
        <f ca="1">+'QTR Raw'!AZ95</f>
        <v>#NAME?</v>
      </c>
      <c r="CG164" s="23" t="e">
        <f t="shared" ca="1" si="1320"/>
        <v>#NAME?</v>
      </c>
      <c r="CH164" s="23" t="e">
        <f t="shared" ca="1" si="1321"/>
        <v>#NAME?</v>
      </c>
      <c r="CI164" s="23" t="e">
        <f t="shared" ca="1" si="1320"/>
        <v>#NAME?</v>
      </c>
      <c r="CJ164" s="23" t="e">
        <f ca="1">+'QTR Raw'!BD95</f>
        <v>#NAME?</v>
      </c>
      <c r="CK164" s="23" t="e">
        <f t="shared" ca="1" si="1322"/>
        <v>#NAME?</v>
      </c>
      <c r="CL164" s="23" t="e">
        <f ca="1">+'QTR Raw'!BF95</f>
        <v>#NAME?</v>
      </c>
      <c r="CM164" s="24" t="e">
        <f t="shared" ca="1" si="1323"/>
        <v>#NAME?</v>
      </c>
      <c r="CN164" s="24" t="e">
        <f t="shared" ca="1" si="1324"/>
        <v>#NAME?</v>
      </c>
      <c r="CO164" s="24" t="e">
        <f t="shared" ca="1" si="1325"/>
        <v>#NAME?</v>
      </c>
      <c r="CP164" s="24" t="e">
        <f t="shared" ca="1" si="1326"/>
        <v>#NAME?</v>
      </c>
      <c r="CQ164" s="24" t="e">
        <f t="shared" ca="1" si="1327"/>
        <v>#NAME?</v>
      </c>
      <c r="CR164" s="24" t="e">
        <f t="shared" ca="1" si="1328"/>
        <v>#NAME?</v>
      </c>
      <c r="CS164" s="24" t="e">
        <f t="shared" ca="1" si="1329"/>
        <v>#NAME?</v>
      </c>
      <c r="CT164" s="24" t="e">
        <f t="shared" ca="1" si="1330"/>
        <v>#NAME?</v>
      </c>
      <c r="CU164" s="24" t="e">
        <f t="shared" ca="1" si="1331"/>
        <v>#NAME?</v>
      </c>
      <c r="CV164" s="24" t="e">
        <f t="shared" ca="1" si="1332"/>
        <v>#NAME?</v>
      </c>
      <c r="CW164" s="24" t="e">
        <f t="shared" ca="1" si="1333"/>
        <v>#NAME?</v>
      </c>
      <c r="CX164" s="24" t="e">
        <f t="shared" ca="1" si="1334"/>
        <v>#NAME?</v>
      </c>
      <c r="CY164" s="24" t="e">
        <f t="shared" ca="1" si="1335"/>
        <v>#NAME?</v>
      </c>
      <c r="CZ164" s="24" t="e">
        <f t="shared" ca="1" si="1336"/>
        <v>#NAME?</v>
      </c>
      <c r="DA164" s="24" t="e">
        <f t="shared" ca="1" si="1337"/>
        <v>#NAME?</v>
      </c>
      <c r="DB164" s="24" t="e">
        <f t="shared" ca="1" si="1338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0">B163+B161+B157+B140+B138+B164</f>
        <v>#NAME?</v>
      </c>
      <c r="C165" s="26" t="e">
        <f t="shared" ca="1" si="1340"/>
        <v>#NAME?</v>
      </c>
      <c r="D165" s="26" t="e">
        <f t="shared" ca="1" si="1340"/>
        <v>#NAME?</v>
      </c>
      <c r="E165" s="26" t="e">
        <f t="shared" ca="1" si="1340"/>
        <v>#NAME?</v>
      </c>
      <c r="F165" s="26" t="e">
        <f t="shared" ca="1" si="1340"/>
        <v>#NAME?</v>
      </c>
      <c r="G165" s="26" t="e">
        <f t="shared" ca="1" si="1340"/>
        <v>#NAME?</v>
      </c>
      <c r="H165" s="26" t="e">
        <f t="shared" ca="1" si="1340"/>
        <v>#NAME?</v>
      </c>
      <c r="I165" s="26" t="e">
        <f t="shared" ca="1" si="1340"/>
        <v>#NAME?</v>
      </c>
      <c r="J165" s="26" t="e">
        <f t="shared" ca="1" si="1340"/>
        <v>#NAME?</v>
      </c>
      <c r="K165" s="26" t="e">
        <f t="shared" ca="1" si="1340"/>
        <v>#NAME?</v>
      </c>
      <c r="L165" s="26" t="e">
        <f t="shared" ca="1" si="1340"/>
        <v>#NAME?</v>
      </c>
      <c r="M165" s="26" t="e">
        <f t="shared" ca="1" si="1340"/>
        <v>#NAME?</v>
      </c>
      <c r="N165" s="26" t="e">
        <f t="shared" ca="1" si="1340"/>
        <v>#NAME?</v>
      </c>
      <c r="O165" s="26" t="e">
        <f t="shared" ca="1" si="1340"/>
        <v>#NAME?</v>
      </c>
      <c r="P165" s="26" t="e">
        <f t="shared" ca="1" si="1340"/>
        <v>#NAME?</v>
      </c>
      <c r="Q165" s="26" t="e">
        <f t="shared" ca="1" si="1340"/>
        <v>#NAME?</v>
      </c>
      <c r="R165" s="26" t="e">
        <f t="shared" ca="1" si="1340"/>
        <v>#NAME?</v>
      </c>
      <c r="S165" s="26" t="e">
        <f t="shared" ca="1" si="1340"/>
        <v>#NAME?</v>
      </c>
      <c r="T165" s="26" t="e">
        <f t="shared" ca="1" si="1340"/>
        <v>#NAME?</v>
      </c>
      <c r="U165" s="26" t="e">
        <f t="shared" ca="1" si="1340"/>
        <v>#NAME?</v>
      </c>
      <c r="V165" s="26" t="e">
        <f t="shared" ca="1" si="1340"/>
        <v>#NAME?</v>
      </c>
      <c r="W165" s="26" t="e">
        <f t="shared" ca="1" si="1340"/>
        <v>#NAME?</v>
      </c>
      <c r="X165" s="26" t="e">
        <f t="shared" ref="X165:Y165" ca="1" si="1341">X163+X161+X157+X140+X138+X164</f>
        <v>#NAME?</v>
      </c>
      <c r="Y165" s="26" t="e">
        <f t="shared" ca="1" si="1341"/>
        <v>#NAME?</v>
      </c>
      <c r="Z165" s="26" t="e">
        <f t="shared" ref="Z165:AA165" ca="1" si="1342">Z163+Z161+Z157+Z140+Z138+Z164</f>
        <v>#NAME?</v>
      </c>
      <c r="AA165" s="26" t="e">
        <f t="shared" ca="1" si="1342"/>
        <v>#NAME?</v>
      </c>
      <c r="AB165" s="27" t="e">
        <f t="shared" ref="AA165:AD165" ca="1" si="1343">AB163+AB161+AB157+AB140+AB138+AB164</f>
        <v>#NAME?</v>
      </c>
      <c r="AC165" s="27" t="e">
        <f t="shared" ca="1" si="1343"/>
        <v>#NAME?</v>
      </c>
      <c r="AD165" s="27" t="e">
        <f t="shared" ca="1" si="1343"/>
        <v>#NAME?</v>
      </c>
      <c r="AE165" s="27" t="e">
        <f t="shared" ref="AE165" ca="1" si="1344">AE163+AE161+AE157+AE140+AE138+AE164</f>
        <v>#NAME?</v>
      </c>
      <c r="AJ165" s="26" t="e">
        <f t="shared" ref="AJ165" ca="1" si="1345">AJ163+AJ161+AJ157+AJ140+AJ138+AJ164</f>
        <v>#NAME?</v>
      </c>
      <c r="AK165" s="26" t="e">
        <f t="shared" ref="AK165:AL165" ca="1" si="1346">AK163+AK161+AK157+AK140+AK138+AK164</f>
        <v>#NAME?</v>
      </c>
      <c r="AL165" s="26" t="e">
        <f t="shared" ca="1" si="1346"/>
        <v>#NAME?</v>
      </c>
      <c r="AM165" s="26" t="e">
        <f t="shared" ref="AM165:AO165" ca="1" si="1347">AM163+AM161+AM157+AM140+AM138+AM164</f>
        <v>#NAME?</v>
      </c>
      <c r="AN165" s="26" t="e">
        <f t="shared" ca="1" si="1347"/>
        <v>#NAME?</v>
      </c>
      <c r="AO165" s="26" t="e">
        <f t="shared" ca="1" si="1347"/>
        <v>#NAME?</v>
      </c>
      <c r="AP165" s="26" t="e">
        <f t="shared" ref="AP165:CE165" ca="1" si="1348">AP163+AP161+AP157+AP140+AP138+AP164</f>
        <v>#NAME?</v>
      </c>
      <c r="AQ165" s="26" t="e">
        <f t="shared" ca="1" si="1348"/>
        <v>#NAME?</v>
      </c>
      <c r="AR165" s="26" t="e">
        <f t="shared" ca="1" si="1348"/>
        <v>#NAME?</v>
      </c>
      <c r="AS165" s="26" t="e">
        <f t="shared" ca="1" si="1348"/>
        <v>#NAME?</v>
      </c>
      <c r="AT165" s="26" t="e">
        <f t="shared" ca="1" si="1348"/>
        <v>#NAME?</v>
      </c>
      <c r="AU165" s="26" t="e">
        <f t="shared" ca="1" si="1348"/>
        <v>#NAME?</v>
      </c>
      <c r="AV165" s="26" t="e">
        <f t="shared" ca="1" si="1348"/>
        <v>#NAME?</v>
      </c>
      <c r="AW165" s="26" t="e">
        <f t="shared" ca="1" si="1348"/>
        <v>#NAME?</v>
      </c>
      <c r="AX165" s="26" t="e">
        <f t="shared" ca="1" si="1348"/>
        <v>#NAME?</v>
      </c>
      <c r="AY165" s="26" t="e">
        <f t="shared" ca="1" si="1348"/>
        <v>#NAME?</v>
      </c>
      <c r="AZ165" s="26" t="e">
        <f t="shared" ca="1" si="1348"/>
        <v>#NAME?</v>
      </c>
      <c r="BA165" s="26" t="e">
        <f t="shared" ca="1" si="1348"/>
        <v>#NAME?</v>
      </c>
      <c r="BB165" s="26" t="e">
        <f t="shared" ca="1" si="1348"/>
        <v>#NAME?</v>
      </c>
      <c r="BC165" s="26" t="e">
        <f t="shared" ca="1" si="1348"/>
        <v>#NAME?</v>
      </c>
      <c r="BD165" s="26" t="e">
        <f t="shared" ca="1" si="1348"/>
        <v>#NAME?</v>
      </c>
      <c r="BE165" s="26" t="e">
        <f t="shared" ca="1" si="1348"/>
        <v>#NAME?</v>
      </c>
      <c r="BF165" s="26" t="e">
        <f t="shared" ca="1" si="1348"/>
        <v>#NAME?</v>
      </c>
      <c r="BG165" s="26" t="e">
        <f t="shared" ca="1" si="1348"/>
        <v>#NAME?</v>
      </c>
      <c r="BH165" s="26" t="e">
        <f t="shared" ref="BH165" ca="1" si="1349">BH163+BH161+BH157+BH140+BH138+BH164</f>
        <v>#NAME?</v>
      </c>
      <c r="BI165" s="26" t="e">
        <f t="shared" ca="1" si="1348"/>
        <v>#NAME?</v>
      </c>
      <c r="BJ165" s="26" t="e">
        <f t="shared" ca="1" si="1348"/>
        <v>#NAME?</v>
      </c>
      <c r="BK165" s="26" t="e">
        <f t="shared" ca="1" si="1348"/>
        <v>#NAME?</v>
      </c>
      <c r="BL165" s="26" t="e">
        <f t="shared" ca="1" si="1348"/>
        <v>#NAME?</v>
      </c>
      <c r="BM165" s="26" t="e">
        <f t="shared" ca="1" si="1348"/>
        <v>#NAME?</v>
      </c>
      <c r="BN165" s="26" t="e">
        <f t="shared" ca="1" si="1348"/>
        <v>#NAME?</v>
      </c>
      <c r="BO165" s="26" t="e">
        <f t="shared" ca="1" si="1348"/>
        <v>#NAME?</v>
      </c>
      <c r="BP165" s="26" t="e">
        <f t="shared" ca="1" si="1348"/>
        <v>#NAME?</v>
      </c>
      <c r="BQ165" s="26" t="e">
        <f t="shared" ca="1" si="1348"/>
        <v>#NAME?</v>
      </c>
      <c r="BR165" s="26" t="e">
        <f t="shared" ca="1" si="1348"/>
        <v>#NAME?</v>
      </c>
      <c r="BS165" s="26" t="e">
        <f t="shared" ca="1" si="1348"/>
        <v>#NAME?</v>
      </c>
      <c r="BT165" s="26" t="e">
        <f t="shared" ca="1" si="1348"/>
        <v>#NAME?</v>
      </c>
      <c r="BU165" s="26" t="e">
        <f t="shared" ca="1" si="1348"/>
        <v>#NAME?</v>
      </c>
      <c r="BV165" s="26" t="e">
        <f t="shared" ca="1" si="1348"/>
        <v>#NAME?</v>
      </c>
      <c r="BW165" s="26" t="e">
        <f t="shared" ca="1" si="1348"/>
        <v>#NAME?</v>
      </c>
      <c r="BX165" s="26" t="e">
        <f t="shared" ca="1" si="1348"/>
        <v>#NAME?</v>
      </c>
      <c r="BY165" s="26" t="e">
        <f t="shared" ca="1" si="1348"/>
        <v>#NAME?</v>
      </c>
      <c r="BZ165" s="26" t="e">
        <f t="shared" ca="1" si="1348"/>
        <v>#NAME?</v>
      </c>
      <c r="CA165" s="26" t="e">
        <f t="shared" ca="1" si="1348"/>
        <v>#NAME?</v>
      </c>
      <c r="CB165" s="26" t="e">
        <f t="shared" ca="1" si="1348"/>
        <v>#NAME?</v>
      </c>
      <c r="CC165" s="26" t="e">
        <f t="shared" ca="1" si="1348"/>
        <v>#NAME?</v>
      </c>
      <c r="CD165" s="26" t="e">
        <f t="shared" ca="1" si="1348"/>
        <v>#NAME?</v>
      </c>
      <c r="CE165" s="26" t="e">
        <f t="shared" ca="1" si="1348"/>
        <v>#NAME?</v>
      </c>
      <c r="CF165" s="26" t="e">
        <f t="shared" ref="CF165:CG165" ca="1" si="1350">CF163+CF161+CF157+CF140+CF138+CF164</f>
        <v>#NAME?</v>
      </c>
      <c r="CG165" s="26" t="e">
        <f t="shared" ca="1" si="1350"/>
        <v>#NAME?</v>
      </c>
      <c r="CH165" s="26" t="e">
        <f t="shared" ref="CH165:CI165" ca="1" si="1351">CH163+CH161+CH157+CH140+CH138+CH164</f>
        <v>#NAME?</v>
      </c>
      <c r="CI165" s="26" t="e">
        <f t="shared" ca="1" si="1351"/>
        <v>#NAME?</v>
      </c>
      <c r="CJ165" s="26" t="e">
        <f t="shared" ref="CJ165:DB165" ca="1" si="1352">CJ163+CJ161+CJ157+CJ140+CJ138+CJ164</f>
        <v>#NAME?</v>
      </c>
      <c r="CK165" s="26" t="e">
        <f t="shared" ca="1" si="1352"/>
        <v>#NAME?</v>
      </c>
      <c r="CL165" s="26" t="e">
        <f t="shared" ref="CL165" ca="1" si="1353">CL163+CL161+CL157+CL140+CL138+CL164</f>
        <v>#NAME?</v>
      </c>
      <c r="CM165" s="27" t="e">
        <f t="shared" ca="1" si="1352"/>
        <v>#NAME?</v>
      </c>
      <c r="CN165" s="27" t="e">
        <f t="shared" ca="1" si="1352"/>
        <v>#NAME?</v>
      </c>
      <c r="CO165" s="27" t="e">
        <f t="shared" ca="1" si="1352"/>
        <v>#NAME?</v>
      </c>
      <c r="CP165" s="27" t="e">
        <f t="shared" ca="1" si="1352"/>
        <v>#NAME?</v>
      </c>
      <c r="CQ165" s="27" t="e">
        <f t="shared" ca="1" si="1352"/>
        <v>#NAME?</v>
      </c>
      <c r="CR165" s="27" t="e">
        <f t="shared" ca="1" si="1352"/>
        <v>#NAME?</v>
      </c>
      <c r="CS165" s="27" t="e">
        <f t="shared" ca="1" si="1352"/>
        <v>#NAME?</v>
      </c>
      <c r="CT165" s="27" t="e">
        <f t="shared" ca="1" si="1352"/>
        <v>#NAME?</v>
      </c>
      <c r="CU165" s="27" t="e">
        <f t="shared" ca="1" si="1352"/>
        <v>#NAME?</v>
      </c>
      <c r="CV165" s="27" t="e">
        <f t="shared" ca="1" si="1352"/>
        <v>#NAME?</v>
      </c>
      <c r="CW165" s="27" t="e">
        <f t="shared" ca="1" si="1352"/>
        <v>#NAME?</v>
      </c>
      <c r="CX165" s="27" t="e">
        <f t="shared" ca="1" si="1352"/>
        <v>#NAME?</v>
      </c>
      <c r="CY165" s="27" t="e">
        <f t="shared" ca="1" si="1352"/>
        <v>#NAME?</v>
      </c>
      <c r="CZ165" s="27" t="e">
        <f t="shared" ca="1" si="1352"/>
        <v>#NAME?</v>
      </c>
      <c r="DA165" s="27" t="e">
        <f t="shared" ca="1" si="1352"/>
        <v>#NAME?</v>
      </c>
      <c r="DB165" s="27" t="e">
        <f t="shared" ca="1" si="1352"/>
        <v>#NAME?</v>
      </c>
      <c r="DE165" s="121"/>
      <c r="DF165" s="26">
        <v>5181.41</v>
      </c>
    </row>
    <row r="166" spans="1:110" s="23" customFormat="1" x14ac:dyDescent="0.2">
      <c r="A166" s="28" t="s">
        <v>439</v>
      </c>
      <c r="B166" s="23" t="e">
        <f t="shared" ref="B166:W166" ca="1" si="1354">B165-B129</f>
        <v>#NAME?</v>
      </c>
      <c r="C166" s="23" t="e">
        <f t="shared" ca="1" si="1354"/>
        <v>#NAME?</v>
      </c>
      <c r="D166" s="23" t="e">
        <f t="shared" ca="1" si="1354"/>
        <v>#NAME?</v>
      </c>
      <c r="E166" s="23" t="e">
        <f t="shared" ca="1" si="1354"/>
        <v>#NAME?</v>
      </c>
      <c r="F166" s="23" t="e">
        <f t="shared" ca="1" si="1354"/>
        <v>#NAME?</v>
      </c>
      <c r="G166" s="23" t="e">
        <f t="shared" ca="1" si="1354"/>
        <v>#NAME?</v>
      </c>
      <c r="H166" s="23" t="e">
        <f t="shared" ca="1" si="1354"/>
        <v>#NAME?</v>
      </c>
      <c r="I166" s="23" t="e">
        <f t="shared" ca="1" si="1354"/>
        <v>#NAME?</v>
      </c>
      <c r="J166" s="23" t="e">
        <f t="shared" ca="1" si="1354"/>
        <v>#NAME?</v>
      </c>
      <c r="K166" s="23" t="e">
        <f t="shared" ca="1" si="1354"/>
        <v>#NAME?</v>
      </c>
      <c r="L166" s="23" t="e">
        <f t="shared" ca="1" si="1354"/>
        <v>#NAME?</v>
      </c>
      <c r="M166" s="23" t="e">
        <f t="shared" ca="1" si="1354"/>
        <v>#NAME?</v>
      </c>
      <c r="N166" s="23" t="e">
        <f t="shared" ca="1" si="1354"/>
        <v>#NAME?</v>
      </c>
      <c r="O166" s="23" t="e">
        <f t="shared" ca="1" si="1354"/>
        <v>#NAME?</v>
      </c>
      <c r="P166" s="23" t="e">
        <f t="shared" ca="1" si="1354"/>
        <v>#NAME?</v>
      </c>
      <c r="Q166" s="23" t="e">
        <f t="shared" ca="1" si="1354"/>
        <v>#NAME?</v>
      </c>
      <c r="R166" s="23" t="e">
        <f t="shared" ca="1" si="1354"/>
        <v>#NAME?</v>
      </c>
      <c r="S166" s="23" t="e">
        <f t="shared" ca="1" si="1354"/>
        <v>#NAME?</v>
      </c>
      <c r="T166" s="23" t="e">
        <f t="shared" ca="1" si="1354"/>
        <v>#NAME?</v>
      </c>
      <c r="U166" s="23" t="e">
        <f t="shared" ca="1" si="1354"/>
        <v>#NAME?</v>
      </c>
      <c r="V166" s="23" t="e">
        <f t="shared" ca="1" si="1354"/>
        <v>#NAME?</v>
      </c>
      <c r="W166" s="23" t="e">
        <f t="shared" ca="1" si="1354"/>
        <v>#NAME?</v>
      </c>
      <c r="X166" s="23" t="e">
        <f t="shared" ref="X166:Y166" ca="1" si="1355">X165-X129</f>
        <v>#NAME?</v>
      </c>
      <c r="Y166" s="23" t="e">
        <f t="shared" ca="1" si="1355"/>
        <v>#NAME?</v>
      </c>
      <c r="Z166" s="23" t="e">
        <f t="shared" ref="Z166:AA166" ca="1" si="1356">Z165-Z129</f>
        <v>#NAME?</v>
      </c>
      <c r="AA166" s="23" t="e">
        <f t="shared" ca="1" si="1356"/>
        <v>#NAME?</v>
      </c>
      <c r="AB166" s="24" t="e">
        <f t="shared" ref="AA166:AD166" ca="1" si="1357">AB165-AB129</f>
        <v>#NAME?</v>
      </c>
      <c r="AC166" s="24" t="e">
        <f t="shared" ca="1" si="1357"/>
        <v>#NAME?</v>
      </c>
      <c r="AD166" s="24" t="e">
        <f t="shared" ca="1" si="1357"/>
        <v>#NAME?</v>
      </c>
      <c r="AE166" s="24" t="e">
        <f t="shared" ref="AE166" ca="1" si="1358">AE165-AE129</f>
        <v>#NAME?</v>
      </c>
      <c r="AJ166" s="23" t="e">
        <f t="shared" ref="AJ166" ca="1" si="1359">AJ165-AJ129</f>
        <v>#NAME?</v>
      </c>
      <c r="AK166" s="23" t="e">
        <f t="shared" ref="AK166" ca="1" si="1360">AK165-AK129</f>
        <v>#NAME?</v>
      </c>
      <c r="AL166" s="23" t="e">
        <f t="shared" ref="AL166:AM166" ca="1" si="1361">AL165-AL129</f>
        <v>#NAME?</v>
      </c>
      <c r="AM166" s="23" t="e">
        <f t="shared" ca="1" si="1361"/>
        <v>#NAME?</v>
      </c>
      <c r="AN166" s="23" t="e">
        <f t="shared" ref="AN166:AO166" ca="1" si="1362">AN165-AN129</f>
        <v>#NAME?</v>
      </c>
      <c r="AO166" s="23" t="e">
        <f t="shared" ca="1" si="1362"/>
        <v>#NAME?</v>
      </c>
      <c r="AP166" s="23" t="e">
        <f t="shared" ref="AP166:CE166" ca="1" si="1363">AP165-AP129</f>
        <v>#NAME?</v>
      </c>
      <c r="AQ166" s="23" t="e">
        <f t="shared" ca="1" si="1363"/>
        <v>#NAME?</v>
      </c>
      <c r="AR166" s="23" t="e">
        <f t="shared" ca="1" si="1363"/>
        <v>#NAME?</v>
      </c>
      <c r="AS166" s="23" t="e">
        <f t="shared" ca="1" si="1363"/>
        <v>#NAME?</v>
      </c>
      <c r="AT166" s="23" t="e">
        <f t="shared" ca="1" si="1363"/>
        <v>#NAME?</v>
      </c>
      <c r="AU166" s="23" t="e">
        <f t="shared" ca="1" si="1363"/>
        <v>#NAME?</v>
      </c>
      <c r="AV166" s="23" t="e">
        <f t="shared" ca="1" si="1363"/>
        <v>#NAME?</v>
      </c>
      <c r="AW166" s="23" t="e">
        <f t="shared" ca="1" si="1363"/>
        <v>#NAME?</v>
      </c>
      <c r="AX166" s="23" t="e">
        <f t="shared" ca="1" si="1363"/>
        <v>#NAME?</v>
      </c>
      <c r="AY166" s="23" t="e">
        <f t="shared" ca="1" si="1363"/>
        <v>#NAME?</v>
      </c>
      <c r="AZ166" s="23" t="e">
        <f t="shared" ca="1" si="1363"/>
        <v>#NAME?</v>
      </c>
      <c r="BA166" s="23" t="e">
        <f t="shared" ca="1" si="1363"/>
        <v>#NAME?</v>
      </c>
      <c r="BB166" s="23" t="e">
        <f t="shared" ca="1" si="1363"/>
        <v>#NAME?</v>
      </c>
      <c r="BC166" s="23" t="e">
        <f t="shared" ca="1" si="1363"/>
        <v>#NAME?</v>
      </c>
      <c r="BD166" s="23" t="e">
        <f t="shared" ca="1" si="1363"/>
        <v>#NAME?</v>
      </c>
      <c r="BE166" s="23" t="e">
        <f t="shared" ca="1" si="1363"/>
        <v>#NAME?</v>
      </c>
      <c r="BF166" s="23" t="e">
        <f t="shared" ca="1" si="1363"/>
        <v>#NAME?</v>
      </c>
      <c r="BG166" s="23" t="e">
        <f t="shared" ca="1" si="1363"/>
        <v>#NAME?</v>
      </c>
      <c r="BH166" s="23" t="e">
        <f t="shared" ref="BH166" ca="1" si="1364">BH165-BH129</f>
        <v>#NAME?</v>
      </c>
      <c r="BI166" s="23" t="e">
        <f t="shared" ca="1" si="1363"/>
        <v>#NAME?</v>
      </c>
      <c r="BJ166" s="23" t="e">
        <f t="shared" ca="1" si="1363"/>
        <v>#NAME?</v>
      </c>
      <c r="BK166" s="23" t="e">
        <f t="shared" ca="1" si="1363"/>
        <v>#NAME?</v>
      </c>
      <c r="BL166" s="23" t="e">
        <f t="shared" ca="1" si="1363"/>
        <v>#NAME?</v>
      </c>
      <c r="BM166" s="23" t="e">
        <f t="shared" ca="1" si="1363"/>
        <v>#NAME?</v>
      </c>
      <c r="BN166" s="23" t="e">
        <f t="shared" ca="1" si="1363"/>
        <v>#NAME?</v>
      </c>
      <c r="BO166" s="23" t="e">
        <f t="shared" ca="1" si="1363"/>
        <v>#NAME?</v>
      </c>
      <c r="BP166" s="23" t="e">
        <f t="shared" ca="1" si="1363"/>
        <v>#NAME?</v>
      </c>
      <c r="BQ166" s="23" t="e">
        <f t="shared" ca="1" si="1363"/>
        <v>#NAME?</v>
      </c>
      <c r="BR166" s="23" t="e">
        <f t="shared" ca="1" si="1363"/>
        <v>#NAME?</v>
      </c>
      <c r="BS166" s="23" t="e">
        <f t="shared" ca="1" si="1363"/>
        <v>#NAME?</v>
      </c>
      <c r="BT166" s="23" t="e">
        <f t="shared" ca="1" si="1363"/>
        <v>#NAME?</v>
      </c>
      <c r="BU166" s="23" t="e">
        <f t="shared" ca="1" si="1363"/>
        <v>#NAME?</v>
      </c>
      <c r="BV166" s="23" t="e">
        <f t="shared" ca="1" si="1363"/>
        <v>#NAME?</v>
      </c>
      <c r="BW166" s="23" t="e">
        <f t="shared" ca="1" si="1363"/>
        <v>#NAME?</v>
      </c>
      <c r="BX166" s="23" t="e">
        <f t="shared" ca="1" si="1363"/>
        <v>#NAME?</v>
      </c>
      <c r="BY166" s="23" t="e">
        <f t="shared" ca="1" si="1363"/>
        <v>#NAME?</v>
      </c>
      <c r="BZ166" s="23" t="e">
        <f t="shared" ca="1" si="1363"/>
        <v>#NAME?</v>
      </c>
      <c r="CA166" s="23" t="e">
        <f t="shared" ca="1" si="1363"/>
        <v>#NAME?</v>
      </c>
      <c r="CB166" s="23" t="e">
        <f t="shared" ca="1" si="1363"/>
        <v>#NAME?</v>
      </c>
      <c r="CC166" s="23" t="e">
        <f t="shared" ca="1" si="1363"/>
        <v>#NAME?</v>
      </c>
      <c r="CD166" s="23" t="e">
        <f t="shared" ca="1" si="1363"/>
        <v>#NAME?</v>
      </c>
      <c r="CE166" s="23" t="e">
        <f t="shared" ca="1" si="1363"/>
        <v>#NAME?</v>
      </c>
      <c r="CF166" s="23" t="e">
        <f t="shared" ref="CF166:CG166" ca="1" si="1365">CF165-CF129</f>
        <v>#NAME?</v>
      </c>
      <c r="CG166" s="23" t="e">
        <f t="shared" ca="1" si="1365"/>
        <v>#NAME?</v>
      </c>
      <c r="CH166" s="23" t="e">
        <f t="shared" ref="CH166:CI166" ca="1" si="1366">CH165-CH129</f>
        <v>#NAME?</v>
      </c>
      <c r="CI166" s="23" t="e">
        <f t="shared" ca="1" si="1366"/>
        <v>#NAME?</v>
      </c>
      <c r="CJ166" s="23" t="e">
        <f t="shared" ref="CJ166:DB166" ca="1" si="1367">CJ165-CJ129</f>
        <v>#NAME?</v>
      </c>
      <c r="CK166" s="23" t="e">
        <f t="shared" ca="1" si="1367"/>
        <v>#NAME?</v>
      </c>
      <c r="CL166" s="23" t="e">
        <f t="shared" ref="CL166" ca="1" si="1368">CL165-CL129</f>
        <v>#NAME?</v>
      </c>
      <c r="CM166" s="24" t="e">
        <f t="shared" ca="1" si="1367"/>
        <v>#NAME?</v>
      </c>
      <c r="CN166" s="24" t="e">
        <f t="shared" ca="1" si="1367"/>
        <v>#NAME?</v>
      </c>
      <c r="CO166" s="24" t="e">
        <f t="shared" ca="1" si="1367"/>
        <v>#NAME?</v>
      </c>
      <c r="CP166" s="24" t="e">
        <f t="shared" ca="1" si="1367"/>
        <v>#NAME?</v>
      </c>
      <c r="CQ166" s="24" t="e">
        <f t="shared" ca="1" si="1367"/>
        <v>#NAME?</v>
      </c>
      <c r="CR166" s="24" t="e">
        <f t="shared" ca="1" si="1367"/>
        <v>#NAME?</v>
      </c>
      <c r="CS166" s="24" t="e">
        <f t="shared" ca="1" si="1367"/>
        <v>#NAME?</v>
      </c>
      <c r="CT166" s="24" t="e">
        <f t="shared" ca="1" si="1367"/>
        <v>#NAME?</v>
      </c>
      <c r="CU166" s="24" t="e">
        <f t="shared" ca="1" si="1367"/>
        <v>#NAME?</v>
      </c>
      <c r="CV166" s="24" t="e">
        <f t="shared" ca="1" si="1367"/>
        <v>#NAME?</v>
      </c>
      <c r="CW166" s="24" t="e">
        <f t="shared" ca="1" si="1367"/>
        <v>#NAME?</v>
      </c>
      <c r="CX166" s="24" t="e">
        <f t="shared" ca="1" si="1367"/>
        <v>#NAME?</v>
      </c>
      <c r="CY166" s="24" t="e">
        <f t="shared" ca="1" si="1367"/>
        <v>#NAME?</v>
      </c>
      <c r="CZ166" s="24" t="e">
        <f t="shared" ca="1" si="1367"/>
        <v>#NAME?</v>
      </c>
      <c r="DA166" s="24" t="e">
        <f t="shared" ca="1" si="1367"/>
        <v>#NAME?</v>
      </c>
      <c r="DB166" s="24" t="e">
        <f t="shared" ca="1" si="1367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69">B128-B161</f>
        <v>#NAME?</v>
      </c>
      <c r="C168" s="22" t="e">
        <f t="shared" ca="1" si="1369"/>
        <v>#NAME?</v>
      </c>
      <c r="D168" s="22" t="e">
        <f t="shared" ca="1" si="1369"/>
        <v>#NAME?</v>
      </c>
      <c r="E168" s="22" t="e">
        <f t="shared" ca="1" si="1369"/>
        <v>#NAME?</v>
      </c>
      <c r="F168" s="22" t="e">
        <f t="shared" ca="1" si="1369"/>
        <v>#NAME?</v>
      </c>
      <c r="G168" s="22" t="e">
        <f t="shared" ca="1" si="1369"/>
        <v>#NAME?</v>
      </c>
      <c r="H168" s="22" t="e">
        <f t="shared" ca="1" si="1369"/>
        <v>#NAME?</v>
      </c>
      <c r="I168" s="22" t="e">
        <f t="shared" ca="1" si="1369"/>
        <v>#NAME?</v>
      </c>
      <c r="J168" s="22" t="e">
        <f t="shared" ca="1" si="1369"/>
        <v>#NAME?</v>
      </c>
      <c r="K168" s="22" t="e">
        <f t="shared" ca="1" si="1369"/>
        <v>#NAME?</v>
      </c>
      <c r="L168" s="22" t="e">
        <f t="shared" ca="1" si="1369"/>
        <v>#NAME?</v>
      </c>
      <c r="M168" s="22" t="e">
        <f t="shared" ca="1" si="1369"/>
        <v>#NAME?</v>
      </c>
      <c r="N168" s="22" t="e">
        <f t="shared" ca="1" si="1369"/>
        <v>#NAME?</v>
      </c>
      <c r="O168" s="22" t="e">
        <f t="shared" ca="1" si="1369"/>
        <v>#NAME?</v>
      </c>
      <c r="P168" s="22" t="e">
        <f t="shared" ca="1" si="1369"/>
        <v>#NAME?</v>
      </c>
      <c r="Q168" s="22" t="e">
        <f t="shared" ca="1" si="1369"/>
        <v>#NAME?</v>
      </c>
      <c r="R168" s="22" t="e">
        <f t="shared" ca="1" si="1369"/>
        <v>#NAME?</v>
      </c>
      <c r="S168" s="22" t="e">
        <f t="shared" ca="1" si="1369"/>
        <v>#NAME?</v>
      </c>
      <c r="T168" s="22" t="e">
        <f t="shared" ca="1" si="1369"/>
        <v>#NAME?</v>
      </c>
      <c r="U168" s="22" t="e">
        <f t="shared" ca="1" si="1369"/>
        <v>#NAME?</v>
      </c>
      <c r="V168" s="22" t="e">
        <f t="shared" ca="1" si="1369"/>
        <v>#NAME?</v>
      </c>
      <c r="W168" s="22" t="e">
        <f t="shared" ca="1" si="1369"/>
        <v>#NAME?</v>
      </c>
      <c r="X168" s="22" t="e">
        <f t="shared" ref="X168:Y168" ca="1" si="1370">X128-X161</f>
        <v>#NAME?</v>
      </c>
      <c r="Y168" s="22" t="e">
        <f t="shared" ca="1" si="1370"/>
        <v>#NAME?</v>
      </c>
      <c r="Z168" s="22" t="e">
        <f t="shared" ref="Z168:AA168" ca="1" si="1371">Z128-Z161</f>
        <v>#NAME?</v>
      </c>
      <c r="AA168" s="22" t="e">
        <f t="shared" ca="1" si="1371"/>
        <v>#NAME?</v>
      </c>
      <c r="AB168" s="21" t="e">
        <f t="shared" ref="AA168:AD168" ca="1" si="1372">AB128-AB161</f>
        <v>#NAME?</v>
      </c>
      <c r="AC168" s="21" t="e">
        <f t="shared" ca="1" si="1372"/>
        <v>#NAME?</v>
      </c>
      <c r="AD168" s="21" t="e">
        <f t="shared" ca="1" si="1372"/>
        <v>#NAME?</v>
      </c>
      <c r="AE168" s="21" t="e">
        <f t="shared" ref="AE168" ca="1" si="1373">AE128-AE161</f>
        <v>#NAME?</v>
      </c>
      <c r="AJ168" s="22" t="e">
        <f t="shared" ref="AJ168:AM168" ca="1" si="1374">AJ128-AJ161</f>
        <v>#NAME?</v>
      </c>
      <c r="AK168" s="22" t="e">
        <f t="shared" ca="1" si="1374"/>
        <v>#NAME?</v>
      </c>
      <c r="AL168" s="22" t="e">
        <f t="shared" ca="1" si="1374"/>
        <v>#NAME?</v>
      </c>
      <c r="AM168" s="22" t="e">
        <f t="shared" ca="1" si="1374"/>
        <v>#NAME?</v>
      </c>
      <c r="AN168" s="22" t="e">
        <f t="shared" ref="AN168:AO168" ca="1" si="1375">AN128-AN161</f>
        <v>#NAME?</v>
      </c>
      <c r="AO168" s="22" t="e">
        <f t="shared" ca="1" si="1375"/>
        <v>#NAME?</v>
      </c>
      <c r="AP168" s="22" t="e">
        <f t="shared" ref="AP168:CE168" ca="1" si="1376">AP128-AP161</f>
        <v>#NAME?</v>
      </c>
      <c r="AQ168" s="22" t="e">
        <f t="shared" ca="1" si="1376"/>
        <v>#NAME?</v>
      </c>
      <c r="AR168" s="22" t="e">
        <f t="shared" ca="1" si="1376"/>
        <v>#NAME?</v>
      </c>
      <c r="AS168" s="22" t="e">
        <f t="shared" ca="1" si="1376"/>
        <v>#NAME?</v>
      </c>
      <c r="AT168" s="22" t="e">
        <f t="shared" ca="1" si="1376"/>
        <v>#NAME?</v>
      </c>
      <c r="AU168" s="22" t="e">
        <f t="shared" ca="1" si="1376"/>
        <v>#NAME?</v>
      </c>
      <c r="AV168" s="22" t="e">
        <f t="shared" ca="1" si="1376"/>
        <v>#NAME?</v>
      </c>
      <c r="AW168" s="22" t="e">
        <f t="shared" ca="1" si="1376"/>
        <v>#NAME?</v>
      </c>
      <c r="AX168" s="22" t="e">
        <f t="shared" ca="1" si="1376"/>
        <v>#NAME?</v>
      </c>
      <c r="AY168" s="22" t="e">
        <f t="shared" ca="1" si="1376"/>
        <v>#NAME?</v>
      </c>
      <c r="AZ168" s="22" t="e">
        <f t="shared" ca="1" si="1376"/>
        <v>#NAME?</v>
      </c>
      <c r="BA168" s="22" t="e">
        <f t="shared" ca="1" si="1376"/>
        <v>#NAME?</v>
      </c>
      <c r="BB168" s="22" t="e">
        <f t="shared" ca="1" si="1376"/>
        <v>#NAME?</v>
      </c>
      <c r="BC168" s="22" t="e">
        <f t="shared" ca="1" si="1376"/>
        <v>#NAME?</v>
      </c>
      <c r="BD168" s="22" t="e">
        <f t="shared" ca="1" si="1376"/>
        <v>#NAME?</v>
      </c>
      <c r="BE168" s="22" t="e">
        <f t="shared" ca="1" si="1376"/>
        <v>#NAME?</v>
      </c>
      <c r="BF168" s="22" t="e">
        <f t="shared" ca="1" si="1376"/>
        <v>#NAME?</v>
      </c>
      <c r="BG168" s="22" t="e">
        <f t="shared" ca="1" si="1376"/>
        <v>#NAME?</v>
      </c>
      <c r="BH168" s="22" t="e">
        <f t="shared" ca="1" si="1376"/>
        <v>#NAME?</v>
      </c>
      <c r="BI168" s="22" t="e">
        <f t="shared" ca="1" si="1376"/>
        <v>#NAME?</v>
      </c>
      <c r="BJ168" s="22" t="e">
        <f t="shared" ca="1" si="1376"/>
        <v>#NAME?</v>
      </c>
      <c r="BK168" s="22" t="e">
        <f t="shared" ca="1" si="1376"/>
        <v>#NAME?</v>
      </c>
      <c r="BL168" s="22" t="e">
        <f t="shared" ca="1" si="1376"/>
        <v>#NAME?</v>
      </c>
      <c r="BM168" s="22" t="e">
        <f t="shared" ca="1" si="1376"/>
        <v>#NAME?</v>
      </c>
      <c r="BN168" s="22" t="e">
        <f t="shared" ca="1" si="1376"/>
        <v>#NAME?</v>
      </c>
      <c r="BO168" s="22" t="e">
        <f t="shared" ca="1" si="1376"/>
        <v>#NAME?</v>
      </c>
      <c r="BP168" s="22" t="e">
        <f t="shared" ca="1" si="1376"/>
        <v>#NAME?</v>
      </c>
      <c r="BQ168" s="22" t="e">
        <f t="shared" ca="1" si="1376"/>
        <v>#NAME?</v>
      </c>
      <c r="BR168" s="22" t="e">
        <f t="shared" ca="1" si="1376"/>
        <v>#NAME?</v>
      </c>
      <c r="BS168" s="22" t="e">
        <f t="shared" ca="1" si="1376"/>
        <v>#NAME?</v>
      </c>
      <c r="BT168" s="22" t="e">
        <f t="shared" ca="1" si="1376"/>
        <v>#NAME?</v>
      </c>
      <c r="BU168" s="22" t="e">
        <f t="shared" ca="1" si="1376"/>
        <v>#NAME?</v>
      </c>
      <c r="BV168" s="22" t="e">
        <f t="shared" ca="1" si="1376"/>
        <v>#NAME?</v>
      </c>
      <c r="BW168" s="22" t="e">
        <f t="shared" ca="1" si="1376"/>
        <v>#NAME?</v>
      </c>
      <c r="BX168" s="22" t="e">
        <f t="shared" ca="1" si="1376"/>
        <v>#NAME?</v>
      </c>
      <c r="BY168" s="22" t="e">
        <f t="shared" ca="1" si="1376"/>
        <v>#NAME?</v>
      </c>
      <c r="BZ168" s="22" t="e">
        <f t="shared" ca="1" si="1376"/>
        <v>#NAME?</v>
      </c>
      <c r="CA168" s="22" t="e">
        <f t="shared" ca="1" si="1376"/>
        <v>#NAME?</v>
      </c>
      <c r="CB168" s="22" t="e">
        <f t="shared" ca="1" si="1376"/>
        <v>#NAME?</v>
      </c>
      <c r="CC168" s="22" t="e">
        <f t="shared" ca="1" si="1376"/>
        <v>#NAME?</v>
      </c>
      <c r="CD168" s="22" t="e">
        <f t="shared" ca="1" si="1376"/>
        <v>#NAME?</v>
      </c>
      <c r="CE168" s="22" t="e">
        <f t="shared" ca="1" si="1376"/>
        <v>#NAME?</v>
      </c>
      <c r="CF168" s="22" t="e">
        <f t="shared" ref="CF168:CG168" ca="1" si="1377">CF128-CF161</f>
        <v>#NAME?</v>
      </c>
      <c r="CG168" s="22" t="e">
        <f t="shared" ca="1" si="1377"/>
        <v>#NAME?</v>
      </c>
      <c r="CH168" s="22" t="e">
        <f t="shared" ref="CH168:CI168" ca="1" si="1378">CH128-CH161</f>
        <v>#NAME?</v>
      </c>
      <c r="CI168" s="22" t="e">
        <f t="shared" ca="1" si="1378"/>
        <v>#NAME?</v>
      </c>
      <c r="CJ168" s="22" t="e">
        <f t="shared" ref="CJ168:DB168" ca="1" si="1379">CJ128-CJ161</f>
        <v>#NAME?</v>
      </c>
      <c r="CK168" s="22" t="e">
        <f t="shared" ca="1" si="1379"/>
        <v>#NAME?</v>
      </c>
      <c r="CL168" s="22" t="e">
        <f t="shared" ref="CL168" ca="1" si="1380">CL128-CL161</f>
        <v>#NAME?</v>
      </c>
      <c r="CM168" s="21" t="e">
        <f t="shared" ca="1" si="1379"/>
        <v>#NAME?</v>
      </c>
      <c r="CN168" s="21" t="e">
        <f t="shared" ca="1" si="1379"/>
        <v>#NAME?</v>
      </c>
      <c r="CO168" s="21" t="e">
        <f t="shared" ca="1" si="1379"/>
        <v>#NAME?</v>
      </c>
      <c r="CP168" s="21" t="e">
        <f t="shared" ca="1" si="1379"/>
        <v>#NAME?</v>
      </c>
      <c r="CQ168" s="21" t="e">
        <f t="shared" ca="1" si="1379"/>
        <v>#NAME?</v>
      </c>
      <c r="CR168" s="21" t="e">
        <f t="shared" ca="1" si="1379"/>
        <v>#NAME?</v>
      </c>
      <c r="CS168" s="21" t="e">
        <f t="shared" ca="1" si="1379"/>
        <v>#NAME?</v>
      </c>
      <c r="CT168" s="21" t="e">
        <f t="shared" ca="1" si="1379"/>
        <v>#NAME?</v>
      </c>
      <c r="CU168" s="21" t="e">
        <f t="shared" ca="1" si="1379"/>
        <v>#NAME?</v>
      </c>
      <c r="CV168" s="21" t="e">
        <f t="shared" ca="1" si="1379"/>
        <v>#NAME?</v>
      </c>
      <c r="CW168" s="21" t="e">
        <f t="shared" ca="1" si="1379"/>
        <v>#NAME?</v>
      </c>
      <c r="CX168" s="21" t="e">
        <f t="shared" ca="1" si="1379"/>
        <v>#NAME?</v>
      </c>
      <c r="CY168" s="21" t="e">
        <f t="shared" ca="1" si="1379"/>
        <v>#NAME?</v>
      </c>
      <c r="CZ168" s="21" t="e">
        <f t="shared" ca="1" si="1379"/>
        <v>#NAME?</v>
      </c>
      <c r="DA168" s="21" t="e">
        <f t="shared" ca="1" si="1379"/>
        <v>#NAME?</v>
      </c>
      <c r="DB168" s="21" t="e">
        <f t="shared" ca="1" si="1379"/>
        <v>#NAME?</v>
      </c>
      <c r="DE168" s="126"/>
      <c r="DF168" s="22">
        <v>-1316.4299999999998</v>
      </c>
    </row>
    <row r="169" spans="1:110" x14ac:dyDescent="0.2">
      <c r="AA169" s="2"/>
      <c r="CE169" s="111"/>
      <c r="CG169" s="111"/>
    </row>
    <row r="170" spans="1:110" s="49" customFormat="1" x14ac:dyDescent="0.2">
      <c r="A170" s="49" t="s">
        <v>81</v>
      </c>
      <c r="B170" s="49" t="e">
        <f ca="1">'Annual Raw'!C86</f>
        <v>#NAME?</v>
      </c>
      <c r="C170" s="49" t="e">
        <f ca="1">'Annual Raw'!D86</f>
        <v>#NAME?</v>
      </c>
      <c r="D170" s="49" t="e">
        <f ca="1">'Annual Raw'!E86</f>
        <v>#NAME?</v>
      </c>
      <c r="E170" s="49" t="e">
        <f ca="1">'Annual Raw'!F86</f>
        <v>#NAME?</v>
      </c>
      <c r="F170" s="49" t="e">
        <f ca="1">'Annual Raw'!G86</f>
        <v>#NAME?</v>
      </c>
      <c r="G170" s="49" t="e">
        <f ca="1">'Annual Raw'!H86</f>
        <v>#NAME?</v>
      </c>
      <c r="H170" s="49" t="e">
        <f ca="1">'Annual Raw'!I86</f>
        <v>#NAME?</v>
      </c>
      <c r="I170" s="49" t="e">
        <f ca="1">'Annual Raw'!J86</f>
        <v>#NAME?</v>
      </c>
      <c r="J170" s="49" t="e">
        <f ca="1">'Annual Raw'!K86</f>
        <v>#NAME?</v>
      </c>
      <c r="K170" s="49" t="e">
        <f ca="1">'Annual Raw'!L86</f>
        <v>#NAME?</v>
      </c>
      <c r="L170" s="49" t="e">
        <f ca="1">'Annual Raw'!M86</f>
        <v>#NAME?</v>
      </c>
      <c r="M170" s="49" t="e">
        <f ca="1">'Annual Raw'!N86</f>
        <v>#NAME?</v>
      </c>
      <c r="N170" s="49" t="e">
        <f ca="1">'Annual Raw'!O86</f>
        <v>#NAME?</v>
      </c>
      <c r="O170" s="49" t="e">
        <f ca="1">'Annual Raw'!P86</f>
        <v>#NAME?</v>
      </c>
      <c r="P170" s="49" t="e">
        <f ca="1">'Annual Raw'!Q86</f>
        <v>#NAME?</v>
      </c>
      <c r="Q170" s="49" t="e">
        <f ca="1">'Annual Raw'!R86</f>
        <v>#NAME?</v>
      </c>
      <c r="R170" s="49" t="e">
        <f ca="1">'Annual Raw'!S86</f>
        <v>#NAME?</v>
      </c>
      <c r="S170" s="49" t="e">
        <f ca="1">'Annual Raw'!T86</f>
        <v>#NAME?</v>
      </c>
      <c r="T170" s="49" t="e">
        <f ca="1">'Annual Raw'!U86</f>
        <v>#NAME?</v>
      </c>
      <c r="U170" s="49" t="e">
        <f ca="1">'Annual Raw'!V86</f>
        <v>#NAME?</v>
      </c>
      <c r="V170" s="49" t="e">
        <f ca="1">'Annual Raw'!W86</f>
        <v>#NAME?</v>
      </c>
      <c r="W170" s="49" t="e">
        <f ca="1">'Annual Raw'!X86</f>
        <v>#NAME?</v>
      </c>
      <c r="X170" s="49" t="e">
        <f ca="1">'Annual Raw'!Y86</f>
        <v>#NAME?</v>
      </c>
      <c r="Y170" s="49" t="e">
        <f ca="1">'Annual Raw'!Z86</f>
        <v>#NAME?</v>
      </c>
      <c r="Z170" s="49" t="e">
        <f ca="1">'Annual Raw'!AA86</f>
        <v>#NAME?</v>
      </c>
      <c r="AA170" s="49" t="e">
        <f ca="1">'Annual Raw'!AB86</f>
        <v>#NAME?</v>
      </c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Raw'!C96</f>
        <v>#NAME?</v>
      </c>
      <c r="C171" s="29" t="e">
        <f ca="1">'Annual Raw'!D96</f>
        <v>#NAME?</v>
      </c>
      <c r="D171" s="29" t="e">
        <f ca="1">'Annual Raw'!E96</f>
        <v>#NAME?</v>
      </c>
      <c r="E171" s="29" t="e">
        <f ca="1">'Annual Raw'!F96</f>
        <v>#NAME?</v>
      </c>
      <c r="F171" s="29" t="e">
        <f ca="1">'Annual Raw'!G96</f>
        <v>#NAME?</v>
      </c>
      <c r="G171" s="29" t="e">
        <f ca="1">'Annual Raw'!H96</f>
        <v>#NAME?</v>
      </c>
      <c r="H171" s="29" t="e">
        <f ca="1">'Annual Raw'!I96</f>
        <v>#NAME?</v>
      </c>
      <c r="I171" s="29" t="e">
        <f ca="1">'Annual Raw'!J96</f>
        <v>#NAME?</v>
      </c>
      <c r="J171" s="29" t="e">
        <f ca="1">'Annual Raw'!K96</f>
        <v>#NAME?</v>
      </c>
      <c r="K171" s="29" t="e">
        <f ca="1">'Annual Raw'!L96</f>
        <v>#NAME?</v>
      </c>
      <c r="L171" s="29" t="e">
        <f ca="1">'Annual Raw'!M96</f>
        <v>#NAME?</v>
      </c>
      <c r="M171" s="29" t="e">
        <f ca="1">'Annual Raw'!N96</f>
        <v>#NAME?</v>
      </c>
      <c r="N171" s="29" t="e">
        <f ca="1">'Annual Raw'!O96</f>
        <v>#NAME?</v>
      </c>
      <c r="O171" s="29" t="e">
        <f ca="1">'Annual Raw'!P96</f>
        <v>#NAME?</v>
      </c>
      <c r="P171" s="29" t="e">
        <f ca="1">'Annual Raw'!Q96</f>
        <v>#NAME?</v>
      </c>
      <c r="Q171" s="29" t="e">
        <f ca="1">'Annual Raw'!R96</f>
        <v>#NAME?</v>
      </c>
      <c r="R171" s="29" t="e">
        <f ca="1">'Annual Raw'!S96</f>
        <v>#NAME?</v>
      </c>
      <c r="S171" s="29" t="e">
        <f ca="1">'Annual Raw'!T96</f>
        <v>#NAME?</v>
      </c>
      <c r="T171" s="29" t="e">
        <f ca="1">'Annual Raw'!U96</f>
        <v>#NAME?</v>
      </c>
      <c r="U171" s="29" t="e">
        <f ca="1">'Annual Raw'!V96</f>
        <v>#NAME?</v>
      </c>
      <c r="V171" s="29" t="e">
        <f ca="1">'Annual Raw'!W96</f>
        <v>#NAME?</v>
      </c>
      <c r="W171" s="29" t="e">
        <f ca="1">'Annual Raw'!X96</f>
        <v>#NAME?</v>
      </c>
      <c r="X171" s="29" t="e">
        <f ca="1">'Annual Raw'!Y96</f>
        <v>#NAME?</v>
      </c>
      <c r="Y171" s="29" t="e">
        <f ca="1">'Annual Raw'!Z96</f>
        <v>#NAME?</v>
      </c>
      <c r="Z171" s="29" t="e">
        <f ca="1">'Annual Raw'!AA96</f>
        <v>#NAME?</v>
      </c>
      <c r="AA171" s="29" t="e">
        <f ca="1">'Annual Raw'!AB96</f>
        <v>#NAME?</v>
      </c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Raw'!C94</f>
        <v>#NAME?</v>
      </c>
      <c r="C172" s="29" t="e">
        <f ca="1">'Annual Raw'!D94</f>
        <v>#NAME?</v>
      </c>
      <c r="D172" s="29" t="e">
        <f ca="1">'Annual Raw'!E94</f>
        <v>#NAME?</v>
      </c>
      <c r="E172" s="29" t="e">
        <f ca="1">'Annual Raw'!F94</f>
        <v>#NAME?</v>
      </c>
      <c r="F172" s="29" t="e">
        <f ca="1">'Annual Raw'!G94</f>
        <v>#NAME?</v>
      </c>
      <c r="G172" s="29" t="e">
        <f ca="1">'Annual Raw'!H94</f>
        <v>#NAME?</v>
      </c>
      <c r="H172" s="29" t="e">
        <f ca="1">'Annual Raw'!I94</f>
        <v>#NAME?</v>
      </c>
      <c r="I172" s="29" t="e">
        <f ca="1">'Annual Raw'!J94</f>
        <v>#NAME?</v>
      </c>
      <c r="J172" s="29" t="e">
        <f ca="1">'Annual Raw'!K94</f>
        <v>#NAME?</v>
      </c>
      <c r="K172" s="29" t="e">
        <f ca="1">'Annual Raw'!L94</f>
        <v>#NAME?</v>
      </c>
      <c r="L172" s="29" t="e">
        <f ca="1">'Annual Raw'!M94</f>
        <v>#NAME?</v>
      </c>
      <c r="M172" s="29" t="e">
        <f ca="1">'Annual Raw'!N94</f>
        <v>#NAME?</v>
      </c>
      <c r="N172" s="29" t="e">
        <f ca="1">'Annual Raw'!O94</f>
        <v>#NAME?</v>
      </c>
      <c r="O172" s="29" t="e">
        <f ca="1">'Annual Raw'!P94</f>
        <v>#NAME?</v>
      </c>
      <c r="P172" s="29" t="e">
        <f ca="1">'Annual Raw'!Q94</f>
        <v>#NAME?</v>
      </c>
      <c r="Q172" s="29" t="e">
        <f ca="1">'Annual Raw'!R94</f>
        <v>#NAME?</v>
      </c>
      <c r="R172" s="29" t="e">
        <f ca="1">'Annual Raw'!S94</f>
        <v>#NAME?</v>
      </c>
      <c r="S172" s="29" t="e">
        <f ca="1">'Annual Raw'!T94</f>
        <v>#NAME?</v>
      </c>
      <c r="T172" s="29" t="e">
        <f ca="1">'Annual Raw'!U94</f>
        <v>#NAME?</v>
      </c>
      <c r="U172" s="29" t="e">
        <f ca="1">'Annual Raw'!V94</f>
        <v>#NAME?</v>
      </c>
      <c r="V172" s="29" t="e">
        <f ca="1">'Annual Raw'!W94</f>
        <v>#NAME?</v>
      </c>
      <c r="W172" s="29" t="e">
        <f ca="1">'Annual Raw'!X94</f>
        <v>#NAME?</v>
      </c>
      <c r="X172" s="29" t="e">
        <f ca="1">'Annual Raw'!Y94</f>
        <v>#NAME?</v>
      </c>
      <c r="Y172" s="29" t="e">
        <f ca="1">'Annual Raw'!Z94</f>
        <v>#NAME?</v>
      </c>
      <c r="Z172" s="29" t="e">
        <f ca="1">'Annual Raw'!AA94</f>
        <v>#NAME?</v>
      </c>
      <c r="AA172" s="29" t="e">
        <f ca="1">'Annual Raw'!AB94</f>
        <v>#NAME?</v>
      </c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1">B170-B171-B172</f>
        <v>#NAME?</v>
      </c>
      <c r="C173" s="29" t="e">
        <f t="shared" ca="1" si="1381"/>
        <v>#NAME?</v>
      </c>
      <c r="D173" s="29" t="e">
        <f t="shared" ca="1" si="1381"/>
        <v>#NAME?</v>
      </c>
      <c r="E173" s="29" t="e">
        <f t="shared" ca="1" si="1381"/>
        <v>#NAME?</v>
      </c>
      <c r="F173" s="29" t="e">
        <f t="shared" ca="1" si="1381"/>
        <v>#NAME?</v>
      </c>
      <c r="G173" s="29" t="e">
        <f t="shared" ca="1" si="1381"/>
        <v>#NAME?</v>
      </c>
      <c r="H173" s="29" t="e">
        <f t="shared" ca="1" si="1381"/>
        <v>#NAME?</v>
      </c>
      <c r="I173" s="29" t="e">
        <f t="shared" ca="1" si="1381"/>
        <v>#NAME?</v>
      </c>
      <c r="J173" s="29" t="e">
        <f t="shared" ca="1" si="1381"/>
        <v>#NAME?</v>
      </c>
      <c r="K173" s="29" t="e">
        <f t="shared" ca="1" si="1381"/>
        <v>#NAME?</v>
      </c>
      <c r="L173" s="29" t="e">
        <f t="shared" ca="1" si="1381"/>
        <v>#NAME?</v>
      </c>
      <c r="M173" s="29" t="e">
        <f t="shared" ca="1" si="1381"/>
        <v>#NAME?</v>
      </c>
      <c r="N173" s="29" t="e">
        <f t="shared" ca="1" si="1381"/>
        <v>#NAME?</v>
      </c>
      <c r="O173" s="29" t="e">
        <f t="shared" ca="1" si="1381"/>
        <v>#NAME?</v>
      </c>
      <c r="P173" s="29" t="e">
        <f t="shared" ca="1" si="1381"/>
        <v>#NAME?</v>
      </c>
      <c r="Q173" s="29" t="e">
        <f t="shared" ca="1" si="1381"/>
        <v>#NAME?</v>
      </c>
      <c r="R173" s="29" t="e">
        <f t="shared" ca="1" si="1381"/>
        <v>#NAME?</v>
      </c>
      <c r="S173" s="29" t="e">
        <f t="shared" ca="1" si="1381"/>
        <v>#NAME?</v>
      </c>
      <c r="T173" s="29" t="e">
        <f t="shared" ca="1" si="1381"/>
        <v>#NAME?</v>
      </c>
      <c r="U173" s="29" t="e">
        <f t="shared" ca="1" si="1381"/>
        <v>#NAME?</v>
      </c>
      <c r="V173" s="29" t="e">
        <f t="shared" ca="1" si="1381"/>
        <v>#NAME?</v>
      </c>
      <c r="W173" s="29" t="e">
        <f t="shared" ref="W173" ca="1" si="1382">W170-W171-W172</f>
        <v>#NAME?</v>
      </c>
      <c r="X173" s="29" t="e">
        <f t="shared" ref="X173:Y173" ca="1" si="1383">X170-X171-X172</f>
        <v>#NAME?</v>
      </c>
      <c r="Y173" s="29" t="e">
        <f t="shared" ca="1" si="1383"/>
        <v>#NAME?</v>
      </c>
      <c r="Z173" s="29" t="e">
        <f t="shared" ref="Z173:AA173" ca="1" si="1384">Z170-Z171-Z172</f>
        <v>#NAME?</v>
      </c>
      <c r="AA173" s="29" t="e">
        <f t="shared" ca="1" si="1384"/>
        <v>#NAME?</v>
      </c>
      <c r="AB173" s="30">
        <f t="shared" ref="AA173:AD173" si="1385">AB170-AB171-AB172</f>
        <v>0</v>
      </c>
      <c r="AC173" s="30">
        <f t="shared" si="1385"/>
        <v>0</v>
      </c>
      <c r="AD173" s="30">
        <f t="shared" si="1385"/>
        <v>0</v>
      </c>
      <c r="AE173" s="30">
        <f t="shared" ref="AE173" si="1386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87">B170/B120</f>
        <v>#NAME?</v>
      </c>
      <c r="C175" s="95" t="e">
        <f t="shared" ca="1" si="1387"/>
        <v>#NAME?</v>
      </c>
      <c r="D175" s="95" t="e">
        <f t="shared" ca="1" si="1387"/>
        <v>#NAME?</v>
      </c>
      <c r="E175" s="95" t="e">
        <f t="shared" ca="1" si="1387"/>
        <v>#NAME?</v>
      </c>
      <c r="F175" s="95" t="e">
        <f t="shared" ca="1" si="1387"/>
        <v>#NAME?</v>
      </c>
      <c r="G175" s="95" t="e">
        <f t="shared" ca="1" si="1387"/>
        <v>#NAME?</v>
      </c>
      <c r="H175" s="95" t="e">
        <f t="shared" ca="1" si="1387"/>
        <v>#NAME?</v>
      </c>
      <c r="I175" s="95" t="e">
        <f t="shared" ca="1" si="1387"/>
        <v>#NAME?</v>
      </c>
      <c r="J175" s="95" t="e">
        <f t="shared" ca="1" si="1387"/>
        <v>#NAME?</v>
      </c>
      <c r="K175" s="95" t="e">
        <f t="shared" ca="1" si="1387"/>
        <v>#NAME?</v>
      </c>
      <c r="L175" s="95" t="e">
        <f t="shared" ca="1" si="1387"/>
        <v>#NAME?</v>
      </c>
      <c r="M175" s="95" t="e">
        <f t="shared" ca="1" si="1387"/>
        <v>#NAME?</v>
      </c>
      <c r="N175" s="95" t="e">
        <f t="shared" ca="1" si="1387"/>
        <v>#NAME?</v>
      </c>
      <c r="O175" s="95" t="e">
        <f t="shared" ca="1" si="1387"/>
        <v>#NAME?</v>
      </c>
      <c r="P175" s="95" t="e">
        <f t="shared" ca="1" si="1387"/>
        <v>#NAME?</v>
      </c>
      <c r="Q175" s="95" t="e">
        <f t="shared" ca="1" si="1387"/>
        <v>#NAME?</v>
      </c>
      <c r="R175" s="95" t="e">
        <f t="shared" ca="1" si="1387"/>
        <v>#NAME?</v>
      </c>
      <c r="S175" s="95" t="e">
        <f t="shared" ca="1" si="1387"/>
        <v>#NAME?</v>
      </c>
      <c r="T175" s="95" t="e">
        <f t="shared" ca="1" si="1387"/>
        <v>#NAME?</v>
      </c>
      <c r="U175" s="95" t="e">
        <f t="shared" ca="1" si="1387"/>
        <v>#NAME?</v>
      </c>
      <c r="V175" s="95" t="e">
        <f t="shared" ca="1" si="1387"/>
        <v>#NAME?</v>
      </c>
      <c r="W175" s="95" t="e">
        <f t="shared" ca="1" si="1387"/>
        <v>#NAME?</v>
      </c>
      <c r="X175" s="95" t="e">
        <f t="shared" ref="X175:Y175" ca="1" si="1388">X170/X120</f>
        <v>#NAME?</v>
      </c>
      <c r="Y175" s="95" t="e">
        <f t="shared" ca="1" si="1388"/>
        <v>#NAME?</v>
      </c>
      <c r="Z175" s="95" t="e">
        <f t="shared" ref="Z175:AA175" ca="1" si="1389">Z170/Z120</f>
        <v>#NAME?</v>
      </c>
      <c r="AA175" s="95" t="e">
        <f t="shared" ca="1" si="1389"/>
        <v>#NAME?</v>
      </c>
      <c r="AB175" s="87" t="e">
        <f t="shared" ref="AA175:AD175" ca="1" si="1390">AB170/AB120</f>
        <v>#NAME?</v>
      </c>
      <c r="AC175" s="87" t="e">
        <f t="shared" ca="1" si="1390"/>
        <v>#NAME?</v>
      </c>
      <c r="AD175" s="87" t="e">
        <f t="shared" ca="1" si="1390"/>
        <v>#NAME?</v>
      </c>
      <c r="AE175" s="87" t="e">
        <f t="shared" ref="AE175" ca="1" si="1391">AE170/AE120</f>
        <v>#NAME?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</row>
    <row r="177" spans="1:110" s="6" customFormat="1" x14ac:dyDescent="0.2"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2">B144/B8*365</f>
        <v>#NAME?</v>
      </c>
      <c r="C179" s="67" t="e">
        <f t="shared" ca="1" si="1392"/>
        <v>#NAME?</v>
      </c>
      <c r="D179" s="67" t="e">
        <f t="shared" ca="1" si="1392"/>
        <v>#NAME?</v>
      </c>
      <c r="E179" s="67" t="e">
        <f t="shared" ca="1" si="1392"/>
        <v>#NAME?</v>
      </c>
      <c r="F179" s="67" t="e">
        <f t="shared" ca="1" si="1392"/>
        <v>#NAME?</v>
      </c>
      <c r="G179" s="67" t="e">
        <f t="shared" ca="1" si="1392"/>
        <v>#NAME?</v>
      </c>
      <c r="H179" s="67" t="e">
        <f t="shared" ca="1" si="1392"/>
        <v>#NAME?</v>
      </c>
      <c r="I179" s="67" t="e">
        <f t="shared" ca="1" si="1392"/>
        <v>#NAME?</v>
      </c>
      <c r="J179" s="67" t="e">
        <f t="shared" ca="1" si="1392"/>
        <v>#NAME?</v>
      </c>
      <c r="K179" s="67" t="e">
        <f t="shared" ca="1" si="1392"/>
        <v>#NAME?</v>
      </c>
      <c r="L179" s="67" t="e">
        <f t="shared" ca="1" si="1392"/>
        <v>#NAME?</v>
      </c>
      <c r="M179" s="67" t="e">
        <f t="shared" ca="1" si="1392"/>
        <v>#NAME?</v>
      </c>
      <c r="N179" s="67" t="e">
        <f t="shared" ca="1" si="1392"/>
        <v>#NAME?</v>
      </c>
      <c r="O179" s="67" t="e">
        <f t="shared" ca="1" si="1392"/>
        <v>#NAME?</v>
      </c>
      <c r="P179" s="67" t="e">
        <f t="shared" ca="1" si="1392"/>
        <v>#NAME?</v>
      </c>
      <c r="Q179" s="67" t="e">
        <f t="shared" ca="1" si="1392"/>
        <v>#NAME?</v>
      </c>
      <c r="R179" s="67" t="e">
        <f t="shared" ca="1" si="1392"/>
        <v>#NAME?</v>
      </c>
      <c r="S179" s="67" t="e">
        <f t="shared" ca="1" si="1392"/>
        <v>#NAME?</v>
      </c>
      <c r="T179" s="67" t="e">
        <f t="shared" ca="1" si="1392"/>
        <v>#NAME?</v>
      </c>
      <c r="U179" s="67" t="e">
        <f t="shared" ca="1" si="1392"/>
        <v>#NAME?</v>
      </c>
      <c r="V179" s="67" t="e">
        <f t="shared" ca="1" si="1392"/>
        <v>#NAME?</v>
      </c>
      <c r="W179" s="67" t="e">
        <f t="shared" ca="1" si="1392"/>
        <v>#NAME?</v>
      </c>
      <c r="X179" s="67" t="e">
        <f t="shared" ca="1" si="1392"/>
        <v>#NAME?</v>
      </c>
      <c r="Y179" s="67" t="e">
        <f t="shared" ca="1" si="1392"/>
        <v>#NAME?</v>
      </c>
      <c r="Z179" s="67" t="e">
        <f t="shared" ca="1" si="1392"/>
        <v>#NAME?</v>
      </c>
      <c r="AA179" s="67" t="e">
        <f t="shared" ref="AA179" ca="1" si="1393">AA144/AA8*365</f>
        <v>#NAME?</v>
      </c>
      <c r="AB179" s="18" t="e">
        <f t="shared" ca="1" si="1392"/>
        <v>#NAME?</v>
      </c>
      <c r="AC179" s="18" t="e">
        <f t="shared" ca="1" si="1392"/>
        <v>#NAME?</v>
      </c>
      <c r="AD179" s="18" t="e">
        <f t="shared" ca="1" si="1392"/>
        <v>#NAME?</v>
      </c>
      <c r="AE179" s="18" t="e">
        <f t="shared" ca="1" si="1392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4">+AJ179</f>
        <v>#NAME?</v>
      </c>
      <c r="AL179" s="67" t="e">
        <f ca="1">AL144/AL8*90</f>
        <v>#NAME?</v>
      </c>
      <c r="AM179" s="67" t="e">
        <f t="shared" ref="AM179:AM180" ca="1" si="1395">+AL179</f>
        <v>#NAME?</v>
      </c>
      <c r="AN179" s="67" t="e">
        <f ca="1">AN144/AN8*90</f>
        <v>#NAME?</v>
      </c>
      <c r="AO179" s="67" t="e">
        <f t="shared" ref="AO179:AO180" ca="1" si="1396">+AN179</f>
        <v>#NAME?</v>
      </c>
      <c r="AP179" s="67" t="e">
        <f ca="1">AP144/AP8*90</f>
        <v>#NAME?</v>
      </c>
      <c r="AQ179" s="67" t="e">
        <f t="shared" ref="AQ179:AQ180" ca="1" si="1397">+AP179</f>
        <v>#NAME?</v>
      </c>
      <c r="AR179" s="67" t="e">
        <f ca="1">AR144/AR8*90</f>
        <v>#NAME?</v>
      </c>
      <c r="AS179" s="67" t="e">
        <f t="shared" ref="AS179:AS180" ca="1" si="1398">+AR179</f>
        <v>#NAME?</v>
      </c>
      <c r="AT179" s="67" t="e">
        <f ca="1">AT144/AT8*90</f>
        <v>#NAME?</v>
      </c>
      <c r="AU179" s="67" t="e">
        <f t="shared" ref="AU179:AU180" ca="1" si="1399">+AT179</f>
        <v>#NAME?</v>
      </c>
      <c r="AV179" s="67" t="e">
        <f ca="1">AV144/AV8*90</f>
        <v>#NAME?</v>
      </c>
      <c r="AW179" s="67" t="e">
        <f t="shared" ref="AW179:AW180" ca="1" si="1400">+AV179</f>
        <v>#NAME?</v>
      </c>
      <c r="AX179" s="67" t="e">
        <f ca="1">AX144/AX8*90</f>
        <v>#NAME?</v>
      </c>
      <c r="AY179" s="67" t="e">
        <f t="shared" ref="AY179:AY180" ca="1" si="1401">+AX179</f>
        <v>#NAME?</v>
      </c>
      <c r="AZ179" s="67" t="e">
        <f ca="1">AZ144/AZ8*90</f>
        <v>#NAME?</v>
      </c>
      <c r="BA179" s="67" t="e">
        <f t="shared" ref="BA179:BA180" ca="1" si="1402">+AZ179</f>
        <v>#NAME?</v>
      </c>
      <c r="BB179" s="67" t="e">
        <f ca="1">BB144/BB8*90</f>
        <v>#NAME?</v>
      </c>
      <c r="BC179" s="67" t="e">
        <f t="shared" ref="BC179:BC180" ca="1" si="1403">+BB179</f>
        <v>#NAME?</v>
      </c>
      <c r="BD179" s="67" t="e">
        <f ca="1">BD144/BD8*90</f>
        <v>#NAME?</v>
      </c>
      <c r="BE179" s="67" t="e">
        <f t="shared" ref="BE179:BE180" ca="1" si="1404">+BD179</f>
        <v>#NAME?</v>
      </c>
      <c r="BF179" s="67" t="e">
        <f ca="1">BF144/BF8*90</f>
        <v>#NAME?</v>
      </c>
      <c r="BG179" s="67" t="e">
        <f t="shared" ref="BG179:BG180" ca="1" si="1405">+BF179</f>
        <v>#NAME?</v>
      </c>
      <c r="BH179" s="67" t="e">
        <f ca="1">BH144/BH8*90</f>
        <v>#NAME?</v>
      </c>
      <c r="BI179" s="67" t="e">
        <f t="shared" ref="BI179:BI180" ca="1" si="1406">+BH179</f>
        <v>#NAME?</v>
      </c>
      <c r="BJ179" s="67" t="e">
        <f ca="1">BJ144/BJ8*90</f>
        <v>#NAME?</v>
      </c>
      <c r="BK179" s="67" t="e">
        <f t="shared" ref="BK179:BK180" ca="1" si="1407">+BJ179</f>
        <v>#NAME?</v>
      </c>
      <c r="BL179" s="67" t="e">
        <f ca="1">BL144/BL8*90</f>
        <v>#NAME?</v>
      </c>
      <c r="BM179" s="67" t="e">
        <f t="shared" ref="BM179:BM180" ca="1" si="1408">+BL179</f>
        <v>#NAME?</v>
      </c>
      <c r="BN179" s="67" t="e">
        <f ca="1">BN144/BN8*90</f>
        <v>#NAME?</v>
      </c>
      <c r="BO179" s="67" t="e">
        <f t="shared" ref="BO179:BO180" ca="1" si="1409">+BN179</f>
        <v>#NAME?</v>
      </c>
      <c r="BP179" s="67" t="e">
        <f ca="1">BP144/BP8*90</f>
        <v>#NAME?</v>
      </c>
      <c r="BQ179" s="67" t="e">
        <f t="shared" ref="BQ179:BQ180" ca="1" si="1410">+BP179</f>
        <v>#NAME?</v>
      </c>
      <c r="BR179" s="67" t="e">
        <f ca="1">BR144/BR8*90</f>
        <v>#NAME?</v>
      </c>
      <c r="BS179" s="67" t="e">
        <f t="shared" ref="BS179:BS180" ca="1" si="1411">+BR179</f>
        <v>#NAME?</v>
      </c>
      <c r="BT179" s="67" t="e">
        <f ca="1">BT144/BT8*90</f>
        <v>#NAME?</v>
      </c>
      <c r="BU179" s="67" t="e">
        <f t="shared" ref="BU179:BU180" ca="1" si="1412">+BT179</f>
        <v>#NAME?</v>
      </c>
      <c r="BV179" s="67" t="e">
        <f ca="1">BV144/BV8*90</f>
        <v>#NAME?</v>
      </c>
      <c r="BW179" s="67" t="e">
        <f t="shared" ref="BW179:BW180" ca="1" si="1413">+BV179</f>
        <v>#NAME?</v>
      </c>
      <c r="BX179" s="67" t="e">
        <f ca="1">BX144/BX8*90</f>
        <v>#NAME?</v>
      </c>
      <c r="BY179" s="67" t="e">
        <f t="shared" ref="BY179:BY180" ca="1" si="1414">+BX179</f>
        <v>#NAME?</v>
      </c>
      <c r="BZ179" s="67" t="e">
        <f ca="1">BZ144/BZ8*90</f>
        <v>#NAME?</v>
      </c>
      <c r="CA179" s="67" t="e">
        <f t="shared" ref="CA179:CA180" ca="1" si="1415">+BZ179</f>
        <v>#NAME?</v>
      </c>
      <c r="CB179" s="67" t="e">
        <f ca="1">CB144/CB8*90</f>
        <v>#NAME?</v>
      </c>
      <c r="CC179" s="67" t="e">
        <f t="shared" ref="CC179:CC180" ca="1" si="1416">+CB179</f>
        <v>#NAME?</v>
      </c>
      <c r="CD179" s="67" t="e">
        <f ca="1">CD144/CD8*90</f>
        <v>#NAME?</v>
      </c>
      <c r="CE179" s="67" t="e">
        <f t="shared" ca="1" si="1394"/>
        <v>#NAME?</v>
      </c>
      <c r="CF179" s="67" t="e">
        <f ca="1">CF144/CF8*90</f>
        <v>#NAME?</v>
      </c>
      <c r="CG179" s="67" t="e">
        <f t="shared" ref="CG179:CI180" ca="1" si="1417">+CF179</f>
        <v>#NAME?</v>
      </c>
      <c r="CH179" s="67" t="e">
        <f ca="1">CH144/CH8*90</f>
        <v>#NAME?</v>
      </c>
      <c r="CI179" s="67" t="e">
        <f t="shared" ca="1" si="1417"/>
        <v>#NAME?</v>
      </c>
      <c r="CJ179" s="67" t="e">
        <f ca="1">CJ144/CJ8*90</f>
        <v>#NAME?</v>
      </c>
      <c r="CK179" s="67" t="e">
        <f t="shared" ref="CK179:CK180" ca="1" si="1418">+CJ179</f>
        <v>#NAME?</v>
      </c>
      <c r="CL179" s="67" t="e">
        <f ca="1">CL144/CL8*90</f>
        <v>#NAME?</v>
      </c>
      <c r="CM179" s="30" t="e">
        <f t="shared" ref="CM179:CM180" ca="1" si="1419">+CL179</f>
        <v>#NAME?</v>
      </c>
      <c r="CN179" s="30" t="e">
        <f t="shared" ref="CN179:CN180" ca="1" si="1420">+CM179</f>
        <v>#NAME?</v>
      </c>
      <c r="CO179" s="30" t="e">
        <f t="shared" ref="CO179:CO180" ca="1" si="1421">+CN179</f>
        <v>#NAME?</v>
      </c>
      <c r="CP179" s="30" t="e">
        <f t="shared" ref="CP179:CP180" ca="1" si="1422">+CO179</f>
        <v>#NAME?</v>
      </c>
      <c r="CQ179" s="30" t="e">
        <f t="shared" ref="CQ179:CQ180" ca="1" si="1423">+CP179</f>
        <v>#NAME?</v>
      </c>
      <c r="CR179" s="30" t="e">
        <f t="shared" ref="CR179:CR180" ca="1" si="1424">+CQ179</f>
        <v>#NAME?</v>
      </c>
      <c r="CS179" s="30" t="e">
        <f t="shared" ref="CS179:CS180" ca="1" si="1425">+CR179</f>
        <v>#NAME?</v>
      </c>
      <c r="CT179" s="30" t="e">
        <f t="shared" ref="CT179:CT180" ca="1" si="1426">+CS179</f>
        <v>#NAME?</v>
      </c>
      <c r="CU179" s="30" t="e">
        <f t="shared" ref="CU179:CU180" ca="1" si="1427">+CT179</f>
        <v>#NAME?</v>
      </c>
      <c r="CV179" s="30" t="e">
        <f t="shared" ref="CV179:CV180" ca="1" si="1428">+CU179</f>
        <v>#NAME?</v>
      </c>
      <c r="CW179" s="30" t="e">
        <f t="shared" ref="CW179:CW180" ca="1" si="1429">+CV179</f>
        <v>#NAME?</v>
      </c>
      <c r="CX179" s="30" t="e">
        <f t="shared" ref="CX179:CX180" ca="1" si="1430">+CW179</f>
        <v>#NAME?</v>
      </c>
      <c r="CY179" s="30" t="e">
        <f t="shared" ref="CY179:CY180" ca="1" si="1431">+CX179</f>
        <v>#NAME?</v>
      </c>
      <c r="CZ179" s="30" t="e">
        <f t="shared" ref="CZ179:CZ180" ca="1" si="1432">+CY179</f>
        <v>#NAME?</v>
      </c>
      <c r="DA179" s="30" t="e">
        <f t="shared" ref="DA179:DA180" ca="1" si="1433">+CZ179</f>
        <v>#NAME?</v>
      </c>
      <c r="DB179" s="30" t="e">
        <f t="shared" ref="DB179:DB180" ca="1" si="1434">+DA179</f>
        <v>#NAME?</v>
      </c>
      <c r="DE179" s="139"/>
      <c r="DF179" s="62">
        <v>40.500172751850599</v>
      </c>
    </row>
    <row r="180" spans="1:110" s="62" customFormat="1" outlineLevel="1" x14ac:dyDescent="0.2">
      <c r="A180" s="68" t="s">
        <v>465</v>
      </c>
      <c r="B180" s="67" t="e">
        <f t="shared" ref="B180:AE180" ca="1" si="1435">B145/B8*365</f>
        <v>#NAME?</v>
      </c>
      <c r="C180" s="67" t="e">
        <f t="shared" ca="1" si="1435"/>
        <v>#NAME?</v>
      </c>
      <c r="D180" s="67" t="e">
        <f t="shared" ca="1" si="1435"/>
        <v>#NAME?</v>
      </c>
      <c r="E180" s="67" t="e">
        <f t="shared" ca="1" si="1435"/>
        <v>#NAME?</v>
      </c>
      <c r="F180" s="67" t="e">
        <f t="shared" ca="1" si="1435"/>
        <v>#NAME?</v>
      </c>
      <c r="G180" s="67" t="e">
        <f t="shared" ca="1" si="1435"/>
        <v>#NAME?</v>
      </c>
      <c r="H180" s="67" t="e">
        <f t="shared" ca="1" si="1435"/>
        <v>#NAME?</v>
      </c>
      <c r="I180" s="67" t="e">
        <f t="shared" ca="1" si="1435"/>
        <v>#NAME?</v>
      </c>
      <c r="J180" s="67" t="e">
        <f t="shared" ca="1" si="1435"/>
        <v>#NAME?</v>
      </c>
      <c r="K180" s="67" t="e">
        <f t="shared" ca="1" si="1435"/>
        <v>#NAME?</v>
      </c>
      <c r="L180" s="67" t="e">
        <f t="shared" ca="1" si="1435"/>
        <v>#NAME?</v>
      </c>
      <c r="M180" s="67" t="e">
        <f t="shared" ca="1" si="1435"/>
        <v>#NAME?</v>
      </c>
      <c r="N180" s="67" t="e">
        <f t="shared" ca="1" si="1435"/>
        <v>#NAME?</v>
      </c>
      <c r="O180" s="67" t="e">
        <f t="shared" ca="1" si="1435"/>
        <v>#NAME?</v>
      </c>
      <c r="P180" s="67" t="e">
        <f t="shared" ca="1" si="1435"/>
        <v>#NAME?</v>
      </c>
      <c r="Q180" s="67" t="e">
        <f t="shared" ca="1" si="1435"/>
        <v>#NAME?</v>
      </c>
      <c r="R180" s="67" t="e">
        <f t="shared" ca="1" si="1435"/>
        <v>#NAME?</v>
      </c>
      <c r="S180" s="67" t="e">
        <f t="shared" ca="1" si="1435"/>
        <v>#NAME?</v>
      </c>
      <c r="T180" s="67" t="e">
        <f t="shared" ca="1" si="1435"/>
        <v>#NAME?</v>
      </c>
      <c r="U180" s="67" t="e">
        <f t="shared" ca="1" si="1435"/>
        <v>#NAME?</v>
      </c>
      <c r="V180" s="67" t="e">
        <f t="shared" ca="1" si="1435"/>
        <v>#NAME?</v>
      </c>
      <c r="W180" s="67" t="e">
        <f t="shared" ca="1" si="1435"/>
        <v>#NAME?</v>
      </c>
      <c r="X180" s="67" t="e">
        <f t="shared" ca="1" si="1435"/>
        <v>#NAME?</v>
      </c>
      <c r="Y180" s="67" t="e">
        <f t="shared" ca="1" si="1435"/>
        <v>#NAME?</v>
      </c>
      <c r="Z180" s="67" t="e">
        <f t="shared" ca="1" si="1435"/>
        <v>#NAME?</v>
      </c>
      <c r="AA180" s="67" t="e">
        <f t="shared" ref="AA180" ca="1" si="1436">AA145/AA8*365</f>
        <v>#NAME?</v>
      </c>
      <c r="AB180" s="18" t="e">
        <f t="shared" ca="1" si="1435"/>
        <v>#NAME?</v>
      </c>
      <c r="AC180" s="18" t="e">
        <f t="shared" ca="1" si="1435"/>
        <v>#NAME?</v>
      </c>
      <c r="AD180" s="18" t="e">
        <f t="shared" ca="1" si="1435"/>
        <v>#NAME?</v>
      </c>
      <c r="AE180" s="18" t="e">
        <f t="shared" ca="1" si="1435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395"/>
        <v>#NAME?</v>
      </c>
      <c r="AN180" s="67" t="e">
        <f ca="1">AN145/AN8*90</f>
        <v>#NAME?</v>
      </c>
      <c r="AO180" s="67" t="e">
        <f t="shared" ca="1" si="1396"/>
        <v>#NAME?</v>
      </c>
      <c r="AP180" s="67" t="e">
        <f ca="1">AP145/AP8*90</f>
        <v>#NAME?</v>
      </c>
      <c r="AQ180" s="67" t="e">
        <f t="shared" ca="1" si="1397"/>
        <v>#NAME?</v>
      </c>
      <c r="AR180" s="67" t="e">
        <f ca="1">AR145/AR8*90</f>
        <v>#NAME?</v>
      </c>
      <c r="AS180" s="67" t="e">
        <f t="shared" ca="1" si="1398"/>
        <v>#NAME?</v>
      </c>
      <c r="AT180" s="67" t="e">
        <f ca="1">AT145/AT8*90</f>
        <v>#NAME?</v>
      </c>
      <c r="AU180" s="67" t="e">
        <f t="shared" ca="1" si="1399"/>
        <v>#NAME?</v>
      </c>
      <c r="AV180" s="67" t="e">
        <f ca="1">AV145/AV8*90</f>
        <v>#NAME?</v>
      </c>
      <c r="AW180" s="67" t="e">
        <f t="shared" ca="1" si="1400"/>
        <v>#NAME?</v>
      </c>
      <c r="AX180" s="67" t="e">
        <f ca="1">AX145/AX8*90</f>
        <v>#NAME?</v>
      </c>
      <c r="AY180" s="67" t="e">
        <f t="shared" ca="1" si="1401"/>
        <v>#NAME?</v>
      </c>
      <c r="AZ180" s="67" t="e">
        <f ca="1">AZ145/AZ8*90</f>
        <v>#NAME?</v>
      </c>
      <c r="BA180" s="67" t="e">
        <f t="shared" ca="1" si="1402"/>
        <v>#NAME?</v>
      </c>
      <c r="BB180" s="67" t="e">
        <f ca="1">BB145/BB8*90</f>
        <v>#NAME?</v>
      </c>
      <c r="BC180" s="67" t="e">
        <f t="shared" ca="1" si="1403"/>
        <v>#NAME?</v>
      </c>
      <c r="BD180" s="67" t="e">
        <f ca="1">BD145/BD8*90</f>
        <v>#NAME?</v>
      </c>
      <c r="BE180" s="67" t="e">
        <f t="shared" ca="1" si="1404"/>
        <v>#NAME?</v>
      </c>
      <c r="BF180" s="67" t="e">
        <f ca="1">BF145/BF8*90</f>
        <v>#NAME?</v>
      </c>
      <c r="BG180" s="67" t="e">
        <f t="shared" ca="1" si="1405"/>
        <v>#NAME?</v>
      </c>
      <c r="BH180" s="67" t="e">
        <f ca="1">BH145/BH8*90</f>
        <v>#NAME?</v>
      </c>
      <c r="BI180" s="67" t="e">
        <f t="shared" ca="1" si="1406"/>
        <v>#NAME?</v>
      </c>
      <c r="BJ180" s="67" t="e">
        <f ca="1">BJ145/BJ8*90</f>
        <v>#NAME?</v>
      </c>
      <c r="BK180" s="67" t="e">
        <f t="shared" ca="1" si="1407"/>
        <v>#NAME?</v>
      </c>
      <c r="BL180" s="67" t="e">
        <f ca="1">BL145/BL8*90</f>
        <v>#NAME?</v>
      </c>
      <c r="BM180" s="67" t="e">
        <f t="shared" ca="1" si="1408"/>
        <v>#NAME?</v>
      </c>
      <c r="BN180" s="67" t="e">
        <f ca="1">BN145/BN8*90</f>
        <v>#NAME?</v>
      </c>
      <c r="BO180" s="67" t="e">
        <f t="shared" ca="1" si="1409"/>
        <v>#NAME?</v>
      </c>
      <c r="BP180" s="67" t="e">
        <f ca="1">BP145/BP8*90</f>
        <v>#NAME?</v>
      </c>
      <c r="BQ180" s="67" t="e">
        <f t="shared" ca="1" si="1410"/>
        <v>#NAME?</v>
      </c>
      <c r="BR180" s="67" t="e">
        <f ca="1">BR145/BR8*90</f>
        <v>#NAME?</v>
      </c>
      <c r="BS180" s="67" t="e">
        <f t="shared" ca="1" si="1411"/>
        <v>#NAME?</v>
      </c>
      <c r="BT180" s="67" t="e">
        <f ca="1">BT145/BT8*90</f>
        <v>#NAME?</v>
      </c>
      <c r="BU180" s="67" t="e">
        <f t="shared" ca="1" si="1412"/>
        <v>#NAME?</v>
      </c>
      <c r="BV180" s="67" t="e">
        <f ca="1">BV145/BV8*90</f>
        <v>#NAME?</v>
      </c>
      <c r="BW180" s="67" t="e">
        <f t="shared" ca="1" si="1413"/>
        <v>#NAME?</v>
      </c>
      <c r="BX180" s="67" t="e">
        <f ca="1">BX145/BX8*90</f>
        <v>#NAME?</v>
      </c>
      <c r="BY180" s="67" t="e">
        <f t="shared" ca="1" si="1414"/>
        <v>#NAME?</v>
      </c>
      <c r="BZ180" s="67" t="e">
        <f ca="1">BZ145/BZ8*90</f>
        <v>#NAME?</v>
      </c>
      <c r="CA180" s="67" t="e">
        <f t="shared" ca="1" si="1415"/>
        <v>#NAME?</v>
      </c>
      <c r="CB180" s="67" t="e">
        <f ca="1">CB145/CB8*90</f>
        <v>#NAME?</v>
      </c>
      <c r="CC180" s="67" t="e">
        <f t="shared" ca="1" si="1416"/>
        <v>#NAME?</v>
      </c>
      <c r="CD180" s="67" t="e">
        <f ca="1">CD145/CD8*90</f>
        <v>#NAME?</v>
      </c>
      <c r="CE180" s="114" t="e">
        <f t="shared" ref="CE180" ca="1" si="1437">+CD180</f>
        <v>#NAME?</v>
      </c>
      <c r="CF180" s="67" t="e">
        <f ca="1">CF145/CF8*90</f>
        <v>#NAME?</v>
      </c>
      <c r="CG180" s="67" t="e">
        <f t="shared" ca="1" si="1417"/>
        <v>#NAME?</v>
      </c>
      <c r="CH180" s="67" t="e">
        <f ca="1">CH145/CH8*90</f>
        <v>#NAME?</v>
      </c>
      <c r="CI180" s="67" t="e">
        <f t="shared" ca="1" si="1417"/>
        <v>#NAME?</v>
      </c>
      <c r="CJ180" s="67" t="e">
        <f ca="1">CJ145/CJ8*90</f>
        <v>#NAME?</v>
      </c>
      <c r="CK180" s="67" t="e">
        <f t="shared" ca="1" si="1418"/>
        <v>#NAME?</v>
      </c>
      <c r="CL180" s="67" t="e">
        <f ca="1">CL145/CL8*90</f>
        <v>#NAME?</v>
      </c>
      <c r="CM180" s="30" t="e">
        <f t="shared" ca="1" si="1419"/>
        <v>#NAME?</v>
      </c>
      <c r="CN180" s="30" t="e">
        <f t="shared" ca="1" si="1420"/>
        <v>#NAME?</v>
      </c>
      <c r="CO180" s="30" t="e">
        <f t="shared" ca="1" si="1421"/>
        <v>#NAME?</v>
      </c>
      <c r="CP180" s="30" t="e">
        <f t="shared" ca="1" si="1422"/>
        <v>#NAME?</v>
      </c>
      <c r="CQ180" s="30" t="e">
        <f t="shared" ca="1" si="1423"/>
        <v>#NAME?</v>
      </c>
      <c r="CR180" s="30" t="e">
        <f t="shared" ca="1" si="1424"/>
        <v>#NAME?</v>
      </c>
      <c r="CS180" s="30" t="e">
        <f t="shared" ca="1" si="1425"/>
        <v>#NAME?</v>
      </c>
      <c r="CT180" s="30" t="e">
        <f t="shared" ca="1" si="1426"/>
        <v>#NAME?</v>
      </c>
      <c r="CU180" s="30" t="e">
        <f t="shared" ca="1" si="1427"/>
        <v>#NAME?</v>
      </c>
      <c r="CV180" s="30" t="e">
        <f t="shared" ca="1" si="1428"/>
        <v>#NAME?</v>
      </c>
      <c r="CW180" s="30" t="e">
        <f t="shared" ca="1" si="1429"/>
        <v>#NAME?</v>
      </c>
      <c r="CX180" s="30" t="e">
        <f t="shared" ca="1" si="1430"/>
        <v>#NAME?</v>
      </c>
      <c r="CY180" s="30" t="e">
        <f t="shared" ca="1" si="1431"/>
        <v>#NAME?</v>
      </c>
      <c r="CZ180" s="30" t="e">
        <f t="shared" ca="1" si="1432"/>
        <v>#NAME?</v>
      </c>
      <c r="DA180" s="30" t="e">
        <f t="shared" ca="1" si="1433"/>
        <v>#NAME?</v>
      </c>
      <c r="DB180" s="30" t="e">
        <f t="shared" ca="1" si="1434"/>
        <v>#NAME?</v>
      </c>
      <c r="DE180" s="139"/>
      <c r="DF180" s="62">
        <v>5.1936353899441148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38">C182-C180-C179</f>
        <v>#NAME?</v>
      </c>
      <c r="D181" s="67" t="e">
        <f t="shared" ca="1" si="1438"/>
        <v>#NAME?</v>
      </c>
      <c r="E181" s="67" t="e">
        <f t="shared" ca="1" si="1438"/>
        <v>#NAME?</v>
      </c>
      <c r="F181" s="67" t="e">
        <f t="shared" ca="1" si="1438"/>
        <v>#NAME?</v>
      </c>
      <c r="G181" s="67" t="e">
        <f t="shared" ca="1" si="1438"/>
        <v>#NAME?</v>
      </c>
      <c r="H181" s="67" t="e">
        <f t="shared" ca="1" si="1438"/>
        <v>#NAME?</v>
      </c>
      <c r="I181" s="67" t="e">
        <f t="shared" ca="1" si="1438"/>
        <v>#NAME?</v>
      </c>
      <c r="J181" s="67" t="e">
        <f t="shared" ca="1" si="1438"/>
        <v>#NAME?</v>
      </c>
      <c r="K181" s="67" t="e">
        <f t="shared" ca="1" si="1438"/>
        <v>#NAME?</v>
      </c>
      <c r="L181" s="67" t="e">
        <f t="shared" ca="1" si="1438"/>
        <v>#NAME?</v>
      </c>
      <c r="M181" s="67" t="e">
        <f t="shared" ca="1" si="1438"/>
        <v>#NAME?</v>
      </c>
      <c r="N181" s="67" t="e">
        <f t="shared" ca="1" si="1438"/>
        <v>#NAME?</v>
      </c>
      <c r="O181" s="67" t="e">
        <f t="shared" ca="1" si="1438"/>
        <v>#NAME?</v>
      </c>
      <c r="P181" s="67" t="e">
        <f t="shared" ca="1" si="1438"/>
        <v>#NAME?</v>
      </c>
      <c r="Q181" s="67" t="e">
        <f t="shared" ca="1" si="1438"/>
        <v>#NAME?</v>
      </c>
      <c r="R181" s="67" t="e">
        <f t="shared" ca="1" si="1438"/>
        <v>#NAME?</v>
      </c>
      <c r="S181" s="67" t="e">
        <f t="shared" ca="1" si="1438"/>
        <v>#NAME?</v>
      </c>
      <c r="T181" s="67" t="e">
        <f t="shared" ca="1" si="1438"/>
        <v>#NAME?</v>
      </c>
      <c r="U181" s="67" t="e">
        <f t="shared" ca="1" si="1438"/>
        <v>#NAME?</v>
      </c>
      <c r="V181" s="67" t="e">
        <f ca="1">V182-V180-V179</f>
        <v>#NAME?</v>
      </c>
      <c r="W181" s="67" t="e">
        <f t="shared" ref="W181" ca="1" si="1439">W182-W180-W179</f>
        <v>#NAME?</v>
      </c>
      <c r="X181" s="67" t="e">
        <f t="shared" ref="X181:Y181" ca="1" si="1440">X182-X180-X179</f>
        <v>#NAME?</v>
      </c>
      <c r="Y181" s="67" t="e">
        <f t="shared" ca="1" si="1440"/>
        <v>#NAME?</v>
      </c>
      <c r="Z181" s="67" t="e">
        <f t="shared" ref="Z181:AA181" ca="1" si="1441">Z182-Z180-Z179</f>
        <v>#NAME?</v>
      </c>
      <c r="AA181" s="67" t="e">
        <f t="shared" ca="1" si="1441"/>
        <v>#NAME?</v>
      </c>
      <c r="AB181" s="18" t="e">
        <f t="shared" ref="AA181:AD181" ca="1" si="1442">AB182-AB180-AB179</f>
        <v>#NAME?</v>
      </c>
      <c r="AC181" s="18" t="e">
        <f t="shared" ca="1" si="1442"/>
        <v>#NAME?</v>
      </c>
      <c r="AD181" s="18" t="e">
        <f t="shared" ca="1" si="1442"/>
        <v>#NAME?</v>
      </c>
      <c r="AE181" s="18" t="e">
        <f t="shared" ref="AE181" ca="1" si="1443">AE182-AE180-AE179</f>
        <v>#NAME?</v>
      </c>
      <c r="AI181" s="67" t="e">
        <f t="shared" ref="AI181:AK181" ca="1" si="1444">AI182-AI180-AI179</f>
        <v>#NAME?</v>
      </c>
      <c r="AJ181" s="67" t="e">
        <f t="shared" ref="AJ181:AM181" ca="1" si="1445">AJ182-AJ180-AJ179</f>
        <v>#NAME?</v>
      </c>
      <c r="AK181" s="67" t="e">
        <f t="shared" ca="1" si="1444"/>
        <v>#NAME?</v>
      </c>
      <c r="AL181" s="67" t="e">
        <f t="shared" ca="1" si="1445"/>
        <v>#NAME?</v>
      </c>
      <c r="AM181" s="67" t="e">
        <f t="shared" ca="1" si="1445"/>
        <v>#NAME?</v>
      </c>
      <c r="AN181" s="67" t="e">
        <f t="shared" ref="AN181:AY181" ca="1" si="1446">AN182-AN180-AN179</f>
        <v>#NAME?</v>
      </c>
      <c r="AO181" s="67" t="e">
        <f t="shared" ca="1" si="1446"/>
        <v>#NAME?</v>
      </c>
      <c r="AP181" s="67" t="e">
        <f t="shared" ca="1" si="1446"/>
        <v>#NAME?</v>
      </c>
      <c r="AQ181" s="67" t="e">
        <f t="shared" ca="1" si="1446"/>
        <v>#NAME?</v>
      </c>
      <c r="AR181" s="67" t="e">
        <f t="shared" ca="1" si="1446"/>
        <v>#NAME?</v>
      </c>
      <c r="AS181" s="67" t="e">
        <f t="shared" ca="1" si="1446"/>
        <v>#NAME?</v>
      </c>
      <c r="AT181" s="67" t="e">
        <f t="shared" ca="1" si="1446"/>
        <v>#NAME?</v>
      </c>
      <c r="AU181" s="67" t="e">
        <f t="shared" ca="1" si="1446"/>
        <v>#NAME?</v>
      </c>
      <c r="AV181" s="67" t="e">
        <f t="shared" ca="1" si="1446"/>
        <v>#NAME?</v>
      </c>
      <c r="AW181" s="67" t="e">
        <f t="shared" ca="1" si="1446"/>
        <v>#NAME?</v>
      </c>
      <c r="AX181" s="67" t="e">
        <f t="shared" ca="1" si="1446"/>
        <v>#NAME?</v>
      </c>
      <c r="AY181" s="67" t="e">
        <f t="shared" ca="1" si="1446"/>
        <v>#NAME?</v>
      </c>
      <c r="AZ181" s="67" t="e">
        <f t="shared" ref="AZ181:BC181" ca="1" si="1447">AZ182-AZ180-AZ179</f>
        <v>#NAME?</v>
      </c>
      <c r="BA181" s="67" t="e">
        <f t="shared" ca="1" si="1447"/>
        <v>#NAME?</v>
      </c>
      <c r="BB181" s="67" t="e">
        <f t="shared" ca="1" si="1447"/>
        <v>#NAME?</v>
      </c>
      <c r="BC181" s="67" t="e">
        <f t="shared" ca="1" si="1447"/>
        <v>#NAME?</v>
      </c>
      <c r="BD181" s="67" t="e">
        <f t="shared" ref="BD181:CE181" ca="1" si="1448">BD182-BD180-BD179</f>
        <v>#NAME?</v>
      </c>
      <c r="BE181" s="67" t="e">
        <f t="shared" ca="1" si="1448"/>
        <v>#NAME?</v>
      </c>
      <c r="BF181" s="67" t="e">
        <f t="shared" ca="1" si="1448"/>
        <v>#NAME?</v>
      </c>
      <c r="BG181" s="67" t="e">
        <f t="shared" ca="1" si="1448"/>
        <v>#NAME?</v>
      </c>
      <c r="BH181" s="67" t="e">
        <f t="shared" ca="1" si="1448"/>
        <v>#NAME?</v>
      </c>
      <c r="BI181" s="67" t="e">
        <f t="shared" ca="1" si="1448"/>
        <v>#NAME?</v>
      </c>
      <c r="BJ181" s="67" t="e">
        <f t="shared" ca="1" si="1448"/>
        <v>#NAME?</v>
      </c>
      <c r="BK181" s="67" t="e">
        <f t="shared" ca="1" si="1448"/>
        <v>#NAME?</v>
      </c>
      <c r="BL181" s="67" t="e">
        <f t="shared" ca="1" si="1448"/>
        <v>#NAME?</v>
      </c>
      <c r="BM181" s="67" t="e">
        <f t="shared" ca="1" si="1448"/>
        <v>#NAME?</v>
      </c>
      <c r="BN181" s="67" t="e">
        <f t="shared" ca="1" si="1448"/>
        <v>#NAME?</v>
      </c>
      <c r="BO181" s="67" t="e">
        <f t="shared" ca="1" si="1448"/>
        <v>#NAME?</v>
      </c>
      <c r="BP181" s="67" t="e">
        <f t="shared" ca="1" si="1448"/>
        <v>#NAME?</v>
      </c>
      <c r="BQ181" s="67" t="e">
        <f t="shared" ca="1" si="1448"/>
        <v>#NAME?</v>
      </c>
      <c r="BR181" s="67" t="e">
        <f t="shared" ca="1" si="1448"/>
        <v>#NAME?</v>
      </c>
      <c r="BS181" s="67" t="e">
        <f t="shared" ca="1" si="1448"/>
        <v>#NAME?</v>
      </c>
      <c r="BT181" s="67" t="e">
        <f t="shared" ca="1" si="1448"/>
        <v>#NAME?</v>
      </c>
      <c r="BU181" s="67" t="e">
        <f t="shared" ca="1" si="1448"/>
        <v>#NAME?</v>
      </c>
      <c r="BV181" s="67" t="e">
        <f t="shared" ca="1" si="1448"/>
        <v>#NAME?</v>
      </c>
      <c r="BW181" s="67" t="e">
        <f t="shared" ca="1" si="1448"/>
        <v>#NAME?</v>
      </c>
      <c r="BX181" s="67" t="e">
        <f t="shared" ca="1" si="1448"/>
        <v>#NAME?</v>
      </c>
      <c r="BY181" s="67" t="e">
        <f t="shared" ca="1" si="1448"/>
        <v>#NAME?</v>
      </c>
      <c r="BZ181" s="67" t="e">
        <f t="shared" ca="1" si="1448"/>
        <v>#NAME?</v>
      </c>
      <c r="CA181" s="67" t="e">
        <f t="shared" ca="1" si="1448"/>
        <v>#NAME?</v>
      </c>
      <c r="CB181" s="67" t="e">
        <f t="shared" ca="1" si="1448"/>
        <v>#NAME?</v>
      </c>
      <c r="CC181" s="67" t="e">
        <f t="shared" ca="1" si="1448"/>
        <v>#NAME?</v>
      </c>
      <c r="CD181" s="67" t="e">
        <f t="shared" ca="1" si="1448"/>
        <v>#NAME?</v>
      </c>
      <c r="CE181" s="114" t="e">
        <f t="shared" ca="1" si="1448"/>
        <v>#NAME?</v>
      </c>
      <c r="CF181" s="67" t="e">
        <f t="shared" ref="CF181:CG181" ca="1" si="1449">CF182-CF180-CF179</f>
        <v>#NAME?</v>
      </c>
      <c r="CG181" s="67" t="e">
        <f t="shared" ca="1" si="1449"/>
        <v>#NAME?</v>
      </c>
      <c r="CH181" s="67" t="e">
        <f t="shared" ref="CH181" ca="1" si="1450">CH182-CH180-CH179</f>
        <v>#NAME?</v>
      </c>
      <c r="CI181" s="67" t="e">
        <f ca="1">CH181</f>
        <v>#NAME?</v>
      </c>
      <c r="CJ181" s="67" t="e">
        <f t="shared" ref="CJ181" ca="1" si="1451">CJ182-CJ180-CJ179</f>
        <v>#NAME?</v>
      </c>
      <c r="CK181" s="67" t="e">
        <f t="shared" ref="CK181:DB181" ca="1" si="1452">CJ181</f>
        <v>#NAME?</v>
      </c>
      <c r="CL181" s="67" t="e">
        <f t="shared" ref="CL181" ca="1" si="1453">CL182-CL180-CL179</f>
        <v>#NAME?</v>
      </c>
      <c r="CM181" s="30" t="e">
        <f t="shared" ca="1" si="1452"/>
        <v>#NAME?</v>
      </c>
      <c r="CN181" s="30" t="e">
        <f t="shared" ca="1" si="1452"/>
        <v>#NAME?</v>
      </c>
      <c r="CO181" s="30" t="e">
        <f t="shared" ca="1" si="1452"/>
        <v>#NAME?</v>
      </c>
      <c r="CP181" s="30" t="e">
        <f t="shared" ca="1" si="1452"/>
        <v>#NAME?</v>
      </c>
      <c r="CQ181" s="30" t="e">
        <f t="shared" ca="1" si="1452"/>
        <v>#NAME?</v>
      </c>
      <c r="CR181" s="30" t="e">
        <f t="shared" ca="1" si="1452"/>
        <v>#NAME?</v>
      </c>
      <c r="CS181" s="30" t="e">
        <f t="shared" ca="1" si="1452"/>
        <v>#NAME?</v>
      </c>
      <c r="CT181" s="30" t="e">
        <f t="shared" ca="1" si="1452"/>
        <v>#NAME?</v>
      </c>
      <c r="CU181" s="30" t="e">
        <f t="shared" ca="1" si="1452"/>
        <v>#NAME?</v>
      </c>
      <c r="CV181" s="30" t="e">
        <f t="shared" ca="1" si="1452"/>
        <v>#NAME?</v>
      </c>
      <c r="CW181" s="30" t="e">
        <f t="shared" ca="1" si="1452"/>
        <v>#NAME?</v>
      </c>
      <c r="CX181" s="30" t="e">
        <f t="shared" ca="1" si="1452"/>
        <v>#NAME?</v>
      </c>
      <c r="CY181" s="30" t="e">
        <f t="shared" ca="1" si="1452"/>
        <v>#NAME?</v>
      </c>
      <c r="CZ181" s="30" t="e">
        <f t="shared" ca="1" si="1452"/>
        <v>#NAME?</v>
      </c>
      <c r="DA181" s="30" t="e">
        <f t="shared" ca="1" si="1452"/>
        <v>#NAME?</v>
      </c>
      <c r="DB181" s="30" t="e">
        <f t="shared" ca="1" si="1452"/>
        <v>#NAME?</v>
      </c>
      <c r="DE181" s="139"/>
      <c r="DF181" s="62">
        <v>34.009980738168636</v>
      </c>
    </row>
    <row r="182" spans="1:110" s="7" customFormat="1" outlineLevel="1" x14ac:dyDescent="0.2">
      <c r="A182" s="69" t="s">
        <v>467</v>
      </c>
      <c r="B182" s="70" t="e">
        <f t="shared" ref="B182:AE182" ca="1" si="1454">B148/B8*365</f>
        <v>#NAME?</v>
      </c>
      <c r="C182" s="70" t="e">
        <f t="shared" ca="1" si="1454"/>
        <v>#NAME?</v>
      </c>
      <c r="D182" s="70" t="e">
        <f t="shared" ca="1" si="1454"/>
        <v>#NAME?</v>
      </c>
      <c r="E182" s="70" t="e">
        <f t="shared" ca="1" si="1454"/>
        <v>#NAME?</v>
      </c>
      <c r="F182" s="70" t="e">
        <f t="shared" ca="1" si="1454"/>
        <v>#NAME?</v>
      </c>
      <c r="G182" s="70" t="e">
        <f t="shared" ca="1" si="1454"/>
        <v>#NAME?</v>
      </c>
      <c r="H182" s="70" t="e">
        <f t="shared" ca="1" si="1454"/>
        <v>#NAME?</v>
      </c>
      <c r="I182" s="70" t="e">
        <f t="shared" ca="1" si="1454"/>
        <v>#NAME?</v>
      </c>
      <c r="J182" s="70" t="e">
        <f t="shared" ca="1" si="1454"/>
        <v>#NAME?</v>
      </c>
      <c r="K182" s="70" t="e">
        <f t="shared" ca="1" si="1454"/>
        <v>#NAME?</v>
      </c>
      <c r="L182" s="70" t="e">
        <f t="shared" ca="1" si="1454"/>
        <v>#NAME?</v>
      </c>
      <c r="M182" s="70" t="e">
        <f t="shared" ca="1" si="1454"/>
        <v>#NAME?</v>
      </c>
      <c r="N182" s="70" t="e">
        <f t="shared" ca="1" si="1454"/>
        <v>#NAME?</v>
      </c>
      <c r="O182" s="70" t="e">
        <f t="shared" ca="1" si="1454"/>
        <v>#NAME?</v>
      </c>
      <c r="P182" s="70" t="e">
        <f t="shared" ca="1" si="1454"/>
        <v>#NAME?</v>
      </c>
      <c r="Q182" s="70" t="e">
        <f t="shared" ca="1" si="1454"/>
        <v>#NAME?</v>
      </c>
      <c r="R182" s="70" t="e">
        <f t="shared" ca="1" si="1454"/>
        <v>#NAME?</v>
      </c>
      <c r="S182" s="70" t="e">
        <f t="shared" ca="1" si="1454"/>
        <v>#NAME?</v>
      </c>
      <c r="T182" s="70" t="e">
        <f t="shared" ca="1" si="1454"/>
        <v>#NAME?</v>
      </c>
      <c r="U182" s="70" t="e">
        <f t="shared" ca="1" si="1454"/>
        <v>#NAME?</v>
      </c>
      <c r="V182" s="70" t="e">
        <f t="shared" ca="1" si="1454"/>
        <v>#NAME?</v>
      </c>
      <c r="W182" s="70" t="e">
        <f t="shared" ca="1" si="1454"/>
        <v>#NAME?</v>
      </c>
      <c r="X182" s="70" t="e">
        <f t="shared" ca="1" si="1454"/>
        <v>#NAME?</v>
      </c>
      <c r="Y182" s="70" t="e">
        <f t="shared" ca="1" si="1454"/>
        <v>#NAME?</v>
      </c>
      <c r="Z182" s="70" t="e">
        <f t="shared" ca="1" si="1454"/>
        <v>#NAME?</v>
      </c>
      <c r="AA182" s="70" t="e">
        <f t="shared" ref="AA182" ca="1" si="1455">AA148/AA8*365</f>
        <v>#NAME?</v>
      </c>
      <c r="AB182" s="71" t="e">
        <f t="shared" ca="1" si="1454"/>
        <v>#NAME?</v>
      </c>
      <c r="AC182" s="71" t="e">
        <f t="shared" ca="1" si="1454"/>
        <v>#NAME?</v>
      </c>
      <c r="AD182" s="71" t="e">
        <f t="shared" ca="1" si="1454"/>
        <v>#NAME?</v>
      </c>
      <c r="AE182" s="71" t="e">
        <f t="shared" ca="1" si="1454"/>
        <v>#NAME?</v>
      </c>
      <c r="AI182" s="70" t="e">
        <f t="shared" ref="AI182:CD182" ca="1" si="1456">AI148/AI8*90</f>
        <v>#NAME?</v>
      </c>
      <c r="AJ182" s="70" t="e">
        <f t="shared" ca="1" si="1456"/>
        <v>#NAME?</v>
      </c>
      <c r="AK182" s="70" t="e">
        <f t="shared" ca="1" si="1456"/>
        <v>#NAME?</v>
      </c>
      <c r="AL182" s="70" t="e">
        <f t="shared" ca="1" si="1456"/>
        <v>#NAME?</v>
      </c>
      <c r="AM182" s="70" t="e">
        <f t="shared" ca="1" si="1456"/>
        <v>#NAME?</v>
      </c>
      <c r="AN182" s="70" t="e">
        <f t="shared" ca="1" si="1456"/>
        <v>#NAME?</v>
      </c>
      <c r="AO182" s="70" t="e">
        <f t="shared" ca="1" si="1456"/>
        <v>#NAME?</v>
      </c>
      <c r="AP182" s="70" t="e">
        <f t="shared" ca="1" si="1456"/>
        <v>#NAME?</v>
      </c>
      <c r="AQ182" s="70" t="e">
        <f t="shared" ca="1" si="1456"/>
        <v>#NAME?</v>
      </c>
      <c r="AR182" s="70" t="e">
        <f t="shared" ca="1" si="1456"/>
        <v>#NAME?</v>
      </c>
      <c r="AS182" s="70" t="e">
        <f t="shared" ca="1" si="1456"/>
        <v>#NAME?</v>
      </c>
      <c r="AT182" s="70" t="e">
        <f t="shared" ca="1" si="1456"/>
        <v>#NAME?</v>
      </c>
      <c r="AU182" s="70" t="e">
        <f t="shared" ca="1" si="1456"/>
        <v>#NAME?</v>
      </c>
      <c r="AV182" s="70" t="e">
        <f t="shared" ca="1" si="1456"/>
        <v>#NAME?</v>
      </c>
      <c r="AW182" s="70" t="e">
        <f t="shared" ca="1" si="1456"/>
        <v>#NAME?</v>
      </c>
      <c r="AX182" s="70" t="e">
        <f t="shared" ca="1" si="1456"/>
        <v>#NAME?</v>
      </c>
      <c r="AY182" s="70" t="e">
        <f t="shared" ca="1" si="1456"/>
        <v>#NAME?</v>
      </c>
      <c r="AZ182" s="70" t="e">
        <f t="shared" ca="1" si="1456"/>
        <v>#NAME?</v>
      </c>
      <c r="BA182" s="70" t="e">
        <f t="shared" ca="1" si="1456"/>
        <v>#NAME?</v>
      </c>
      <c r="BB182" s="70" t="e">
        <f t="shared" ca="1" si="1456"/>
        <v>#NAME?</v>
      </c>
      <c r="BC182" s="70" t="e">
        <f t="shared" ca="1" si="1456"/>
        <v>#NAME?</v>
      </c>
      <c r="BD182" s="70" t="e">
        <f t="shared" ca="1" si="1456"/>
        <v>#NAME?</v>
      </c>
      <c r="BE182" s="70" t="e">
        <f t="shared" ca="1" si="1456"/>
        <v>#NAME?</v>
      </c>
      <c r="BF182" s="70" t="e">
        <f t="shared" ca="1" si="1456"/>
        <v>#NAME?</v>
      </c>
      <c r="BG182" s="70" t="e">
        <f t="shared" ca="1" si="1456"/>
        <v>#NAME?</v>
      </c>
      <c r="BH182" s="70" t="e">
        <f t="shared" ca="1" si="1456"/>
        <v>#NAME?</v>
      </c>
      <c r="BI182" s="70" t="e">
        <f t="shared" ca="1" si="1456"/>
        <v>#NAME?</v>
      </c>
      <c r="BJ182" s="70" t="e">
        <f t="shared" ca="1" si="1456"/>
        <v>#NAME?</v>
      </c>
      <c r="BK182" s="70" t="e">
        <f t="shared" ca="1" si="1456"/>
        <v>#NAME?</v>
      </c>
      <c r="BL182" s="70" t="e">
        <f t="shared" ca="1" si="1456"/>
        <v>#NAME?</v>
      </c>
      <c r="BM182" s="70" t="e">
        <f t="shared" ca="1" si="1456"/>
        <v>#NAME?</v>
      </c>
      <c r="BN182" s="70" t="e">
        <f t="shared" ca="1" si="1456"/>
        <v>#NAME?</v>
      </c>
      <c r="BO182" s="70" t="e">
        <f t="shared" ca="1" si="1456"/>
        <v>#NAME?</v>
      </c>
      <c r="BP182" s="70" t="e">
        <f t="shared" ca="1" si="1456"/>
        <v>#NAME?</v>
      </c>
      <c r="BQ182" s="70" t="e">
        <f t="shared" ca="1" si="1456"/>
        <v>#NAME?</v>
      </c>
      <c r="BR182" s="70" t="e">
        <f t="shared" ca="1" si="1456"/>
        <v>#NAME?</v>
      </c>
      <c r="BS182" s="70" t="e">
        <f t="shared" ca="1" si="1456"/>
        <v>#NAME?</v>
      </c>
      <c r="BT182" s="70" t="e">
        <f t="shared" ca="1" si="1456"/>
        <v>#NAME?</v>
      </c>
      <c r="BU182" s="70" t="e">
        <f t="shared" ca="1" si="1456"/>
        <v>#NAME?</v>
      </c>
      <c r="BV182" s="70" t="e">
        <f t="shared" ca="1" si="1456"/>
        <v>#NAME?</v>
      </c>
      <c r="BW182" s="70" t="e">
        <f t="shared" ca="1" si="1456"/>
        <v>#NAME?</v>
      </c>
      <c r="BX182" s="70" t="e">
        <f t="shared" ca="1" si="1456"/>
        <v>#NAME?</v>
      </c>
      <c r="BY182" s="70" t="e">
        <f t="shared" ca="1" si="1456"/>
        <v>#NAME?</v>
      </c>
      <c r="BZ182" s="70" t="e">
        <f t="shared" ca="1" si="1456"/>
        <v>#NAME?</v>
      </c>
      <c r="CA182" s="70" t="e">
        <f t="shared" ca="1" si="1456"/>
        <v>#NAME?</v>
      </c>
      <c r="CB182" s="70" t="e">
        <f t="shared" ca="1" si="1456"/>
        <v>#NAME?</v>
      </c>
      <c r="CC182" s="70" t="e">
        <f t="shared" ca="1" si="1456"/>
        <v>#NAME?</v>
      </c>
      <c r="CD182" s="70" t="e">
        <f t="shared" ca="1" si="1456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70" t="e">
        <f ca="1">CK148/CK10*90</f>
        <v>#NAME?</v>
      </c>
      <c r="CL182" s="70" t="e">
        <f ca="1">CL148/CL8*90</f>
        <v>#NAME?</v>
      </c>
      <c r="CM182" s="50" t="e">
        <f t="shared" ref="CM182:DB182" ca="1" si="1457">CM179+CM180+CM181</f>
        <v>#NAME?</v>
      </c>
      <c r="CN182" s="50" t="e">
        <f t="shared" ca="1" si="1457"/>
        <v>#NAME?</v>
      </c>
      <c r="CO182" s="50" t="e">
        <f t="shared" ca="1" si="1457"/>
        <v>#NAME?</v>
      </c>
      <c r="CP182" s="50" t="e">
        <f t="shared" ca="1" si="1457"/>
        <v>#NAME?</v>
      </c>
      <c r="CQ182" s="50" t="e">
        <f t="shared" ca="1" si="1457"/>
        <v>#NAME?</v>
      </c>
      <c r="CR182" s="50" t="e">
        <f t="shared" ca="1" si="1457"/>
        <v>#NAME?</v>
      </c>
      <c r="CS182" s="50" t="e">
        <f t="shared" ca="1" si="1457"/>
        <v>#NAME?</v>
      </c>
      <c r="CT182" s="50" t="e">
        <f t="shared" ca="1" si="1457"/>
        <v>#NAME?</v>
      </c>
      <c r="CU182" s="50" t="e">
        <f t="shared" ca="1" si="1457"/>
        <v>#NAME?</v>
      </c>
      <c r="CV182" s="50" t="e">
        <f t="shared" ca="1" si="1457"/>
        <v>#NAME?</v>
      </c>
      <c r="CW182" s="50" t="e">
        <f t="shared" ca="1" si="1457"/>
        <v>#NAME?</v>
      </c>
      <c r="CX182" s="50" t="e">
        <f t="shared" ca="1" si="1457"/>
        <v>#NAME?</v>
      </c>
      <c r="CY182" s="50" t="e">
        <f t="shared" ca="1" si="1457"/>
        <v>#NAME?</v>
      </c>
      <c r="CZ182" s="50" t="e">
        <f t="shared" ca="1" si="1457"/>
        <v>#NAME?</v>
      </c>
      <c r="DA182" s="50" t="e">
        <f t="shared" ca="1" si="1457"/>
        <v>#NAME?</v>
      </c>
      <c r="DB182" s="50" t="e">
        <f t="shared" ca="1" si="1457"/>
        <v>#NAME?</v>
      </c>
      <c r="DE182" s="138"/>
      <c r="DF182" s="7">
        <v>79.703788879963355</v>
      </c>
    </row>
    <row r="183" spans="1:110" s="62" customFormat="1" outlineLevel="1" x14ac:dyDescent="0.2">
      <c r="A183" s="68" t="s">
        <v>468</v>
      </c>
      <c r="B183" s="67" t="e">
        <f t="shared" ref="B183:AE183" ca="1" si="1458">B153/B8*365</f>
        <v>#NAME?</v>
      </c>
      <c r="C183" s="67" t="e">
        <f t="shared" ca="1" si="1458"/>
        <v>#NAME?</v>
      </c>
      <c r="D183" s="67" t="e">
        <f t="shared" ca="1" si="1458"/>
        <v>#NAME?</v>
      </c>
      <c r="E183" s="67" t="e">
        <f t="shared" ca="1" si="1458"/>
        <v>#NAME?</v>
      </c>
      <c r="F183" s="67" t="e">
        <f t="shared" ca="1" si="1458"/>
        <v>#NAME?</v>
      </c>
      <c r="G183" s="67" t="e">
        <f t="shared" ca="1" si="1458"/>
        <v>#NAME?</v>
      </c>
      <c r="H183" s="67" t="e">
        <f t="shared" ca="1" si="1458"/>
        <v>#NAME?</v>
      </c>
      <c r="I183" s="67" t="e">
        <f t="shared" ca="1" si="1458"/>
        <v>#NAME?</v>
      </c>
      <c r="J183" s="67" t="e">
        <f t="shared" ca="1" si="1458"/>
        <v>#NAME?</v>
      </c>
      <c r="K183" s="67" t="e">
        <f t="shared" ca="1" si="1458"/>
        <v>#NAME?</v>
      </c>
      <c r="L183" s="67" t="e">
        <f t="shared" ca="1" si="1458"/>
        <v>#NAME?</v>
      </c>
      <c r="M183" s="67" t="e">
        <f t="shared" ca="1" si="1458"/>
        <v>#NAME?</v>
      </c>
      <c r="N183" s="67" t="e">
        <f t="shared" ca="1" si="1458"/>
        <v>#NAME?</v>
      </c>
      <c r="O183" s="67" t="e">
        <f t="shared" ca="1" si="1458"/>
        <v>#NAME?</v>
      </c>
      <c r="P183" s="67" t="e">
        <f t="shared" ca="1" si="1458"/>
        <v>#NAME?</v>
      </c>
      <c r="Q183" s="67" t="e">
        <f t="shared" ca="1" si="1458"/>
        <v>#NAME?</v>
      </c>
      <c r="R183" s="67" t="e">
        <f t="shared" ca="1" si="1458"/>
        <v>#NAME?</v>
      </c>
      <c r="S183" s="67" t="e">
        <f t="shared" ca="1" si="1458"/>
        <v>#NAME?</v>
      </c>
      <c r="T183" s="67" t="e">
        <f t="shared" ca="1" si="1458"/>
        <v>#NAME?</v>
      </c>
      <c r="U183" s="67" t="e">
        <f t="shared" ca="1" si="1458"/>
        <v>#NAME?</v>
      </c>
      <c r="V183" s="67" t="e">
        <f t="shared" ca="1" si="1458"/>
        <v>#NAME?</v>
      </c>
      <c r="W183" s="67" t="e">
        <f t="shared" ca="1" si="1458"/>
        <v>#NAME?</v>
      </c>
      <c r="X183" s="67" t="e">
        <f t="shared" ca="1" si="1458"/>
        <v>#NAME?</v>
      </c>
      <c r="Y183" s="67" t="e">
        <f t="shared" ca="1" si="1458"/>
        <v>#NAME?</v>
      </c>
      <c r="Z183" s="67" t="e">
        <f t="shared" ca="1" si="1458"/>
        <v>#NAME?</v>
      </c>
      <c r="AA183" s="67" t="e">
        <f t="shared" ref="AA183" ca="1" si="1459">AA153/AA8*365</f>
        <v>#NAME?</v>
      </c>
      <c r="AB183" s="18" t="e">
        <f t="shared" ca="1" si="1458"/>
        <v>#NAME?</v>
      </c>
      <c r="AC183" s="18" t="e">
        <f t="shared" ca="1" si="1458"/>
        <v>#NAME?</v>
      </c>
      <c r="AD183" s="18" t="e">
        <f t="shared" ca="1" si="1458"/>
        <v>#NAME?</v>
      </c>
      <c r="AE183" s="18" t="e">
        <f t="shared" ca="1" si="1458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0">+AJ183</f>
        <v>#NAME?</v>
      </c>
      <c r="AL183" s="67" t="e">
        <f ca="1">AL153/AL8*90</f>
        <v>#NAME?</v>
      </c>
      <c r="AM183" s="67" t="e">
        <f t="shared" ref="AM183" ca="1" si="1461">+AL183</f>
        <v>#NAME?</v>
      </c>
      <c r="AN183" s="67" t="e">
        <f ca="1">AN153/AN8*90</f>
        <v>#NAME?</v>
      </c>
      <c r="AO183" s="67" t="e">
        <f t="shared" ref="AO183" ca="1" si="1462">+AN183</f>
        <v>#NAME?</v>
      </c>
      <c r="AP183" s="67" t="e">
        <f ca="1">AP153/AP8*90</f>
        <v>#NAME?</v>
      </c>
      <c r="AQ183" s="67" t="e">
        <f t="shared" ref="AQ183" ca="1" si="1463">+AP183</f>
        <v>#NAME?</v>
      </c>
      <c r="AR183" s="67" t="e">
        <f ca="1">AR153/AR8*90</f>
        <v>#NAME?</v>
      </c>
      <c r="AS183" s="67" t="e">
        <f t="shared" ref="AS183" ca="1" si="1464">+AR183</f>
        <v>#NAME?</v>
      </c>
      <c r="AT183" s="67" t="e">
        <f ca="1">AT153/AT8*90</f>
        <v>#NAME?</v>
      </c>
      <c r="AU183" s="67" t="e">
        <f t="shared" ref="AU183" ca="1" si="1465">+AT183</f>
        <v>#NAME?</v>
      </c>
      <c r="AV183" s="67" t="e">
        <f ca="1">AV153/AV8*90</f>
        <v>#NAME?</v>
      </c>
      <c r="AW183" s="67" t="e">
        <f t="shared" ref="AW183" ca="1" si="1466">+AV183</f>
        <v>#NAME?</v>
      </c>
      <c r="AX183" s="67" t="e">
        <f ca="1">AX153/AX8*90</f>
        <v>#NAME?</v>
      </c>
      <c r="AY183" s="67" t="e">
        <f t="shared" ref="AY183" ca="1" si="1467">+AX183</f>
        <v>#NAME?</v>
      </c>
      <c r="AZ183" s="67" t="e">
        <f ca="1">AZ153/AZ8*90</f>
        <v>#NAME?</v>
      </c>
      <c r="BA183" s="67" t="e">
        <f t="shared" ref="BA183" ca="1" si="1468">+AZ183</f>
        <v>#NAME?</v>
      </c>
      <c r="BB183" s="67" t="e">
        <f ca="1">BB153/BB8*90</f>
        <v>#NAME?</v>
      </c>
      <c r="BC183" s="67" t="e">
        <f t="shared" ref="BC183" ca="1" si="1469">+BB183</f>
        <v>#NAME?</v>
      </c>
      <c r="BD183" s="67" t="e">
        <f ca="1">BD153/BD8*90</f>
        <v>#NAME?</v>
      </c>
      <c r="BE183" s="67" t="e">
        <f t="shared" ref="BE183" ca="1" si="1470">+BD183</f>
        <v>#NAME?</v>
      </c>
      <c r="BF183" s="67" t="e">
        <f ca="1">BF153/BF8*90</f>
        <v>#NAME?</v>
      </c>
      <c r="BG183" s="67" t="e">
        <f t="shared" ref="BG183" ca="1" si="1471">+BF183</f>
        <v>#NAME?</v>
      </c>
      <c r="BH183" s="67" t="e">
        <f ca="1">BH153/BH8*90</f>
        <v>#NAME?</v>
      </c>
      <c r="BI183" s="67" t="e">
        <f t="shared" ref="BI183" ca="1" si="1472">+BH183</f>
        <v>#NAME?</v>
      </c>
      <c r="BJ183" s="67" t="e">
        <f ca="1">BJ153/BJ8*90</f>
        <v>#NAME?</v>
      </c>
      <c r="BK183" s="67" t="e">
        <f t="shared" ref="BK183" ca="1" si="1473">+BJ183</f>
        <v>#NAME?</v>
      </c>
      <c r="BL183" s="67" t="e">
        <f ca="1">BL153/BL8*90</f>
        <v>#NAME?</v>
      </c>
      <c r="BM183" s="67" t="e">
        <f t="shared" ref="BM183" ca="1" si="1474">+BL183</f>
        <v>#NAME?</v>
      </c>
      <c r="BN183" s="67" t="e">
        <f ca="1">BN153/BN8*90</f>
        <v>#NAME?</v>
      </c>
      <c r="BO183" s="67" t="e">
        <f t="shared" ref="BO183" ca="1" si="1475">+BN183</f>
        <v>#NAME?</v>
      </c>
      <c r="BP183" s="67" t="e">
        <f ca="1">BP153/BP8*90</f>
        <v>#NAME?</v>
      </c>
      <c r="BQ183" s="67" t="e">
        <f t="shared" ref="BQ183" ca="1" si="1476">+BP183</f>
        <v>#NAME?</v>
      </c>
      <c r="BR183" s="67" t="e">
        <f ca="1">BR153/BR8*90</f>
        <v>#NAME?</v>
      </c>
      <c r="BS183" s="67" t="e">
        <f t="shared" ref="BS183" ca="1" si="1477">+BR183</f>
        <v>#NAME?</v>
      </c>
      <c r="BT183" s="67" t="e">
        <f ca="1">BT153/BT8*90</f>
        <v>#NAME?</v>
      </c>
      <c r="BU183" s="67" t="e">
        <f t="shared" ref="BU183" ca="1" si="1478">+BT183</f>
        <v>#NAME?</v>
      </c>
      <c r="BV183" s="67" t="e">
        <f ca="1">BV153/BV8*90</f>
        <v>#NAME?</v>
      </c>
      <c r="BW183" s="67" t="e">
        <f t="shared" ref="BW183" ca="1" si="1479">+BV183</f>
        <v>#NAME?</v>
      </c>
      <c r="BX183" s="67" t="e">
        <f ca="1">BX153/BX8*90</f>
        <v>#NAME?</v>
      </c>
      <c r="BY183" s="67" t="e">
        <f t="shared" ref="BY183" ca="1" si="1480">+BX183</f>
        <v>#NAME?</v>
      </c>
      <c r="BZ183" s="67" t="e">
        <f ca="1">BZ153/BZ8*90</f>
        <v>#NAME?</v>
      </c>
      <c r="CA183" s="67" t="e">
        <f t="shared" ref="CA183" ca="1" si="1481">+BZ183</f>
        <v>#NAME?</v>
      </c>
      <c r="CB183" s="67" t="e">
        <f ca="1">CB153/CB8*90</f>
        <v>#NAME?</v>
      </c>
      <c r="CC183" s="67" t="e">
        <f t="shared" ref="CC183" ca="1" si="1482">+CB183</f>
        <v>#NAME?</v>
      </c>
      <c r="CD183" s="67" t="e">
        <f ca="1">CD153/CD8*90</f>
        <v>#NAME?</v>
      </c>
      <c r="CE183" s="114" t="e">
        <f t="shared" ca="1" si="1460"/>
        <v>#NAME?</v>
      </c>
      <c r="CF183" s="67" t="e">
        <f ca="1">CF153/CF8*90</f>
        <v>#NAME?</v>
      </c>
      <c r="CG183" s="67" t="e">
        <f t="shared" ref="CG183:CI183" ca="1" si="1483">+CF183</f>
        <v>#NAME?</v>
      </c>
      <c r="CH183" s="67" t="e">
        <f ca="1">CH153/CH8*90</f>
        <v>#NAME?</v>
      </c>
      <c r="CI183" s="67" t="e">
        <f t="shared" ca="1" si="1483"/>
        <v>#NAME?</v>
      </c>
      <c r="CJ183" s="67" t="e">
        <f ca="1">CJ153/CJ8*90</f>
        <v>#NAME?</v>
      </c>
      <c r="CK183" s="67" t="e">
        <f t="shared" ref="CK183" ca="1" si="1484">+CJ183</f>
        <v>#NAME?</v>
      </c>
      <c r="CL183" s="67" t="e">
        <f ca="1">CL153/CL8*90</f>
        <v>#NAME?</v>
      </c>
      <c r="CM183" s="30" t="e">
        <f t="shared" ref="CM183" ca="1" si="1485">+CL183</f>
        <v>#NAME?</v>
      </c>
      <c r="CN183" s="30" t="e">
        <f t="shared" ref="CN183" ca="1" si="1486">+CM183</f>
        <v>#NAME?</v>
      </c>
      <c r="CO183" s="30" t="e">
        <f t="shared" ref="CO183" ca="1" si="1487">+CN183</f>
        <v>#NAME?</v>
      </c>
      <c r="CP183" s="30" t="e">
        <f t="shared" ref="CP183" ca="1" si="1488">+CO183</f>
        <v>#NAME?</v>
      </c>
      <c r="CQ183" s="30" t="e">
        <f t="shared" ref="CQ183" ca="1" si="1489">+CP183</f>
        <v>#NAME?</v>
      </c>
      <c r="CR183" s="30" t="e">
        <f t="shared" ref="CR183" ca="1" si="1490">+CQ183</f>
        <v>#NAME?</v>
      </c>
      <c r="CS183" s="30" t="e">
        <f t="shared" ref="CS183" ca="1" si="1491">+CR183</f>
        <v>#NAME?</v>
      </c>
      <c r="CT183" s="30" t="e">
        <f t="shared" ref="CT183" ca="1" si="1492">+CS183</f>
        <v>#NAME?</v>
      </c>
      <c r="CU183" s="30" t="e">
        <f t="shared" ref="CU183" ca="1" si="1493">+CT183</f>
        <v>#NAME?</v>
      </c>
      <c r="CV183" s="30" t="e">
        <f t="shared" ref="CV183" ca="1" si="1494">+CU183</f>
        <v>#NAME?</v>
      </c>
      <c r="CW183" s="30" t="e">
        <f t="shared" ref="CW183" ca="1" si="1495">+CV183</f>
        <v>#NAME?</v>
      </c>
      <c r="CX183" s="30" t="e">
        <f t="shared" ref="CX183" ca="1" si="1496">+CW183</f>
        <v>#NAME?</v>
      </c>
      <c r="CY183" s="30" t="e">
        <f t="shared" ref="CY183" ca="1" si="1497">+CX183</f>
        <v>#NAME?</v>
      </c>
      <c r="CZ183" s="30" t="e">
        <f t="shared" ref="CZ183" ca="1" si="1498">+CY183</f>
        <v>#NAME?</v>
      </c>
      <c r="DA183" s="30" t="e">
        <f t="shared" ref="DA183" ca="1" si="1499">+CZ183</f>
        <v>#NAME?</v>
      </c>
      <c r="DB183" s="30" t="e">
        <f t="shared" ref="DB183" ca="1" si="1500">+DA183</f>
        <v>#NAME?</v>
      </c>
      <c r="DE183" s="139"/>
      <c r="DF183" s="62">
        <v>49.812365577466245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1">C185-C183</f>
        <v>#NAME?</v>
      </c>
      <c r="D184" s="67" t="e">
        <f t="shared" ca="1" si="1501"/>
        <v>#NAME?</v>
      </c>
      <c r="E184" s="67" t="e">
        <f t="shared" ca="1" si="1501"/>
        <v>#NAME?</v>
      </c>
      <c r="F184" s="67" t="e">
        <f t="shared" ca="1" si="1501"/>
        <v>#NAME?</v>
      </c>
      <c r="G184" s="67" t="e">
        <f t="shared" ca="1" si="1501"/>
        <v>#NAME?</v>
      </c>
      <c r="H184" s="67" t="e">
        <f t="shared" ca="1" si="1501"/>
        <v>#NAME?</v>
      </c>
      <c r="I184" s="67" t="e">
        <f t="shared" ca="1" si="1501"/>
        <v>#NAME?</v>
      </c>
      <c r="J184" s="67" t="e">
        <f t="shared" ca="1" si="1501"/>
        <v>#NAME?</v>
      </c>
      <c r="K184" s="67" t="e">
        <f t="shared" ca="1" si="1501"/>
        <v>#NAME?</v>
      </c>
      <c r="L184" s="67" t="e">
        <f t="shared" ca="1" si="1501"/>
        <v>#NAME?</v>
      </c>
      <c r="M184" s="67" t="e">
        <f t="shared" ca="1" si="1501"/>
        <v>#NAME?</v>
      </c>
      <c r="N184" s="67" t="e">
        <f t="shared" ca="1" si="1501"/>
        <v>#NAME?</v>
      </c>
      <c r="O184" s="67" t="e">
        <f t="shared" ca="1" si="1501"/>
        <v>#NAME?</v>
      </c>
      <c r="P184" s="67" t="e">
        <f t="shared" ca="1" si="1501"/>
        <v>#NAME?</v>
      </c>
      <c r="Q184" s="67" t="e">
        <f t="shared" ca="1" si="1501"/>
        <v>#NAME?</v>
      </c>
      <c r="R184" s="67" t="e">
        <f t="shared" ca="1" si="1501"/>
        <v>#NAME?</v>
      </c>
      <c r="S184" s="67" t="e">
        <f t="shared" ca="1" si="1501"/>
        <v>#NAME?</v>
      </c>
      <c r="T184" s="67" t="e">
        <f t="shared" ca="1" si="1501"/>
        <v>#NAME?</v>
      </c>
      <c r="U184" s="67" t="e">
        <f t="shared" ca="1" si="1501"/>
        <v>#NAME?</v>
      </c>
      <c r="V184" s="67" t="e">
        <f t="shared" ca="1" si="1501"/>
        <v>#NAME?</v>
      </c>
      <c r="W184" s="67" t="e">
        <f t="shared" ref="W184" ca="1" si="1502">W185-W183</f>
        <v>#NAME?</v>
      </c>
      <c r="X184" s="67" t="e">
        <f t="shared" ref="X184:Y184" ca="1" si="1503">X185-X183</f>
        <v>#NAME?</v>
      </c>
      <c r="Y184" s="67" t="e">
        <f t="shared" ca="1" si="1503"/>
        <v>#NAME?</v>
      </c>
      <c r="Z184" s="67" t="e">
        <f t="shared" ref="Z184:AA184" ca="1" si="1504">Z185-Z183</f>
        <v>#NAME?</v>
      </c>
      <c r="AA184" s="67" t="e">
        <f t="shared" ca="1" si="1504"/>
        <v>#NAME?</v>
      </c>
      <c r="AB184" s="18" t="e">
        <f t="shared" ref="AA184:AD184" ca="1" si="1505">AB185-AB183</f>
        <v>#NAME?</v>
      </c>
      <c r="AC184" s="18" t="e">
        <f t="shared" ca="1" si="1505"/>
        <v>#NAME?</v>
      </c>
      <c r="AD184" s="18" t="e">
        <f t="shared" ca="1" si="1505"/>
        <v>#NAME?</v>
      </c>
      <c r="AE184" s="18" t="e">
        <f t="shared" ref="AE184" ca="1" si="1506">AE185-AE183</f>
        <v>#NAME?</v>
      </c>
      <c r="AI184" s="67" t="e">
        <f t="shared" ref="AI184:AK184" ca="1" si="1507">AI185-AI183</f>
        <v>#NAME?</v>
      </c>
      <c r="AJ184" s="67" t="e">
        <f t="shared" ref="AJ184:AM184" ca="1" si="1508">AJ185-AJ183</f>
        <v>#NAME?</v>
      </c>
      <c r="AK184" s="67" t="e">
        <f t="shared" ca="1" si="1507"/>
        <v>#NAME?</v>
      </c>
      <c r="AL184" s="67" t="e">
        <f t="shared" ca="1" si="1508"/>
        <v>#NAME?</v>
      </c>
      <c r="AM184" s="67" t="e">
        <f t="shared" ca="1" si="1508"/>
        <v>#NAME?</v>
      </c>
      <c r="AN184" s="67" t="e">
        <f t="shared" ref="AN184:AY184" ca="1" si="1509">AN185-AN183</f>
        <v>#NAME?</v>
      </c>
      <c r="AO184" s="67" t="e">
        <f t="shared" ca="1" si="1509"/>
        <v>#NAME?</v>
      </c>
      <c r="AP184" s="67" t="e">
        <f t="shared" ca="1" si="1509"/>
        <v>#NAME?</v>
      </c>
      <c r="AQ184" s="67" t="e">
        <f t="shared" ca="1" si="1509"/>
        <v>#NAME?</v>
      </c>
      <c r="AR184" s="67" t="e">
        <f t="shared" ca="1" si="1509"/>
        <v>#NAME?</v>
      </c>
      <c r="AS184" s="67" t="e">
        <f t="shared" ca="1" si="1509"/>
        <v>#NAME?</v>
      </c>
      <c r="AT184" s="67" t="e">
        <f t="shared" ca="1" si="1509"/>
        <v>#NAME?</v>
      </c>
      <c r="AU184" s="67" t="e">
        <f t="shared" ca="1" si="1509"/>
        <v>#NAME?</v>
      </c>
      <c r="AV184" s="67" t="e">
        <f t="shared" ca="1" si="1509"/>
        <v>#NAME?</v>
      </c>
      <c r="AW184" s="67" t="e">
        <f t="shared" ca="1" si="1509"/>
        <v>#NAME?</v>
      </c>
      <c r="AX184" s="67" t="e">
        <f t="shared" ca="1" si="1509"/>
        <v>#NAME?</v>
      </c>
      <c r="AY184" s="67" t="e">
        <f t="shared" ca="1" si="1509"/>
        <v>#NAME?</v>
      </c>
      <c r="AZ184" s="67" t="e">
        <f t="shared" ref="AZ184:BC184" ca="1" si="1510">AZ185-AZ183</f>
        <v>#NAME?</v>
      </c>
      <c r="BA184" s="67" t="e">
        <f t="shared" ca="1" si="1510"/>
        <v>#NAME?</v>
      </c>
      <c r="BB184" s="67" t="e">
        <f t="shared" ca="1" si="1510"/>
        <v>#NAME?</v>
      </c>
      <c r="BC184" s="67" t="e">
        <f t="shared" ca="1" si="1510"/>
        <v>#NAME?</v>
      </c>
      <c r="BD184" s="67" t="e">
        <f t="shared" ref="BD184:CE184" ca="1" si="1511">BD185-BD183</f>
        <v>#NAME?</v>
      </c>
      <c r="BE184" s="67" t="e">
        <f t="shared" ca="1" si="1511"/>
        <v>#NAME?</v>
      </c>
      <c r="BF184" s="67" t="e">
        <f t="shared" ca="1" si="1511"/>
        <v>#NAME?</v>
      </c>
      <c r="BG184" s="67" t="e">
        <f t="shared" ca="1" si="1511"/>
        <v>#NAME?</v>
      </c>
      <c r="BH184" s="67" t="e">
        <f t="shared" ca="1" si="1511"/>
        <v>#NAME?</v>
      </c>
      <c r="BI184" s="67" t="e">
        <f t="shared" ca="1" si="1511"/>
        <v>#NAME?</v>
      </c>
      <c r="BJ184" s="67" t="e">
        <f t="shared" ca="1" si="1511"/>
        <v>#NAME?</v>
      </c>
      <c r="BK184" s="67" t="e">
        <f t="shared" ca="1" si="1511"/>
        <v>#NAME?</v>
      </c>
      <c r="BL184" s="67" t="e">
        <f t="shared" ca="1" si="1511"/>
        <v>#NAME?</v>
      </c>
      <c r="BM184" s="67" t="e">
        <f t="shared" ca="1" si="1511"/>
        <v>#NAME?</v>
      </c>
      <c r="BN184" s="67" t="e">
        <f t="shared" ca="1" si="1511"/>
        <v>#NAME?</v>
      </c>
      <c r="BO184" s="67" t="e">
        <f t="shared" ca="1" si="1511"/>
        <v>#NAME?</v>
      </c>
      <c r="BP184" s="67" t="e">
        <f t="shared" ca="1" si="1511"/>
        <v>#NAME?</v>
      </c>
      <c r="BQ184" s="67" t="e">
        <f t="shared" ca="1" si="1511"/>
        <v>#NAME?</v>
      </c>
      <c r="BR184" s="67" t="e">
        <f t="shared" ca="1" si="1511"/>
        <v>#NAME?</v>
      </c>
      <c r="BS184" s="67" t="e">
        <f t="shared" ca="1" si="1511"/>
        <v>#NAME?</v>
      </c>
      <c r="BT184" s="67" t="e">
        <f t="shared" ca="1" si="1511"/>
        <v>#NAME?</v>
      </c>
      <c r="BU184" s="67" t="e">
        <f t="shared" ca="1" si="1511"/>
        <v>#NAME?</v>
      </c>
      <c r="BV184" s="67" t="e">
        <f t="shared" ca="1" si="1511"/>
        <v>#NAME?</v>
      </c>
      <c r="BW184" s="67" t="e">
        <f t="shared" ca="1" si="1511"/>
        <v>#NAME?</v>
      </c>
      <c r="BX184" s="67" t="e">
        <f t="shared" ca="1" si="1511"/>
        <v>#NAME?</v>
      </c>
      <c r="BY184" s="67" t="e">
        <f t="shared" ca="1" si="1511"/>
        <v>#NAME?</v>
      </c>
      <c r="BZ184" s="67" t="e">
        <f t="shared" ca="1" si="1511"/>
        <v>#NAME?</v>
      </c>
      <c r="CA184" s="67" t="e">
        <f t="shared" ca="1" si="1511"/>
        <v>#NAME?</v>
      </c>
      <c r="CB184" s="67" t="e">
        <f t="shared" ca="1" si="1511"/>
        <v>#NAME?</v>
      </c>
      <c r="CC184" s="67" t="e">
        <f t="shared" ca="1" si="1511"/>
        <v>#NAME?</v>
      </c>
      <c r="CD184" s="67" t="e">
        <f t="shared" ca="1" si="1511"/>
        <v>#NAME?</v>
      </c>
      <c r="CE184" s="114" t="e">
        <f t="shared" ca="1" si="1511"/>
        <v>#NAME?</v>
      </c>
      <c r="CF184" s="67" t="e">
        <f t="shared" ref="CF184:CG184" ca="1" si="1512">CF185-CF183</f>
        <v>#NAME?</v>
      </c>
      <c r="CG184" s="67" t="e">
        <f t="shared" ca="1" si="1512"/>
        <v>#NAME?</v>
      </c>
      <c r="CH184" s="67" t="e">
        <f t="shared" ref="CH184" ca="1" si="1513">CH185-CH183</f>
        <v>#NAME?</v>
      </c>
      <c r="CI184" s="67" t="e">
        <f ca="1">CH184</f>
        <v>#NAME?</v>
      </c>
      <c r="CJ184" s="67" t="e">
        <f t="shared" ref="CJ184" ca="1" si="1514">CJ185-CJ183</f>
        <v>#NAME?</v>
      </c>
      <c r="CK184" s="67" t="e">
        <f t="shared" ref="CK184:DB184" ca="1" si="1515">CJ184</f>
        <v>#NAME?</v>
      </c>
      <c r="CL184" s="67" t="e">
        <f t="shared" ref="CL184" ca="1" si="1516">CL185-CL183</f>
        <v>#NAME?</v>
      </c>
      <c r="CM184" s="30" t="e">
        <f t="shared" ca="1" si="1515"/>
        <v>#NAME?</v>
      </c>
      <c r="CN184" s="30" t="e">
        <f t="shared" ca="1" si="1515"/>
        <v>#NAME?</v>
      </c>
      <c r="CO184" s="30" t="e">
        <f t="shared" ca="1" si="1515"/>
        <v>#NAME?</v>
      </c>
      <c r="CP184" s="30" t="e">
        <f t="shared" ca="1" si="1515"/>
        <v>#NAME?</v>
      </c>
      <c r="CQ184" s="30" t="e">
        <f t="shared" ca="1" si="1515"/>
        <v>#NAME?</v>
      </c>
      <c r="CR184" s="30" t="e">
        <f t="shared" ca="1" si="1515"/>
        <v>#NAME?</v>
      </c>
      <c r="CS184" s="30" t="e">
        <f t="shared" ca="1" si="1515"/>
        <v>#NAME?</v>
      </c>
      <c r="CT184" s="30" t="e">
        <f t="shared" ca="1" si="1515"/>
        <v>#NAME?</v>
      </c>
      <c r="CU184" s="30" t="e">
        <f t="shared" ca="1" si="1515"/>
        <v>#NAME?</v>
      </c>
      <c r="CV184" s="30" t="e">
        <f t="shared" ca="1" si="1515"/>
        <v>#NAME?</v>
      </c>
      <c r="CW184" s="30" t="e">
        <f t="shared" ca="1" si="1515"/>
        <v>#NAME?</v>
      </c>
      <c r="CX184" s="30" t="e">
        <f t="shared" ca="1" si="1515"/>
        <v>#NAME?</v>
      </c>
      <c r="CY184" s="30" t="e">
        <f t="shared" ca="1" si="1515"/>
        <v>#NAME?</v>
      </c>
      <c r="CZ184" s="30" t="e">
        <f t="shared" ca="1" si="1515"/>
        <v>#NAME?</v>
      </c>
      <c r="DA184" s="30" t="e">
        <f t="shared" ca="1" si="1515"/>
        <v>#NAME?</v>
      </c>
      <c r="DB184" s="30" t="e">
        <f t="shared" ca="1" si="1515"/>
        <v>#NAME?</v>
      </c>
      <c r="DE184" s="139"/>
      <c r="DF184" s="62">
        <v>75.302589982120168</v>
      </c>
    </row>
    <row r="185" spans="1:110" s="7" customFormat="1" outlineLevel="1" x14ac:dyDescent="0.2">
      <c r="A185" s="69" t="s">
        <v>469</v>
      </c>
      <c r="B185" s="70" t="e">
        <f t="shared" ref="B185:AE185" ca="1" si="1517">B156/B8*365</f>
        <v>#NAME?</v>
      </c>
      <c r="C185" s="70" t="e">
        <f t="shared" ca="1" si="1517"/>
        <v>#NAME?</v>
      </c>
      <c r="D185" s="70" t="e">
        <f t="shared" ca="1" si="1517"/>
        <v>#NAME?</v>
      </c>
      <c r="E185" s="70" t="e">
        <f t="shared" ca="1" si="1517"/>
        <v>#NAME?</v>
      </c>
      <c r="F185" s="70" t="e">
        <f t="shared" ca="1" si="1517"/>
        <v>#NAME?</v>
      </c>
      <c r="G185" s="70" t="e">
        <f t="shared" ca="1" si="1517"/>
        <v>#NAME?</v>
      </c>
      <c r="H185" s="70" t="e">
        <f t="shared" ca="1" si="1517"/>
        <v>#NAME?</v>
      </c>
      <c r="I185" s="70" t="e">
        <f t="shared" ca="1" si="1517"/>
        <v>#NAME?</v>
      </c>
      <c r="J185" s="70" t="e">
        <f t="shared" ca="1" si="1517"/>
        <v>#NAME?</v>
      </c>
      <c r="K185" s="70" t="e">
        <f t="shared" ca="1" si="1517"/>
        <v>#NAME?</v>
      </c>
      <c r="L185" s="70" t="e">
        <f t="shared" ca="1" si="1517"/>
        <v>#NAME?</v>
      </c>
      <c r="M185" s="70" t="e">
        <f t="shared" ca="1" si="1517"/>
        <v>#NAME?</v>
      </c>
      <c r="N185" s="70" t="e">
        <f t="shared" ca="1" si="1517"/>
        <v>#NAME?</v>
      </c>
      <c r="O185" s="70" t="e">
        <f t="shared" ca="1" si="1517"/>
        <v>#NAME?</v>
      </c>
      <c r="P185" s="70" t="e">
        <f t="shared" ca="1" si="1517"/>
        <v>#NAME?</v>
      </c>
      <c r="Q185" s="70" t="e">
        <f t="shared" ca="1" si="1517"/>
        <v>#NAME?</v>
      </c>
      <c r="R185" s="70" t="e">
        <f t="shared" ca="1" si="1517"/>
        <v>#NAME?</v>
      </c>
      <c r="S185" s="70" t="e">
        <f t="shared" ca="1" si="1517"/>
        <v>#NAME?</v>
      </c>
      <c r="T185" s="70" t="e">
        <f t="shared" ca="1" si="1517"/>
        <v>#NAME?</v>
      </c>
      <c r="U185" s="70" t="e">
        <f t="shared" ca="1" si="1517"/>
        <v>#NAME?</v>
      </c>
      <c r="V185" s="70" t="e">
        <f t="shared" ca="1" si="1517"/>
        <v>#NAME?</v>
      </c>
      <c r="W185" s="70" t="e">
        <f t="shared" ca="1" si="1517"/>
        <v>#NAME?</v>
      </c>
      <c r="X185" s="70" t="e">
        <f t="shared" ca="1" si="1517"/>
        <v>#NAME?</v>
      </c>
      <c r="Y185" s="70" t="e">
        <f t="shared" ca="1" si="1517"/>
        <v>#NAME?</v>
      </c>
      <c r="Z185" s="70" t="e">
        <f t="shared" ca="1" si="1517"/>
        <v>#NAME?</v>
      </c>
      <c r="AA185" s="70" t="e">
        <f t="shared" ref="AA185" ca="1" si="1518">AA156/AA8*365</f>
        <v>#NAME?</v>
      </c>
      <c r="AB185" s="71" t="e">
        <f t="shared" ca="1" si="1517"/>
        <v>#NAME?</v>
      </c>
      <c r="AC185" s="71" t="e">
        <f t="shared" ca="1" si="1517"/>
        <v>#NAME?</v>
      </c>
      <c r="AD185" s="71" t="e">
        <f t="shared" ca="1" si="1517"/>
        <v>#NAME?</v>
      </c>
      <c r="AE185" s="71" t="e">
        <f t="shared" ca="1" si="1517"/>
        <v>#NAME?</v>
      </c>
      <c r="AI185" s="70" t="e">
        <f t="shared" ref="AI185:CD185" ca="1" si="1519">AI156/AI8*90</f>
        <v>#NAME?</v>
      </c>
      <c r="AJ185" s="70" t="e">
        <f t="shared" ca="1" si="1519"/>
        <v>#NAME?</v>
      </c>
      <c r="AK185" s="70" t="e">
        <f ca="1">AK156/AK8*90</f>
        <v>#NAME?</v>
      </c>
      <c r="AL185" s="70" t="e">
        <f t="shared" ca="1" si="1519"/>
        <v>#NAME?</v>
      </c>
      <c r="AM185" s="70" t="e">
        <f t="shared" ca="1" si="1519"/>
        <v>#NAME?</v>
      </c>
      <c r="AN185" s="70" t="e">
        <f t="shared" ca="1" si="1519"/>
        <v>#NAME?</v>
      </c>
      <c r="AO185" s="70" t="e">
        <f t="shared" ca="1" si="1519"/>
        <v>#NAME?</v>
      </c>
      <c r="AP185" s="70" t="e">
        <f t="shared" ca="1" si="1519"/>
        <v>#NAME?</v>
      </c>
      <c r="AQ185" s="70" t="e">
        <f t="shared" ca="1" si="1519"/>
        <v>#NAME?</v>
      </c>
      <c r="AR185" s="70" t="e">
        <f t="shared" ca="1" si="1519"/>
        <v>#NAME?</v>
      </c>
      <c r="AS185" s="70" t="e">
        <f t="shared" ca="1" si="1519"/>
        <v>#NAME?</v>
      </c>
      <c r="AT185" s="70" t="e">
        <f t="shared" ca="1" si="1519"/>
        <v>#NAME?</v>
      </c>
      <c r="AU185" s="70" t="e">
        <f t="shared" ca="1" si="1519"/>
        <v>#NAME?</v>
      </c>
      <c r="AV185" s="70" t="e">
        <f t="shared" ca="1" si="1519"/>
        <v>#NAME?</v>
      </c>
      <c r="AW185" s="70" t="e">
        <f t="shared" ca="1" si="1519"/>
        <v>#NAME?</v>
      </c>
      <c r="AX185" s="70" t="e">
        <f t="shared" ca="1" si="1519"/>
        <v>#NAME?</v>
      </c>
      <c r="AY185" s="70" t="e">
        <f t="shared" ca="1" si="1519"/>
        <v>#NAME?</v>
      </c>
      <c r="AZ185" s="70" t="e">
        <f t="shared" ca="1" si="1519"/>
        <v>#NAME?</v>
      </c>
      <c r="BA185" s="70" t="e">
        <f t="shared" ca="1" si="1519"/>
        <v>#NAME?</v>
      </c>
      <c r="BB185" s="70" t="e">
        <f t="shared" ca="1" si="1519"/>
        <v>#NAME?</v>
      </c>
      <c r="BC185" s="70" t="e">
        <f t="shared" ca="1" si="1519"/>
        <v>#NAME?</v>
      </c>
      <c r="BD185" s="70" t="e">
        <f t="shared" ca="1" si="1519"/>
        <v>#NAME?</v>
      </c>
      <c r="BE185" s="70" t="e">
        <f t="shared" ca="1" si="1519"/>
        <v>#NAME?</v>
      </c>
      <c r="BF185" s="70" t="e">
        <f t="shared" ca="1" si="1519"/>
        <v>#NAME?</v>
      </c>
      <c r="BG185" s="70" t="e">
        <f t="shared" ca="1" si="1519"/>
        <v>#NAME?</v>
      </c>
      <c r="BH185" s="70" t="e">
        <f t="shared" ca="1" si="1519"/>
        <v>#NAME?</v>
      </c>
      <c r="BI185" s="70" t="e">
        <f t="shared" ca="1" si="1519"/>
        <v>#NAME?</v>
      </c>
      <c r="BJ185" s="70" t="e">
        <f t="shared" ca="1" si="1519"/>
        <v>#NAME?</v>
      </c>
      <c r="BK185" s="70" t="e">
        <f t="shared" ca="1" si="1519"/>
        <v>#NAME?</v>
      </c>
      <c r="BL185" s="70" t="e">
        <f t="shared" ca="1" si="1519"/>
        <v>#NAME?</v>
      </c>
      <c r="BM185" s="70" t="e">
        <f t="shared" ca="1" si="1519"/>
        <v>#NAME?</v>
      </c>
      <c r="BN185" s="70" t="e">
        <f t="shared" ca="1" si="1519"/>
        <v>#NAME?</v>
      </c>
      <c r="BO185" s="70" t="e">
        <f t="shared" ca="1" si="1519"/>
        <v>#NAME?</v>
      </c>
      <c r="BP185" s="70" t="e">
        <f t="shared" ca="1" si="1519"/>
        <v>#NAME?</v>
      </c>
      <c r="BQ185" s="70" t="e">
        <f t="shared" ca="1" si="1519"/>
        <v>#NAME?</v>
      </c>
      <c r="BR185" s="70" t="e">
        <f t="shared" ca="1" si="1519"/>
        <v>#NAME?</v>
      </c>
      <c r="BS185" s="70" t="e">
        <f t="shared" ca="1" si="1519"/>
        <v>#NAME?</v>
      </c>
      <c r="BT185" s="70" t="e">
        <f t="shared" ca="1" si="1519"/>
        <v>#NAME?</v>
      </c>
      <c r="BU185" s="70" t="e">
        <f t="shared" ca="1" si="1519"/>
        <v>#NAME?</v>
      </c>
      <c r="BV185" s="70" t="e">
        <f t="shared" ca="1" si="1519"/>
        <v>#NAME?</v>
      </c>
      <c r="BW185" s="70" t="e">
        <f t="shared" ca="1" si="1519"/>
        <v>#NAME?</v>
      </c>
      <c r="BX185" s="70" t="e">
        <f t="shared" ca="1" si="1519"/>
        <v>#NAME?</v>
      </c>
      <c r="BY185" s="70" t="e">
        <f t="shared" ca="1" si="1519"/>
        <v>#NAME?</v>
      </c>
      <c r="BZ185" s="70" t="e">
        <f t="shared" ca="1" si="1519"/>
        <v>#NAME?</v>
      </c>
      <c r="CA185" s="70" t="e">
        <f t="shared" ca="1" si="1519"/>
        <v>#NAME?</v>
      </c>
      <c r="CB185" s="70" t="e">
        <f t="shared" ca="1" si="1519"/>
        <v>#NAME?</v>
      </c>
      <c r="CC185" s="70" t="e">
        <f t="shared" ca="1" si="1519"/>
        <v>#NAME?</v>
      </c>
      <c r="CD185" s="70" t="e">
        <f t="shared" ca="1" si="1519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70" t="e">
        <f ca="1">CK156/CK10*90</f>
        <v>#NAME?</v>
      </c>
      <c r="CL185" s="70" t="e">
        <f ca="1">CL156/CL8*90</f>
        <v>#NAME?</v>
      </c>
      <c r="CM185" s="50" t="e">
        <f t="shared" ref="CM185:DB185" ca="1" si="1520">CM183+CM184</f>
        <v>#NAME?</v>
      </c>
      <c r="CN185" s="50" t="e">
        <f t="shared" ca="1" si="1520"/>
        <v>#NAME?</v>
      </c>
      <c r="CO185" s="50" t="e">
        <f t="shared" ca="1" si="1520"/>
        <v>#NAME?</v>
      </c>
      <c r="CP185" s="50" t="e">
        <f t="shared" ca="1" si="1520"/>
        <v>#NAME?</v>
      </c>
      <c r="CQ185" s="50" t="e">
        <f t="shared" ca="1" si="1520"/>
        <v>#NAME?</v>
      </c>
      <c r="CR185" s="50" t="e">
        <f t="shared" ca="1" si="1520"/>
        <v>#NAME?</v>
      </c>
      <c r="CS185" s="50" t="e">
        <f t="shared" ca="1" si="1520"/>
        <v>#NAME?</v>
      </c>
      <c r="CT185" s="50" t="e">
        <f t="shared" ca="1" si="1520"/>
        <v>#NAME?</v>
      </c>
      <c r="CU185" s="50" t="e">
        <f t="shared" ca="1" si="1520"/>
        <v>#NAME?</v>
      </c>
      <c r="CV185" s="50" t="e">
        <f t="shared" ca="1" si="1520"/>
        <v>#NAME?</v>
      </c>
      <c r="CW185" s="50" t="e">
        <f t="shared" ca="1" si="1520"/>
        <v>#NAME?</v>
      </c>
      <c r="CX185" s="50" t="e">
        <f t="shared" ca="1" si="1520"/>
        <v>#NAME?</v>
      </c>
      <c r="CY185" s="50" t="e">
        <f t="shared" ca="1" si="1520"/>
        <v>#NAME?</v>
      </c>
      <c r="CZ185" s="50" t="e">
        <f t="shared" ca="1" si="1520"/>
        <v>#NAME?</v>
      </c>
      <c r="DA185" s="50" t="e">
        <f t="shared" ca="1" si="1520"/>
        <v>#NAME?</v>
      </c>
      <c r="DB185" s="50" t="e">
        <f t="shared" ca="1" si="1520"/>
        <v>#NAME?</v>
      </c>
      <c r="DE185" s="138"/>
      <c r="DF185" s="7">
        <v>125.11495555958642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1">C182-C185</f>
        <v>#NAME?</v>
      </c>
      <c r="D186" s="70" t="e">
        <f t="shared" ca="1" si="1521"/>
        <v>#NAME?</v>
      </c>
      <c r="E186" s="70" t="e">
        <f t="shared" ca="1" si="1521"/>
        <v>#NAME?</v>
      </c>
      <c r="F186" s="70" t="e">
        <f t="shared" ca="1" si="1521"/>
        <v>#NAME?</v>
      </c>
      <c r="G186" s="70" t="e">
        <f t="shared" ca="1" si="1521"/>
        <v>#NAME?</v>
      </c>
      <c r="H186" s="70" t="e">
        <f t="shared" ca="1" si="1521"/>
        <v>#NAME?</v>
      </c>
      <c r="I186" s="70" t="e">
        <f t="shared" ca="1" si="1521"/>
        <v>#NAME?</v>
      </c>
      <c r="J186" s="70" t="e">
        <f t="shared" ca="1" si="1521"/>
        <v>#NAME?</v>
      </c>
      <c r="K186" s="70" t="e">
        <f t="shared" ca="1" si="1521"/>
        <v>#NAME?</v>
      </c>
      <c r="L186" s="70" t="e">
        <f t="shared" ca="1" si="1521"/>
        <v>#NAME?</v>
      </c>
      <c r="M186" s="70" t="e">
        <f t="shared" ca="1" si="1521"/>
        <v>#NAME?</v>
      </c>
      <c r="N186" s="70" t="e">
        <f t="shared" ca="1" si="1521"/>
        <v>#NAME?</v>
      </c>
      <c r="O186" s="70" t="e">
        <f t="shared" ca="1" si="1521"/>
        <v>#NAME?</v>
      </c>
      <c r="P186" s="70" t="e">
        <f t="shared" ca="1" si="1521"/>
        <v>#NAME?</v>
      </c>
      <c r="Q186" s="70" t="e">
        <f t="shared" ca="1" si="1521"/>
        <v>#NAME?</v>
      </c>
      <c r="R186" s="70" t="e">
        <f t="shared" ca="1" si="1521"/>
        <v>#NAME?</v>
      </c>
      <c r="S186" s="70" t="e">
        <f t="shared" ca="1" si="1521"/>
        <v>#NAME?</v>
      </c>
      <c r="T186" s="70" t="e">
        <f t="shared" ca="1" si="1521"/>
        <v>#NAME?</v>
      </c>
      <c r="U186" s="70" t="e">
        <f t="shared" ca="1" si="1521"/>
        <v>#NAME?</v>
      </c>
      <c r="V186" s="70" t="e">
        <f t="shared" ca="1" si="1521"/>
        <v>#NAME?</v>
      </c>
      <c r="W186" s="70" t="e">
        <f t="shared" ref="W186" ca="1" si="1522">W182-W185</f>
        <v>#NAME?</v>
      </c>
      <c r="X186" s="70" t="e">
        <f t="shared" ref="X186:Y186" ca="1" si="1523">X182-X185</f>
        <v>#NAME?</v>
      </c>
      <c r="Y186" s="70" t="e">
        <f t="shared" ca="1" si="1523"/>
        <v>#NAME?</v>
      </c>
      <c r="Z186" s="70" t="e">
        <f t="shared" ref="Z186:AA186" ca="1" si="1524">Z182-Z185</f>
        <v>#NAME?</v>
      </c>
      <c r="AA186" s="70" t="e">
        <f t="shared" ca="1" si="1524"/>
        <v>#NAME?</v>
      </c>
      <c r="AB186" s="71" t="e">
        <f t="shared" ref="AA186:AD186" ca="1" si="1525">AB182-AB185</f>
        <v>#NAME?</v>
      </c>
      <c r="AC186" s="71" t="e">
        <f t="shared" ca="1" si="1525"/>
        <v>#NAME?</v>
      </c>
      <c r="AD186" s="71" t="e">
        <f t="shared" ca="1" si="1525"/>
        <v>#NAME?</v>
      </c>
      <c r="AE186" s="71" t="e">
        <f t="shared" ref="AE186" ca="1" si="1526">AE182-AE185</f>
        <v>#NAME?</v>
      </c>
      <c r="AI186" s="70" t="e">
        <f t="shared" ref="AI186:AK186" ca="1" si="1527">AI182-AI185</f>
        <v>#NAME?</v>
      </c>
      <c r="AJ186" s="70" t="e">
        <f t="shared" ref="AJ186:AM186" ca="1" si="1528">AJ182-AJ185</f>
        <v>#NAME?</v>
      </c>
      <c r="AK186" s="70" t="e">
        <f t="shared" ca="1" si="1527"/>
        <v>#NAME?</v>
      </c>
      <c r="AL186" s="70" t="e">
        <f t="shared" ca="1" si="1528"/>
        <v>#NAME?</v>
      </c>
      <c r="AM186" s="70" t="e">
        <f t="shared" ca="1" si="1528"/>
        <v>#NAME?</v>
      </c>
      <c r="AN186" s="70" t="e">
        <f t="shared" ref="AN186:AY186" ca="1" si="1529">AN182-AN185</f>
        <v>#NAME?</v>
      </c>
      <c r="AO186" s="70" t="e">
        <f t="shared" ca="1" si="1529"/>
        <v>#NAME?</v>
      </c>
      <c r="AP186" s="70" t="e">
        <f t="shared" ca="1" si="1529"/>
        <v>#NAME?</v>
      </c>
      <c r="AQ186" s="70" t="e">
        <f t="shared" ca="1" si="1529"/>
        <v>#NAME?</v>
      </c>
      <c r="AR186" s="70" t="e">
        <f t="shared" ca="1" si="1529"/>
        <v>#NAME?</v>
      </c>
      <c r="AS186" s="70" t="e">
        <f t="shared" ca="1" si="1529"/>
        <v>#NAME?</v>
      </c>
      <c r="AT186" s="70" t="e">
        <f t="shared" ca="1" si="1529"/>
        <v>#NAME?</v>
      </c>
      <c r="AU186" s="70" t="e">
        <f t="shared" ca="1" si="1529"/>
        <v>#NAME?</v>
      </c>
      <c r="AV186" s="70" t="e">
        <f t="shared" ca="1" si="1529"/>
        <v>#NAME?</v>
      </c>
      <c r="AW186" s="70" t="e">
        <f t="shared" ca="1" si="1529"/>
        <v>#NAME?</v>
      </c>
      <c r="AX186" s="70" t="e">
        <f t="shared" ca="1" si="1529"/>
        <v>#NAME?</v>
      </c>
      <c r="AY186" s="70" t="e">
        <f t="shared" ca="1" si="1529"/>
        <v>#NAME?</v>
      </c>
      <c r="AZ186" s="70" t="e">
        <f t="shared" ref="AZ186:BC186" ca="1" si="1530">AZ182-AZ185</f>
        <v>#NAME?</v>
      </c>
      <c r="BA186" s="70" t="e">
        <f t="shared" ca="1" si="1530"/>
        <v>#NAME?</v>
      </c>
      <c r="BB186" s="70" t="e">
        <f t="shared" ca="1" si="1530"/>
        <v>#NAME?</v>
      </c>
      <c r="BC186" s="70" t="e">
        <f t="shared" ca="1" si="1530"/>
        <v>#NAME?</v>
      </c>
      <c r="BD186" s="70" t="e">
        <f t="shared" ref="BD186:CE186" ca="1" si="1531">BD182-BD185</f>
        <v>#NAME?</v>
      </c>
      <c r="BE186" s="70" t="e">
        <f t="shared" ca="1" si="1531"/>
        <v>#NAME?</v>
      </c>
      <c r="BF186" s="70" t="e">
        <f t="shared" ca="1" si="1531"/>
        <v>#NAME?</v>
      </c>
      <c r="BG186" s="70" t="e">
        <f t="shared" ca="1" si="1531"/>
        <v>#NAME?</v>
      </c>
      <c r="BH186" s="70" t="e">
        <f t="shared" ca="1" si="1531"/>
        <v>#NAME?</v>
      </c>
      <c r="BI186" s="70" t="e">
        <f t="shared" ca="1" si="1531"/>
        <v>#NAME?</v>
      </c>
      <c r="BJ186" s="70" t="e">
        <f t="shared" ca="1" si="1531"/>
        <v>#NAME?</v>
      </c>
      <c r="BK186" s="70" t="e">
        <f t="shared" ca="1" si="1531"/>
        <v>#NAME?</v>
      </c>
      <c r="BL186" s="70" t="e">
        <f t="shared" ca="1" si="1531"/>
        <v>#NAME?</v>
      </c>
      <c r="BM186" s="70" t="e">
        <f t="shared" ca="1" si="1531"/>
        <v>#NAME?</v>
      </c>
      <c r="BN186" s="70" t="e">
        <f t="shared" ca="1" si="1531"/>
        <v>#NAME?</v>
      </c>
      <c r="BO186" s="70" t="e">
        <f t="shared" ca="1" si="1531"/>
        <v>#NAME?</v>
      </c>
      <c r="BP186" s="70" t="e">
        <f t="shared" ca="1" si="1531"/>
        <v>#NAME?</v>
      </c>
      <c r="BQ186" s="70" t="e">
        <f t="shared" ca="1" si="1531"/>
        <v>#NAME?</v>
      </c>
      <c r="BR186" s="70" t="e">
        <f t="shared" ca="1" si="1531"/>
        <v>#NAME?</v>
      </c>
      <c r="BS186" s="70" t="e">
        <f t="shared" ca="1" si="1531"/>
        <v>#NAME?</v>
      </c>
      <c r="BT186" s="70" t="e">
        <f t="shared" ca="1" si="1531"/>
        <v>#NAME?</v>
      </c>
      <c r="BU186" s="70" t="e">
        <f t="shared" ca="1" si="1531"/>
        <v>#NAME?</v>
      </c>
      <c r="BV186" s="70" t="e">
        <f t="shared" ca="1" si="1531"/>
        <v>#NAME?</v>
      </c>
      <c r="BW186" s="70" t="e">
        <f t="shared" ca="1" si="1531"/>
        <v>#NAME?</v>
      </c>
      <c r="BX186" s="70" t="e">
        <f t="shared" ca="1" si="1531"/>
        <v>#NAME?</v>
      </c>
      <c r="BY186" s="70" t="e">
        <f t="shared" ca="1" si="1531"/>
        <v>#NAME?</v>
      </c>
      <c r="BZ186" s="70" t="e">
        <f t="shared" ca="1" si="1531"/>
        <v>#NAME?</v>
      </c>
      <c r="CA186" s="70" t="e">
        <f t="shared" ca="1" si="1531"/>
        <v>#NAME?</v>
      </c>
      <c r="CB186" s="70" t="e">
        <f t="shared" ca="1" si="1531"/>
        <v>#NAME?</v>
      </c>
      <c r="CC186" s="70" t="e">
        <f t="shared" ca="1" si="1531"/>
        <v>#NAME?</v>
      </c>
      <c r="CD186" s="70" t="e">
        <f t="shared" ca="1" si="1531"/>
        <v>#NAME?</v>
      </c>
      <c r="CE186" s="115" t="e">
        <f t="shared" ca="1" si="1531"/>
        <v>#NAME?</v>
      </c>
      <c r="CF186" s="70" t="e">
        <f t="shared" ref="CF186:CG186" ca="1" si="1532">CF182-CF185</f>
        <v>#NAME?</v>
      </c>
      <c r="CG186" s="70" t="e">
        <f t="shared" ca="1" si="1532"/>
        <v>#NAME?</v>
      </c>
      <c r="CH186" s="70" t="e">
        <f t="shared" ref="CH186:CI186" ca="1" si="1533">CH182-CH185</f>
        <v>#NAME?</v>
      </c>
      <c r="CI186" s="70" t="e">
        <f t="shared" ca="1" si="1533"/>
        <v>#NAME?</v>
      </c>
      <c r="CJ186" s="70" t="e">
        <f t="shared" ref="CJ186:DB186" ca="1" si="1534">CJ182-CJ185</f>
        <v>#NAME?</v>
      </c>
      <c r="CK186" s="70" t="e">
        <f t="shared" ca="1" si="1534"/>
        <v>#NAME?</v>
      </c>
      <c r="CL186" s="70" t="e">
        <f t="shared" ref="CL186" ca="1" si="1535">CL182-CL185</f>
        <v>#NAME?</v>
      </c>
      <c r="CM186" s="50" t="e">
        <f t="shared" ca="1" si="1534"/>
        <v>#NAME?</v>
      </c>
      <c r="CN186" s="50" t="e">
        <f t="shared" ca="1" si="1534"/>
        <v>#NAME?</v>
      </c>
      <c r="CO186" s="50" t="e">
        <f t="shared" ca="1" si="1534"/>
        <v>#NAME?</v>
      </c>
      <c r="CP186" s="50" t="e">
        <f t="shared" ca="1" si="1534"/>
        <v>#NAME?</v>
      </c>
      <c r="CQ186" s="50" t="e">
        <f t="shared" ca="1" si="1534"/>
        <v>#NAME?</v>
      </c>
      <c r="CR186" s="50" t="e">
        <f t="shared" ca="1" si="1534"/>
        <v>#NAME?</v>
      </c>
      <c r="CS186" s="50" t="e">
        <f t="shared" ca="1" si="1534"/>
        <v>#NAME?</v>
      </c>
      <c r="CT186" s="50" t="e">
        <f t="shared" ca="1" si="1534"/>
        <v>#NAME?</v>
      </c>
      <c r="CU186" s="50" t="e">
        <f t="shared" ca="1" si="1534"/>
        <v>#NAME?</v>
      </c>
      <c r="CV186" s="50" t="e">
        <f t="shared" ca="1" si="1534"/>
        <v>#NAME?</v>
      </c>
      <c r="CW186" s="50" t="e">
        <f t="shared" ca="1" si="1534"/>
        <v>#NAME?</v>
      </c>
      <c r="CX186" s="50" t="e">
        <f t="shared" ca="1" si="1534"/>
        <v>#NAME?</v>
      </c>
      <c r="CY186" s="50" t="e">
        <f t="shared" ca="1" si="1534"/>
        <v>#NAME?</v>
      </c>
      <c r="CZ186" s="50" t="e">
        <f t="shared" ca="1" si="1534"/>
        <v>#NAME?</v>
      </c>
      <c r="DA186" s="50" t="e">
        <f t="shared" ca="1" si="1534"/>
        <v>#NAME?</v>
      </c>
      <c r="DB186" s="50" t="e">
        <f t="shared" ca="1" si="1534"/>
        <v>#NAME?</v>
      </c>
      <c r="DE186" s="138"/>
      <c r="DF186" s="7">
        <v>-45.411166679623065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6">C10/B10-1</f>
        <v>#NAME?</v>
      </c>
      <c r="D188" s="86" t="e">
        <f t="shared" ca="1" si="1536"/>
        <v>#NAME?</v>
      </c>
      <c r="E188" s="86" t="e">
        <f t="shared" ca="1" si="1536"/>
        <v>#NAME?</v>
      </c>
      <c r="F188" s="86" t="e">
        <f t="shared" ca="1" si="1536"/>
        <v>#NAME?</v>
      </c>
      <c r="G188" s="86" t="e">
        <f t="shared" ca="1" si="1536"/>
        <v>#NAME?</v>
      </c>
      <c r="H188" s="86" t="e">
        <f t="shared" ca="1" si="1536"/>
        <v>#NAME?</v>
      </c>
      <c r="I188" s="86" t="e">
        <f t="shared" ca="1" si="1536"/>
        <v>#NAME?</v>
      </c>
      <c r="J188" s="86" t="e">
        <f t="shared" ca="1" si="1536"/>
        <v>#NAME?</v>
      </c>
      <c r="K188" s="86" t="e">
        <f t="shared" ca="1" si="1536"/>
        <v>#NAME?</v>
      </c>
      <c r="L188" s="86" t="e">
        <f t="shared" ca="1" si="1536"/>
        <v>#NAME?</v>
      </c>
      <c r="M188" s="86" t="e">
        <f t="shared" ca="1" si="1536"/>
        <v>#NAME?</v>
      </c>
      <c r="N188" s="86" t="e">
        <f t="shared" ca="1" si="1536"/>
        <v>#NAME?</v>
      </c>
      <c r="O188" s="86" t="e">
        <f t="shared" ca="1" si="1536"/>
        <v>#NAME?</v>
      </c>
      <c r="P188" s="86" t="e">
        <f t="shared" ca="1" si="1536"/>
        <v>#NAME?</v>
      </c>
      <c r="Q188" s="86" t="e">
        <f t="shared" ca="1" si="1536"/>
        <v>#NAME?</v>
      </c>
      <c r="R188" s="86" t="e">
        <f t="shared" ca="1" si="1536"/>
        <v>#NAME?</v>
      </c>
      <c r="S188" s="86" t="e">
        <f t="shared" ca="1" si="1536"/>
        <v>#NAME?</v>
      </c>
      <c r="T188" s="86" t="e">
        <f t="shared" ca="1" si="1536"/>
        <v>#NAME?</v>
      </c>
      <c r="U188" s="86" t="e">
        <f t="shared" ca="1" si="1536"/>
        <v>#NAME?</v>
      </c>
      <c r="V188" s="86" t="e">
        <f t="shared" ca="1" si="1536"/>
        <v>#NAME?</v>
      </c>
      <c r="W188" s="86" t="e">
        <f t="shared" ca="1" si="1536"/>
        <v>#NAME?</v>
      </c>
      <c r="X188" s="86" t="e">
        <f t="shared" ca="1" si="1536"/>
        <v>#NAME?</v>
      </c>
      <c r="Y188" s="86" t="e">
        <f t="shared" ca="1" si="1536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37">AB10/AA10-1</f>
        <v>#NAME?</v>
      </c>
      <c r="AC188" s="87" t="e">
        <f t="shared" ca="1" si="1537"/>
        <v>#NAME?</v>
      </c>
      <c r="AD188" s="87" t="e">
        <f t="shared" ca="1" si="1537"/>
        <v>#NAME?</v>
      </c>
      <c r="AE188" s="87" t="e">
        <f t="shared" ca="1" si="1537"/>
        <v>#NAME?</v>
      </c>
      <c r="AN188" s="86" t="e">
        <f t="shared" ref="AN188:CI188" ca="1" si="1538">+(AN10+AM10)/(AJ10+AI10)-1</f>
        <v>#NAME?</v>
      </c>
      <c r="AO188" s="86" t="e">
        <f t="shared" ca="1" si="1538"/>
        <v>#NAME?</v>
      </c>
      <c r="AP188" s="86" t="e">
        <f t="shared" ca="1" si="1538"/>
        <v>#NAME?</v>
      </c>
      <c r="AQ188" s="86" t="e">
        <f t="shared" ca="1" si="1538"/>
        <v>#NAME?</v>
      </c>
      <c r="AR188" s="86" t="e">
        <f t="shared" ca="1" si="1538"/>
        <v>#NAME?</v>
      </c>
      <c r="AS188" s="86" t="e">
        <f t="shared" ca="1" si="1538"/>
        <v>#NAME?</v>
      </c>
      <c r="AT188" s="86" t="e">
        <f t="shared" ca="1" si="1538"/>
        <v>#NAME?</v>
      </c>
      <c r="AU188" s="86" t="e">
        <f t="shared" ca="1" si="1538"/>
        <v>#NAME?</v>
      </c>
      <c r="AV188" s="86" t="e">
        <f t="shared" ca="1" si="1538"/>
        <v>#NAME?</v>
      </c>
      <c r="AW188" s="86" t="e">
        <f t="shared" ca="1" si="1538"/>
        <v>#NAME?</v>
      </c>
      <c r="AX188" s="86" t="e">
        <f t="shared" ca="1" si="1538"/>
        <v>#NAME?</v>
      </c>
      <c r="AY188" s="86" t="e">
        <f t="shared" ca="1" si="1538"/>
        <v>#NAME?</v>
      </c>
      <c r="AZ188" s="86" t="e">
        <f t="shared" ca="1" si="1538"/>
        <v>#NAME?</v>
      </c>
      <c r="BA188" s="86" t="e">
        <f t="shared" ca="1" si="1538"/>
        <v>#NAME?</v>
      </c>
      <c r="BB188" s="86" t="e">
        <f t="shared" ca="1" si="1538"/>
        <v>#NAME?</v>
      </c>
      <c r="BC188" s="86" t="e">
        <f t="shared" ca="1" si="1538"/>
        <v>#NAME?</v>
      </c>
      <c r="BD188" s="86" t="e">
        <f t="shared" ca="1" si="1538"/>
        <v>#NAME?</v>
      </c>
      <c r="BE188" s="86" t="e">
        <f t="shared" ca="1" si="1538"/>
        <v>#NAME?</v>
      </c>
      <c r="BF188" s="86" t="e">
        <f t="shared" ca="1" si="1538"/>
        <v>#NAME?</v>
      </c>
      <c r="BG188" s="86" t="e">
        <f t="shared" ca="1" si="1538"/>
        <v>#NAME?</v>
      </c>
      <c r="BH188" s="86" t="e">
        <f t="shared" ca="1" si="1538"/>
        <v>#NAME?</v>
      </c>
      <c r="BI188" s="86" t="e">
        <f t="shared" ca="1" si="1538"/>
        <v>#NAME?</v>
      </c>
      <c r="BJ188" s="86" t="e">
        <f t="shared" ca="1" si="1538"/>
        <v>#NAME?</v>
      </c>
      <c r="BK188" s="86" t="e">
        <f t="shared" ca="1" si="1538"/>
        <v>#NAME?</v>
      </c>
      <c r="BL188" s="86" t="e">
        <f t="shared" ca="1" si="1538"/>
        <v>#NAME?</v>
      </c>
      <c r="BM188" s="86" t="e">
        <f t="shared" ca="1" si="1538"/>
        <v>#NAME?</v>
      </c>
      <c r="BN188" s="86" t="e">
        <f t="shared" ca="1" si="1538"/>
        <v>#NAME?</v>
      </c>
      <c r="BO188" s="86" t="e">
        <f t="shared" ca="1" si="1538"/>
        <v>#NAME?</v>
      </c>
      <c r="BP188" s="86" t="e">
        <f t="shared" ca="1" si="1538"/>
        <v>#NAME?</v>
      </c>
      <c r="BQ188" s="86" t="e">
        <f t="shared" ca="1" si="1538"/>
        <v>#NAME?</v>
      </c>
      <c r="BR188" s="86" t="e">
        <f t="shared" ca="1" si="1538"/>
        <v>#NAME?</v>
      </c>
      <c r="BS188" s="86" t="e">
        <f t="shared" ca="1" si="1538"/>
        <v>#NAME?</v>
      </c>
      <c r="BT188" s="86" t="e">
        <f t="shared" ca="1" si="1538"/>
        <v>#NAME?</v>
      </c>
      <c r="BU188" s="86" t="e">
        <f t="shared" ca="1" si="1538"/>
        <v>#NAME?</v>
      </c>
      <c r="BV188" s="86" t="e">
        <f t="shared" ca="1" si="1538"/>
        <v>#NAME?</v>
      </c>
      <c r="BW188" s="86" t="e">
        <f t="shared" ca="1" si="1538"/>
        <v>#NAME?</v>
      </c>
      <c r="BX188" s="86" t="e">
        <f t="shared" ca="1" si="1538"/>
        <v>#NAME?</v>
      </c>
      <c r="BY188" s="86" t="e">
        <f t="shared" ca="1" si="1538"/>
        <v>#NAME?</v>
      </c>
      <c r="BZ188" s="86" t="e">
        <f t="shared" ca="1" si="1538"/>
        <v>#NAME?</v>
      </c>
      <c r="CA188" s="86" t="e">
        <f t="shared" ca="1" si="1538"/>
        <v>#NAME?</v>
      </c>
      <c r="CB188" s="86" t="e">
        <f t="shared" ca="1" si="1538"/>
        <v>#NAME?</v>
      </c>
      <c r="CC188" s="86" t="e">
        <f t="shared" ca="1" si="1538"/>
        <v>#NAME?</v>
      </c>
      <c r="CD188" s="86" t="e">
        <f t="shared" ca="1" si="1538"/>
        <v>#NAME?</v>
      </c>
      <c r="CE188" s="86" t="e">
        <f t="shared" ca="1" si="1538"/>
        <v>#NAME?</v>
      </c>
      <c r="CF188" s="86" t="e">
        <f t="shared" ca="1" si="1538"/>
        <v>#NAME?</v>
      </c>
      <c r="CG188" s="86" t="e">
        <f t="shared" ca="1" si="1538"/>
        <v>#NAME?</v>
      </c>
      <c r="CH188" s="86" t="e">
        <f t="shared" ca="1" si="1538"/>
        <v>#NAME?</v>
      </c>
      <c r="CI188" s="86" t="e">
        <f t="shared" ca="1" si="1538"/>
        <v>#NAME?</v>
      </c>
      <c r="CJ188" s="86" t="e">
        <f ca="1">+(CJ10+CI10)/(CF10+CE10)-1</f>
        <v>#NAME?</v>
      </c>
      <c r="CK188" s="86" t="e">
        <f t="shared" ref="CK188" ca="1" si="1539">+(CK10+CJ10)/(CG10+CF10)-1</f>
        <v>#NAME?</v>
      </c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0.1461788099532908</v>
      </c>
    </row>
    <row r="189" spans="1:110" s="86" customFormat="1" x14ac:dyDescent="0.2">
      <c r="A189" s="86" t="s">
        <v>441</v>
      </c>
      <c r="C189" s="86" t="e">
        <f t="shared" ref="C189" ca="1" si="1540">C186/B186-1</f>
        <v>#NAME?</v>
      </c>
      <c r="D189" s="86" t="e">
        <f t="shared" ref="D189" ca="1" si="1541">D186/C186-1</f>
        <v>#NAME?</v>
      </c>
      <c r="E189" s="86" t="e">
        <f ca="1">E186/D186-1</f>
        <v>#NAME?</v>
      </c>
      <c r="F189" s="86" t="e">
        <f t="shared" ref="F189" ca="1" si="1542">F186/E186-1</f>
        <v>#NAME?</v>
      </c>
      <c r="G189" s="86" t="e">
        <f t="shared" ref="G189" ca="1" si="1543">G186/F186-1</f>
        <v>#NAME?</v>
      </c>
      <c r="H189" s="86" t="e">
        <f t="shared" ref="H189" ca="1" si="1544">H186/G186-1</f>
        <v>#NAME?</v>
      </c>
      <c r="I189" s="86" t="e">
        <f t="shared" ref="I189" ca="1" si="1545">I186/H186-1</f>
        <v>#NAME?</v>
      </c>
      <c r="J189" s="86" t="e">
        <f t="shared" ref="J189" ca="1" si="1546">J186/I186-1</f>
        <v>#NAME?</v>
      </c>
      <c r="K189" s="86" t="e">
        <f ca="1">K186/J186-1</f>
        <v>#NAME?</v>
      </c>
      <c r="L189" s="86" t="e">
        <f t="shared" ref="L189" ca="1" si="1547">L186/K186-1</f>
        <v>#NAME?</v>
      </c>
      <c r="M189" s="86" t="e">
        <f t="shared" ref="M189" ca="1" si="1548">M186/L186-1</f>
        <v>#NAME?</v>
      </c>
      <c r="N189" s="86" t="e">
        <f t="shared" ref="N189" ca="1" si="1549">N186/M186-1</f>
        <v>#NAME?</v>
      </c>
      <c r="O189" s="86" t="e">
        <f t="shared" ref="O189" ca="1" si="1550">O186/N186-1</f>
        <v>#NAME?</v>
      </c>
      <c r="P189" s="86" t="e">
        <f t="shared" ref="P189" ca="1" si="1551">P186/O186-1</f>
        <v>#NAME?</v>
      </c>
      <c r="Q189" s="86" t="e">
        <f t="shared" ref="Q189" ca="1" si="1552">Q186/P186-1</f>
        <v>#NAME?</v>
      </c>
      <c r="R189" s="86" t="e">
        <f t="shared" ref="R189" ca="1" si="1553">R186/Q186-1</f>
        <v>#NAME?</v>
      </c>
      <c r="S189" s="86" t="e">
        <f t="shared" ref="S189" ca="1" si="1554">S186/R186-1</f>
        <v>#NAME?</v>
      </c>
      <c r="T189" s="86" t="e">
        <f t="shared" ref="T189" ca="1" si="1555">T186/S186-1</f>
        <v>#NAME?</v>
      </c>
      <c r="U189" s="86" t="e">
        <f t="shared" ref="U189" ca="1" si="1556">U186/T186-1</f>
        <v>#NAME?</v>
      </c>
      <c r="V189" s="86" t="e">
        <f t="shared" ref="V189" ca="1" si="1557">V186/U186-1</f>
        <v>#NAME?</v>
      </c>
      <c r="W189" s="86" t="e">
        <f t="shared" ref="W189:AA189" ca="1" si="1558">W186/V186-1</f>
        <v>#NAME?</v>
      </c>
      <c r="X189" s="86" t="e">
        <f t="shared" ca="1" si="1558"/>
        <v>#NAME?</v>
      </c>
      <c r="Y189" s="86" t="e">
        <f t="shared" ca="1" si="1558"/>
        <v>#NAME?</v>
      </c>
      <c r="Z189" s="86" t="e">
        <f t="shared" ca="1" si="1558"/>
        <v>#NAME?</v>
      </c>
      <c r="AA189" s="86" t="e">
        <f t="shared" ca="1" si="1558"/>
        <v>#NAME?</v>
      </c>
      <c r="AB189" s="87" t="e">
        <f t="shared" ref="AB189" ca="1" si="1559">AB186/AA186-1</f>
        <v>#NAME?</v>
      </c>
      <c r="AC189" s="87" t="e">
        <f t="shared" ref="AC189" ca="1" si="1560">AC186/AB186-1</f>
        <v>#NAME?</v>
      </c>
      <c r="AD189" s="87" t="e">
        <f t="shared" ref="AD189" ca="1" si="1561">AD186/AC186-1</f>
        <v>#NAME?</v>
      </c>
      <c r="AE189" s="87" t="e">
        <f t="shared" ref="AE189" ca="1" si="1562">AE186/AD186-1</f>
        <v>#NAME?</v>
      </c>
      <c r="AN189" s="86" t="e">
        <f t="shared" ref="AN189:CI189" ca="1" si="1563">+AN186/AJ186-1</f>
        <v>#NAME?</v>
      </c>
      <c r="AO189" s="86" t="e">
        <f t="shared" ca="1" si="1563"/>
        <v>#NAME?</v>
      </c>
      <c r="AP189" s="86" t="e">
        <f t="shared" ca="1" si="1563"/>
        <v>#NAME?</v>
      </c>
      <c r="AQ189" s="86" t="e">
        <f t="shared" ca="1" si="1563"/>
        <v>#NAME?</v>
      </c>
      <c r="AR189" s="86" t="e">
        <f t="shared" ca="1" si="1563"/>
        <v>#NAME?</v>
      </c>
      <c r="AS189" s="86" t="e">
        <f t="shared" ca="1" si="1563"/>
        <v>#NAME?</v>
      </c>
      <c r="AT189" s="86" t="e">
        <f t="shared" ca="1" si="1563"/>
        <v>#NAME?</v>
      </c>
      <c r="AU189" s="86" t="e">
        <f t="shared" ca="1" si="1563"/>
        <v>#NAME?</v>
      </c>
      <c r="AV189" s="86" t="e">
        <f t="shared" ca="1" si="1563"/>
        <v>#NAME?</v>
      </c>
      <c r="AW189" s="86" t="e">
        <f t="shared" ca="1" si="1563"/>
        <v>#NAME?</v>
      </c>
      <c r="AX189" s="86" t="e">
        <f t="shared" ca="1" si="1563"/>
        <v>#NAME?</v>
      </c>
      <c r="AY189" s="86" t="e">
        <f t="shared" ca="1" si="1563"/>
        <v>#NAME?</v>
      </c>
      <c r="AZ189" s="86" t="e">
        <f t="shared" ca="1" si="1563"/>
        <v>#NAME?</v>
      </c>
      <c r="BA189" s="86" t="e">
        <f t="shared" ca="1" si="1563"/>
        <v>#NAME?</v>
      </c>
      <c r="BB189" s="86" t="e">
        <f t="shared" ca="1" si="1563"/>
        <v>#NAME?</v>
      </c>
      <c r="BC189" s="86" t="e">
        <f t="shared" ca="1" si="1563"/>
        <v>#NAME?</v>
      </c>
      <c r="BD189" s="86" t="e">
        <f t="shared" ca="1" si="1563"/>
        <v>#NAME?</v>
      </c>
      <c r="BE189" s="86" t="e">
        <f t="shared" ca="1" si="1563"/>
        <v>#NAME?</v>
      </c>
      <c r="BF189" s="86" t="e">
        <f t="shared" ca="1" si="1563"/>
        <v>#NAME?</v>
      </c>
      <c r="BG189" s="86" t="e">
        <f t="shared" ca="1" si="1563"/>
        <v>#NAME?</v>
      </c>
      <c r="BH189" s="86" t="e">
        <f t="shared" ca="1" si="1563"/>
        <v>#NAME?</v>
      </c>
      <c r="BI189" s="86" t="e">
        <f t="shared" ca="1" si="1563"/>
        <v>#NAME?</v>
      </c>
      <c r="BJ189" s="86" t="e">
        <f t="shared" ca="1" si="1563"/>
        <v>#NAME?</v>
      </c>
      <c r="BK189" s="86" t="e">
        <f t="shared" ca="1" si="1563"/>
        <v>#NAME?</v>
      </c>
      <c r="BL189" s="86" t="e">
        <f t="shared" ca="1" si="1563"/>
        <v>#NAME?</v>
      </c>
      <c r="BM189" s="86" t="e">
        <f t="shared" ca="1" si="1563"/>
        <v>#NAME?</v>
      </c>
      <c r="BN189" s="86" t="e">
        <f t="shared" ca="1" si="1563"/>
        <v>#NAME?</v>
      </c>
      <c r="BO189" s="86" t="e">
        <f t="shared" ca="1" si="1563"/>
        <v>#NAME?</v>
      </c>
      <c r="BP189" s="86" t="e">
        <f t="shared" ca="1" si="1563"/>
        <v>#NAME?</v>
      </c>
      <c r="BQ189" s="86" t="e">
        <f t="shared" ca="1" si="1563"/>
        <v>#NAME?</v>
      </c>
      <c r="BR189" s="86" t="e">
        <f t="shared" ca="1" si="1563"/>
        <v>#NAME?</v>
      </c>
      <c r="BS189" s="86" t="e">
        <f t="shared" ca="1" si="1563"/>
        <v>#NAME?</v>
      </c>
      <c r="BT189" s="86" t="e">
        <f t="shared" ca="1" si="1563"/>
        <v>#NAME?</v>
      </c>
      <c r="BU189" s="86" t="e">
        <f t="shared" ca="1" si="1563"/>
        <v>#NAME?</v>
      </c>
      <c r="BV189" s="86" t="e">
        <f t="shared" ca="1" si="1563"/>
        <v>#NAME?</v>
      </c>
      <c r="BW189" s="86" t="e">
        <f t="shared" ca="1" si="1563"/>
        <v>#NAME?</v>
      </c>
      <c r="BX189" s="86" t="e">
        <f t="shared" ca="1" si="1563"/>
        <v>#NAME?</v>
      </c>
      <c r="BY189" s="86" t="e">
        <f t="shared" ca="1" si="1563"/>
        <v>#NAME?</v>
      </c>
      <c r="BZ189" s="86" t="e">
        <f t="shared" ca="1" si="1563"/>
        <v>#NAME?</v>
      </c>
      <c r="CA189" s="86" t="e">
        <f t="shared" ca="1" si="1563"/>
        <v>#NAME?</v>
      </c>
      <c r="CB189" s="86" t="e">
        <f t="shared" ca="1" si="1563"/>
        <v>#NAME?</v>
      </c>
      <c r="CC189" s="86" t="e">
        <f t="shared" ca="1" si="1563"/>
        <v>#NAME?</v>
      </c>
      <c r="CD189" s="86" t="e">
        <f t="shared" ca="1" si="1563"/>
        <v>#NAME?</v>
      </c>
      <c r="CE189" s="86" t="e">
        <f t="shared" ca="1" si="1563"/>
        <v>#NAME?</v>
      </c>
      <c r="CF189" s="86" t="e">
        <f t="shared" ca="1" si="1563"/>
        <v>#NAME?</v>
      </c>
      <c r="CG189" s="86" t="e">
        <f t="shared" ca="1" si="1563"/>
        <v>#NAME?</v>
      </c>
      <c r="CH189" s="86" t="e">
        <f t="shared" ca="1" si="1563"/>
        <v>#NAME?</v>
      </c>
      <c r="CI189" s="86" t="e">
        <f t="shared" ca="1" si="1563"/>
        <v>#NAME?</v>
      </c>
      <c r="CJ189" s="86" t="e">
        <f ca="1">+CJ186/CF186-1</f>
        <v>#NAME?</v>
      </c>
      <c r="CK189" s="86" t="e">
        <f t="shared" ref="CK189:CL189" ca="1" si="1564">+CK186/CG186-1</f>
        <v>#NAME?</v>
      </c>
      <c r="CL189" s="86" t="e">
        <f t="shared" ca="1" si="1564"/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3.5103150691448759E-2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5">IF(E189&gt;E188,"RF",0)</f>
        <v>#NAME?</v>
      </c>
      <c r="F190" s="103" t="e">
        <f t="shared" ca="1" si="1565"/>
        <v>#NAME?</v>
      </c>
      <c r="G190" s="103" t="e">
        <f t="shared" ca="1" si="1565"/>
        <v>#NAME?</v>
      </c>
      <c r="H190" s="103" t="e">
        <f t="shared" ca="1" si="1565"/>
        <v>#NAME?</v>
      </c>
      <c r="I190" s="103" t="e">
        <f t="shared" ca="1" si="1565"/>
        <v>#NAME?</v>
      </c>
      <c r="J190" s="103" t="e">
        <f t="shared" ca="1" si="1565"/>
        <v>#NAME?</v>
      </c>
      <c r="K190" s="103" t="e">
        <f t="shared" ca="1" si="1565"/>
        <v>#NAME?</v>
      </c>
      <c r="L190" s="103" t="e">
        <f t="shared" ca="1" si="1565"/>
        <v>#NAME?</v>
      </c>
      <c r="M190" s="103" t="e">
        <f t="shared" ca="1" si="1565"/>
        <v>#NAME?</v>
      </c>
      <c r="N190" s="103" t="e">
        <f t="shared" ca="1" si="1565"/>
        <v>#NAME?</v>
      </c>
      <c r="O190" s="103" t="e">
        <f t="shared" ca="1" si="1565"/>
        <v>#NAME?</v>
      </c>
      <c r="P190" s="103" t="e">
        <f t="shared" ca="1" si="1565"/>
        <v>#NAME?</v>
      </c>
      <c r="Q190" s="103" t="e">
        <f t="shared" ca="1" si="1565"/>
        <v>#NAME?</v>
      </c>
      <c r="R190" s="103" t="e">
        <f t="shared" ca="1" si="1565"/>
        <v>#NAME?</v>
      </c>
      <c r="S190" s="103" t="e">
        <f t="shared" ca="1" si="1565"/>
        <v>#NAME?</v>
      </c>
      <c r="T190" s="103" t="e">
        <f t="shared" ca="1" si="1565"/>
        <v>#NAME?</v>
      </c>
      <c r="U190" s="103" t="e">
        <f t="shared" ca="1" si="1565"/>
        <v>#NAME?</v>
      </c>
      <c r="V190" s="103" t="e">
        <f ca="1">IF(V189&gt;V188,"RF",0)</f>
        <v>#NAME?</v>
      </c>
      <c r="W190" s="103" t="e">
        <f t="shared" ref="W190" ca="1" si="1566">IF(W189&gt;W188,"RF",0)</f>
        <v>#NAME?</v>
      </c>
      <c r="X190" s="103" t="e">
        <f t="shared" ref="X190:Y190" ca="1" si="1567">IF(X189&gt;X188,"RF",0)</f>
        <v>#NAME?</v>
      </c>
      <c r="Y190" s="103" t="e">
        <f t="shared" ca="1" si="1567"/>
        <v>#NAME?</v>
      </c>
      <c r="Z190" s="103" t="e">
        <f t="shared" ref="Z190:AA190" ca="1" si="1568">IF(Z189&gt;Z188,"RF",0)</f>
        <v>#NAME?</v>
      </c>
      <c r="AA190" s="103" t="e">
        <f t="shared" ca="1" si="1568"/>
        <v>#NAME?</v>
      </c>
      <c r="AB190" s="73" t="e">
        <f t="shared" ref="AA190:AD190" ca="1" si="1569">IF(AB189&gt;AB188,"RF",0)</f>
        <v>#NAME?</v>
      </c>
      <c r="AC190" s="73" t="e">
        <f t="shared" ca="1" si="1569"/>
        <v>#NAME?</v>
      </c>
      <c r="AD190" s="73" t="e">
        <f t="shared" ca="1" si="1569"/>
        <v>#NAME?</v>
      </c>
      <c r="AE190" s="73" t="e">
        <f t="shared" ref="AE190" ca="1" si="1570">IF(AE189&gt;AE188,"RF",0)</f>
        <v>#NAME?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</row>
    <row r="192" spans="1:110" x14ac:dyDescent="0.2">
      <c r="A192" s="152" t="s">
        <v>495</v>
      </c>
      <c r="AA192" s="2"/>
    </row>
    <row r="193" spans="1:110" s="23" customFormat="1" x14ac:dyDescent="0.2">
      <c r="A193" s="23" t="s">
        <v>22</v>
      </c>
      <c r="C193" s="23" t="e">
        <f t="shared" ref="C193:AE193" ca="1" si="1571">C48</f>
        <v>#NAME?</v>
      </c>
      <c r="D193" s="23" t="e">
        <f t="shared" ca="1" si="1571"/>
        <v>#NAME?</v>
      </c>
      <c r="E193" s="23" t="e">
        <f t="shared" ca="1" si="1571"/>
        <v>#NAME?</v>
      </c>
      <c r="F193" s="23" t="e">
        <f t="shared" ca="1" si="1571"/>
        <v>#NAME?</v>
      </c>
      <c r="G193" s="23" t="e">
        <f t="shared" ca="1" si="1571"/>
        <v>#NAME?</v>
      </c>
      <c r="H193" s="23" t="e">
        <f t="shared" ca="1" si="1571"/>
        <v>#NAME?</v>
      </c>
      <c r="I193" s="23" t="e">
        <f t="shared" ca="1" si="1571"/>
        <v>#NAME?</v>
      </c>
      <c r="J193" s="23" t="e">
        <f t="shared" ca="1" si="1571"/>
        <v>#NAME?</v>
      </c>
      <c r="K193" s="23" t="e">
        <f t="shared" ca="1" si="1571"/>
        <v>#NAME?</v>
      </c>
      <c r="L193" s="23" t="e">
        <f t="shared" ca="1" si="1571"/>
        <v>#NAME?</v>
      </c>
      <c r="M193" s="23" t="e">
        <f t="shared" ca="1" si="1571"/>
        <v>#NAME?</v>
      </c>
      <c r="N193" s="23" t="e">
        <f t="shared" ca="1" si="1571"/>
        <v>#NAME?</v>
      </c>
      <c r="O193" s="23" t="e">
        <f t="shared" ca="1" si="1571"/>
        <v>#NAME?</v>
      </c>
      <c r="P193" s="23" t="e">
        <f t="shared" ca="1" si="1571"/>
        <v>#NAME?</v>
      </c>
      <c r="Q193" s="23" t="e">
        <f t="shared" ca="1" si="1571"/>
        <v>#NAME?</v>
      </c>
      <c r="R193" s="23" t="e">
        <f t="shared" ca="1" si="1571"/>
        <v>#NAME?</v>
      </c>
      <c r="S193" s="23" t="e">
        <f t="shared" ca="1" si="1571"/>
        <v>#NAME?</v>
      </c>
      <c r="T193" s="23" t="e">
        <f t="shared" ca="1" si="1571"/>
        <v>#NAME?</v>
      </c>
      <c r="U193" s="23" t="e">
        <f t="shared" ca="1" si="1571"/>
        <v>#NAME?</v>
      </c>
      <c r="V193" s="23" t="e">
        <f t="shared" ca="1" si="1571"/>
        <v>#NAME?</v>
      </c>
      <c r="W193" s="23" t="e">
        <f t="shared" ca="1" si="1571"/>
        <v>#NAME?</v>
      </c>
      <c r="X193" s="23" t="e">
        <f t="shared" ca="1" si="1571"/>
        <v>#NAME?</v>
      </c>
      <c r="Y193" s="23" t="e">
        <f t="shared" ca="1" si="1571"/>
        <v>#NAME?</v>
      </c>
      <c r="Z193" s="23" t="e">
        <f t="shared" ca="1" si="1571"/>
        <v>#NAME?</v>
      </c>
      <c r="AA193" s="23" t="e">
        <f t="shared" ref="AA193" ca="1" si="1572">AA48</f>
        <v>#NAME?</v>
      </c>
      <c r="AB193" s="24" t="e">
        <f t="shared" ca="1" si="1571"/>
        <v>#NAME?</v>
      </c>
      <c r="AC193" s="24" t="e">
        <f t="shared" ca="1" si="1571"/>
        <v>#NAME?</v>
      </c>
      <c r="AD193" s="24" t="e">
        <f t="shared" ca="1" si="1571"/>
        <v>#NAME?</v>
      </c>
      <c r="AE193" s="24" t="e">
        <f t="shared" ca="1" si="1571"/>
        <v>#NAME?</v>
      </c>
      <c r="AI193" s="23" t="e">
        <f t="shared" ref="AI193:BN193" ca="1" si="1573">AI48</f>
        <v>#NAME?</v>
      </c>
      <c r="AJ193" s="23" t="e">
        <f t="shared" ca="1" si="1573"/>
        <v>#NAME?</v>
      </c>
      <c r="AK193" s="23" t="e">
        <f t="shared" ca="1" si="1573"/>
        <v>#NAME?</v>
      </c>
      <c r="AL193" s="23" t="e">
        <f t="shared" ca="1" si="1573"/>
        <v>#NAME?</v>
      </c>
      <c r="AM193" s="23" t="e">
        <f t="shared" ca="1" si="1573"/>
        <v>#NAME?</v>
      </c>
      <c r="AN193" s="23" t="e">
        <f t="shared" ca="1" si="1573"/>
        <v>#NAME?</v>
      </c>
      <c r="AO193" s="23" t="e">
        <f t="shared" ca="1" si="1573"/>
        <v>#NAME?</v>
      </c>
      <c r="AP193" s="23" t="e">
        <f t="shared" ca="1" si="1573"/>
        <v>#NAME?</v>
      </c>
      <c r="AQ193" s="23" t="e">
        <f t="shared" ca="1" si="1573"/>
        <v>#NAME?</v>
      </c>
      <c r="AR193" s="23" t="e">
        <f t="shared" ca="1" si="1573"/>
        <v>#NAME?</v>
      </c>
      <c r="AS193" s="23" t="e">
        <f t="shared" ca="1" si="1573"/>
        <v>#NAME?</v>
      </c>
      <c r="AT193" s="23" t="e">
        <f t="shared" ca="1" si="1573"/>
        <v>#NAME?</v>
      </c>
      <c r="AU193" s="23" t="e">
        <f t="shared" ca="1" si="1573"/>
        <v>#NAME?</v>
      </c>
      <c r="AV193" s="23" t="e">
        <f t="shared" ca="1" si="1573"/>
        <v>#NAME?</v>
      </c>
      <c r="AW193" s="23" t="e">
        <f t="shared" ca="1" si="1573"/>
        <v>#NAME?</v>
      </c>
      <c r="AX193" s="23" t="e">
        <f t="shared" ca="1" si="1573"/>
        <v>#NAME?</v>
      </c>
      <c r="AY193" s="23" t="e">
        <f t="shared" ca="1" si="1573"/>
        <v>#NAME?</v>
      </c>
      <c r="AZ193" s="23" t="e">
        <f t="shared" ca="1" si="1573"/>
        <v>#NAME?</v>
      </c>
      <c r="BA193" s="23" t="e">
        <f t="shared" ca="1" si="1573"/>
        <v>#NAME?</v>
      </c>
      <c r="BB193" s="23" t="e">
        <f t="shared" ca="1" si="1573"/>
        <v>#NAME?</v>
      </c>
      <c r="BC193" s="23" t="e">
        <f t="shared" ca="1" si="1573"/>
        <v>#NAME?</v>
      </c>
      <c r="BD193" s="23" t="e">
        <f t="shared" ca="1" si="1573"/>
        <v>#NAME?</v>
      </c>
      <c r="BE193" s="23" t="e">
        <f t="shared" ca="1" si="1573"/>
        <v>#NAME?</v>
      </c>
      <c r="BF193" s="23" t="e">
        <f t="shared" ca="1" si="1573"/>
        <v>#NAME?</v>
      </c>
      <c r="BG193" s="23" t="e">
        <f t="shared" ca="1" si="1573"/>
        <v>#NAME?</v>
      </c>
      <c r="BH193" s="23" t="e">
        <f t="shared" ca="1" si="1573"/>
        <v>#NAME?</v>
      </c>
      <c r="BI193" s="23" t="e">
        <f t="shared" ca="1" si="1573"/>
        <v>#NAME?</v>
      </c>
      <c r="BJ193" s="23" t="e">
        <f t="shared" ca="1" si="1573"/>
        <v>#NAME?</v>
      </c>
      <c r="BK193" s="23" t="e">
        <f t="shared" ca="1" si="1573"/>
        <v>#NAME?</v>
      </c>
      <c r="BL193" s="23" t="e">
        <f t="shared" ca="1" si="1573"/>
        <v>#NAME?</v>
      </c>
      <c r="BM193" s="23" t="e">
        <f t="shared" ca="1" si="1573"/>
        <v>#NAME?</v>
      </c>
      <c r="BN193" s="23" t="e">
        <f t="shared" ca="1" si="1573"/>
        <v>#NAME?</v>
      </c>
      <c r="BO193" s="23" t="e">
        <f t="shared" ref="BO193:CT193" ca="1" si="1574">BO48</f>
        <v>#NAME?</v>
      </c>
      <c r="BP193" s="23" t="e">
        <f t="shared" ca="1" si="1574"/>
        <v>#NAME?</v>
      </c>
      <c r="BQ193" s="23" t="e">
        <f t="shared" ca="1" si="1574"/>
        <v>#NAME?</v>
      </c>
      <c r="BR193" s="23" t="e">
        <f t="shared" ca="1" si="1574"/>
        <v>#NAME?</v>
      </c>
      <c r="BS193" s="23" t="e">
        <f t="shared" ca="1" si="1574"/>
        <v>#NAME?</v>
      </c>
      <c r="BT193" s="23" t="e">
        <f t="shared" ca="1" si="1574"/>
        <v>#NAME?</v>
      </c>
      <c r="BU193" s="23" t="e">
        <f t="shared" ca="1" si="1574"/>
        <v>#NAME?</v>
      </c>
      <c r="BV193" s="23" t="e">
        <f t="shared" ca="1" si="1574"/>
        <v>#NAME?</v>
      </c>
      <c r="BW193" s="23" t="e">
        <f t="shared" ca="1" si="1574"/>
        <v>#NAME?</v>
      </c>
      <c r="BX193" s="23" t="e">
        <f t="shared" ca="1" si="1574"/>
        <v>#NAME?</v>
      </c>
      <c r="BY193" s="23" t="e">
        <f t="shared" ca="1" si="1574"/>
        <v>#NAME?</v>
      </c>
      <c r="BZ193" s="23" t="e">
        <f t="shared" ca="1" si="1574"/>
        <v>#NAME?</v>
      </c>
      <c r="CA193" s="23" t="e">
        <f t="shared" ca="1" si="1574"/>
        <v>#NAME?</v>
      </c>
      <c r="CB193" s="23" t="e">
        <f t="shared" ca="1" si="1574"/>
        <v>#NAME?</v>
      </c>
      <c r="CC193" s="23" t="e">
        <f t="shared" ca="1" si="1574"/>
        <v>#NAME?</v>
      </c>
      <c r="CD193" s="23" t="e">
        <f t="shared" ca="1" si="1574"/>
        <v>#NAME?</v>
      </c>
      <c r="CE193" s="23" t="e">
        <f t="shared" ca="1" si="1574"/>
        <v>#NAME?</v>
      </c>
      <c r="CF193" s="23" t="e">
        <f t="shared" ca="1" si="1574"/>
        <v>#NAME?</v>
      </c>
      <c r="CG193" s="23" t="e">
        <f t="shared" ca="1" si="1574"/>
        <v>#NAME?</v>
      </c>
      <c r="CH193" s="23" t="e">
        <f t="shared" ca="1" si="1574"/>
        <v>#NAME?</v>
      </c>
      <c r="CI193" s="23" t="e">
        <f t="shared" ca="1" si="1574"/>
        <v>#NAME?</v>
      </c>
      <c r="CJ193" s="23" t="e">
        <f t="shared" ca="1" si="1574"/>
        <v>#NAME?</v>
      </c>
      <c r="CK193" s="23" t="e">
        <f t="shared" ca="1" si="1574"/>
        <v>#NAME?</v>
      </c>
      <c r="CL193" s="23" t="e">
        <f t="shared" ca="1" si="1574"/>
        <v>#NAME?</v>
      </c>
      <c r="CM193" s="24" t="e">
        <f t="shared" ca="1" si="1574"/>
        <v>#NAME?</v>
      </c>
      <c r="CN193" s="24" t="e">
        <f t="shared" ca="1" si="1574"/>
        <v>#NAME?</v>
      </c>
      <c r="CO193" s="24" t="e">
        <f t="shared" ca="1" si="1574"/>
        <v>#NAME?</v>
      </c>
      <c r="CP193" s="24" t="e">
        <f t="shared" ca="1" si="1574"/>
        <v>#NAME?</v>
      </c>
      <c r="CQ193" s="24" t="e">
        <f t="shared" ca="1" si="1574"/>
        <v>#NAME?</v>
      </c>
      <c r="CR193" s="24" t="e">
        <f t="shared" ca="1" si="1574"/>
        <v>#NAME?</v>
      </c>
      <c r="CS193" s="24" t="e">
        <f t="shared" ca="1" si="1574"/>
        <v>#NAME?</v>
      </c>
      <c r="CT193" s="24" t="e">
        <f t="shared" ca="1" si="1574"/>
        <v>#NAME?</v>
      </c>
      <c r="CU193" s="24" t="e">
        <f t="shared" ref="CU193:DB193" ca="1" si="1575">CU48</f>
        <v>#NAME?</v>
      </c>
      <c r="CV193" s="24" t="e">
        <f t="shared" ca="1" si="1575"/>
        <v>#NAME?</v>
      </c>
      <c r="CW193" s="24" t="e">
        <f t="shared" ca="1" si="1575"/>
        <v>#NAME?</v>
      </c>
      <c r="CX193" s="24" t="e">
        <f t="shared" ca="1" si="1575"/>
        <v>#NAME?</v>
      </c>
      <c r="CY193" s="24" t="e">
        <f t="shared" ca="1" si="1575"/>
        <v>#NAME?</v>
      </c>
      <c r="CZ193" s="24" t="e">
        <f t="shared" ca="1" si="1575"/>
        <v>#NAME?</v>
      </c>
      <c r="DA193" s="24" t="e">
        <f t="shared" ca="1" si="1575"/>
        <v>#NAME?</v>
      </c>
      <c r="DB193" s="24" t="e">
        <f t="shared" ca="1" si="1575"/>
        <v>#NAME?</v>
      </c>
      <c r="DE193" s="123"/>
      <c r="DF193" s="23">
        <v>3499.0800000000008</v>
      </c>
    </row>
    <row r="194" spans="1:110" s="23" customFormat="1" x14ac:dyDescent="0.2">
      <c r="A194" s="23" t="s">
        <v>88</v>
      </c>
      <c r="C194" s="23" t="e">
        <f t="shared" ref="C194:AE194" ca="1" si="1576">C32</f>
        <v>#NAME?</v>
      </c>
      <c r="D194" s="23" t="e">
        <f t="shared" ca="1" si="1576"/>
        <v>#NAME?</v>
      </c>
      <c r="E194" s="23" t="e">
        <f t="shared" ca="1" si="1576"/>
        <v>#NAME?</v>
      </c>
      <c r="F194" s="23" t="e">
        <f t="shared" ca="1" si="1576"/>
        <v>#NAME?</v>
      </c>
      <c r="G194" s="23" t="e">
        <f t="shared" ca="1" si="1576"/>
        <v>#NAME?</v>
      </c>
      <c r="H194" s="23" t="e">
        <f t="shared" ca="1" si="1576"/>
        <v>#NAME?</v>
      </c>
      <c r="I194" s="23" t="e">
        <f t="shared" ca="1" si="1576"/>
        <v>#NAME?</v>
      </c>
      <c r="J194" s="23" t="e">
        <f t="shared" ca="1" si="1576"/>
        <v>#NAME?</v>
      </c>
      <c r="K194" s="23" t="e">
        <f t="shared" ca="1" si="1576"/>
        <v>#NAME?</v>
      </c>
      <c r="L194" s="23" t="e">
        <f t="shared" ca="1" si="1576"/>
        <v>#NAME?</v>
      </c>
      <c r="M194" s="23" t="e">
        <f t="shared" ca="1" si="1576"/>
        <v>#NAME?</v>
      </c>
      <c r="N194" s="23" t="e">
        <f t="shared" ca="1" si="1576"/>
        <v>#NAME?</v>
      </c>
      <c r="O194" s="23" t="e">
        <f t="shared" ca="1" si="1576"/>
        <v>#NAME?</v>
      </c>
      <c r="P194" s="23" t="e">
        <f t="shared" ca="1" si="1576"/>
        <v>#NAME?</v>
      </c>
      <c r="Q194" s="23" t="e">
        <f t="shared" ca="1" si="1576"/>
        <v>#NAME?</v>
      </c>
      <c r="R194" s="23" t="e">
        <f t="shared" ca="1" si="1576"/>
        <v>#NAME?</v>
      </c>
      <c r="S194" s="23" t="e">
        <f t="shared" ca="1" si="1576"/>
        <v>#NAME?</v>
      </c>
      <c r="T194" s="23" t="e">
        <f t="shared" ca="1" si="1576"/>
        <v>#NAME?</v>
      </c>
      <c r="U194" s="23" t="e">
        <f t="shared" ca="1" si="1576"/>
        <v>#NAME?</v>
      </c>
      <c r="V194" s="23" t="e">
        <f t="shared" ca="1" si="1576"/>
        <v>#NAME?</v>
      </c>
      <c r="W194" s="23" t="e">
        <f t="shared" ca="1" si="1576"/>
        <v>#NAME?</v>
      </c>
      <c r="X194" s="23" t="e">
        <f t="shared" ca="1" si="1576"/>
        <v>#NAME?</v>
      </c>
      <c r="Y194" s="23" t="e">
        <f t="shared" ca="1" si="1576"/>
        <v>#NAME?</v>
      </c>
      <c r="Z194" s="23" t="e">
        <f t="shared" ca="1" si="1576"/>
        <v>#NAME?</v>
      </c>
      <c r="AA194" s="23" t="e">
        <f t="shared" ref="AA194" ca="1" si="1577">AA32</f>
        <v>#NAME?</v>
      </c>
      <c r="AB194" s="24" t="e">
        <f t="shared" ca="1" si="1576"/>
        <v>#NAME?</v>
      </c>
      <c r="AC194" s="24" t="e">
        <f t="shared" ca="1" si="1576"/>
        <v>#NAME?</v>
      </c>
      <c r="AD194" s="24" t="e">
        <f t="shared" ca="1" si="1576"/>
        <v>#NAME?</v>
      </c>
      <c r="AE194" s="24" t="e">
        <f t="shared" ca="1" si="1576"/>
        <v>#NAME?</v>
      </c>
      <c r="AI194" s="23" t="e">
        <f t="shared" ref="AI194:BN194" ca="1" si="1578">AI32</f>
        <v>#NAME?</v>
      </c>
      <c r="AJ194" s="23" t="e">
        <f t="shared" ca="1" si="1578"/>
        <v>#NAME?</v>
      </c>
      <c r="AK194" s="23" t="e">
        <f t="shared" ca="1" si="1578"/>
        <v>#NAME?</v>
      </c>
      <c r="AL194" s="23" t="e">
        <f t="shared" ca="1" si="1578"/>
        <v>#NAME?</v>
      </c>
      <c r="AM194" s="23" t="e">
        <f t="shared" ca="1" si="1578"/>
        <v>#NAME?</v>
      </c>
      <c r="AN194" s="23" t="e">
        <f t="shared" ca="1" si="1578"/>
        <v>#NAME?</v>
      </c>
      <c r="AO194" s="23" t="e">
        <f t="shared" ca="1" si="1578"/>
        <v>#NAME?</v>
      </c>
      <c r="AP194" s="23" t="e">
        <f t="shared" ca="1" si="1578"/>
        <v>#NAME?</v>
      </c>
      <c r="AQ194" s="23" t="e">
        <f t="shared" ca="1" si="1578"/>
        <v>#NAME?</v>
      </c>
      <c r="AR194" s="23" t="e">
        <f t="shared" ca="1" si="1578"/>
        <v>#NAME?</v>
      </c>
      <c r="AS194" s="23" t="e">
        <f t="shared" ca="1" si="1578"/>
        <v>#NAME?</v>
      </c>
      <c r="AT194" s="23" t="e">
        <f t="shared" ca="1" si="1578"/>
        <v>#NAME?</v>
      </c>
      <c r="AU194" s="23" t="e">
        <f t="shared" ca="1" si="1578"/>
        <v>#NAME?</v>
      </c>
      <c r="AV194" s="23" t="e">
        <f t="shared" ca="1" si="1578"/>
        <v>#NAME?</v>
      </c>
      <c r="AW194" s="23" t="e">
        <f t="shared" ca="1" si="1578"/>
        <v>#NAME?</v>
      </c>
      <c r="AX194" s="23" t="e">
        <f t="shared" ca="1" si="1578"/>
        <v>#NAME?</v>
      </c>
      <c r="AY194" s="23" t="e">
        <f t="shared" ca="1" si="1578"/>
        <v>#NAME?</v>
      </c>
      <c r="AZ194" s="23" t="e">
        <f t="shared" ca="1" si="1578"/>
        <v>#NAME?</v>
      </c>
      <c r="BA194" s="23" t="e">
        <f t="shared" ca="1" si="1578"/>
        <v>#NAME?</v>
      </c>
      <c r="BB194" s="23" t="e">
        <f t="shared" ca="1" si="1578"/>
        <v>#NAME?</v>
      </c>
      <c r="BC194" s="23" t="e">
        <f t="shared" ca="1" si="1578"/>
        <v>#NAME?</v>
      </c>
      <c r="BD194" s="23" t="e">
        <f t="shared" ca="1" si="1578"/>
        <v>#NAME?</v>
      </c>
      <c r="BE194" s="23" t="e">
        <f t="shared" ca="1" si="1578"/>
        <v>#NAME?</v>
      </c>
      <c r="BF194" s="23" t="e">
        <f t="shared" ca="1" si="1578"/>
        <v>#NAME?</v>
      </c>
      <c r="BG194" s="23" t="e">
        <f t="shared" ca="1" si="1578"/>
        <v>#NAME?</v>
      </c>
      <c r="BH194" s="23" t="e">
        <f t="shared" ca="1" si="1578"/>
        <v>#NAME?</v>
      </c>
      <c r="BI194" s="23" t="e">
        <f t="shared" ca="1" si="1578"/>
        <v>#NAME?</v>
      </c>
      <c r="BJ194" s="23" t="e">
        <f t="shared" ca="1" si="1578"/>
        <v>#NAME?</v>
      </c>
      <c r="BK194" s="23" t="e">
        <f t="shared" ca="1" si="1578"/>
        <v>#NAME?</v>
      </c>
      <c r="BL194" s="23" t="e">
        <f t="shared" ca="1" si="1578"/>
        <v>#NAME?</v>
      </c>
      <c r="BM194" s="23" t="e">
        <f t="shared" ca="1" si="1578"/>
        <v>#NAME?</v>
      </c>
      <c r="BN194" s="23" t="e">
        <f t="shared" ca="1" si="1578"/>
        <v>#NAME?</v>
      </c>
      <c r="BO194" s="23" t="e">
        <f t="shared" ref="BO194:CT194" ca="1" si="1579">BO32</f>
        <v>#NAME?</v>
      </c>
      <c r="BP194" s="23" t="e">
        <f t="shared" ca="1" si="1579"/>
        <v>#NAME?</v>
      </c>
      <c r="BQ194" s="23" t="e">
        <f t="shared" ca="1" si="1579"/>
        <v>#NAME?</v>
      </c>
      <c r="BR194" s="23" t="e">
        <f t="shared" ca="1" si="1579"/>
        <v>#NAME?</v>
      </c>
      <c r="BS194" s="23" t="e">
        <f t="shared" ca="1" si="1579"/>
        <v>#NAME?</v>
      </c>
      <c r="BT194" s="23" t="e">
        <f t="shared" ca="1" si="1579"/>
        <v>#NAME?</v>
      </c>
      <c r="BU194" s="23" t="e">
        <f t="shared" ca="1" si="1579"/>
        <v>#NAME?</v>
      </c>
      <c r="BV194" s="23" t="e">
        <f t="shared" ca="1" si="1579"/>
        <v>#NAME?</v>
      </c>
      <c r="BW194" s="23" t="e">
        <f t="shared" ca="1" si="1579"/>
        <v>#NAME?</v>
      </c>
      <c r="BX194" s="23" t="e">
        <f t="shared" ca="1" si="1579"/>
        <v>#NAME?</v>
      </c>
      <c r="BY194" s="23" t="e">
        <f t="shared" ca="1" si="1579"/>
        <v>#NAME?</v>
      </c>
      <c r="BZ194" s="23" t="e">
        <f t="shared" ca="1" si="1579"/>
        <v>#NAME?</v>
      </c>
      <c r="CA194" s="23" t="e">
        <f t="shared" ca="1" si="1579"/>
        <v>#NAME?</v>
      </c>
      <c r="CB194" s="23" t="e">
        <f t="shared" ca="1" si="1579"/>
        <v>#NAME?</v>
      </c>
      <c r="CC194" s="23" t="e">
        <f t="shared" ca="1" si="1579"/>
        <v>#NAME?</v>
      </c>
      <c r="CD194" s="23" t="e">
        <f t="shared" ca="1" si="1579"/>
        <v>#NAME?</v>
      </c>
      <c r="CE194" s="23" t="e">
        <f t="shared" ca="1" si="1579"/>
        <v>#NAME?</v>
      </c>
      <c r="CF194" s="23" t="e">
        <f t="shared" ca="1" si="1579"/>
        <v>#NAME?</v>
      </c>
      <c r="CG194" s="23" t="e">
        <f t="shared" ca="1" si="1579"/>
        <v>#NAME?</v>
      </c>
      <c r="CH194" s="23" t="e">
        <f t="shared" ca="1" si="1579"/>
        <v>#NAME?</v>
      </c>
      <c r="CI194" s="23" t="e">
        <f t="shared" ca="1" si="1579"/>
        <v>#NAME?</v>
      </c>
      <c r="CJ194" s="23" t="e">
        <f t="shared" ca="1" si="1579"/>
        <v>#NAME?</v>
      </c>
      <c r="CK194" s="23" t="e">
        <f t="shared" ca="1" si="1579"/>
        <v>#NAME?</v>
      </c>
      <c r="CL194" s="23" t="e">
        <f t="shared" ca="1" si="1579"/>
        <v>#NAME?</v>
      </c>
      <c r="CM194" s="24" t="e">
        <f t="shared" ca="1" si="1579"/>
        <v>#NAME?</v>
      </c>
      <c r="CN194" s="24" t="e">
        <f t="shared" ca="1" si="1579"/>
        <v>#NAME?</v>
      </c>
      <c r="CO194" s="24" t="e">
        <f t="shared" ca="1" si="1579"/>
        <v>#NAME?</v>
      </c>
      <c r="CP194" s="24" t="e">
        <f t="shared" ca="1" si="1579"/>
        <v>#NAME?</v>
      </c>
      <c r="CQ194" s="24" t="e">
        <f t="shared" ca="1" si="1579"/>
        <v>#NAME?</v>
      </c>
      <c r="CR194" s="24" t="e">
        <f t="shared" ca="1" si="1579"/>
        <v>#NAME?</v>
      </c>
      <c r="CS194" s="24" t="e">
        <f t="shared" ca="1" si="1579"/>
        <v>#NAME?</v>
      </c>
      <c r="CT194" s="24" t="e">
        <f t="shared" ca="1" si="1579"/>
        <v>#NAME?</v>
      </c>
      <c r="CU194" s="24" t="e">
        <f t="shared" ref="CU194:DB194" ca="1" si="1580">CU32</f>
        <v>#NAME?</v>
      </c>
      <c r="CV194" s="24" t="e">
        <f t="shared" ca="1" si="1580"/>
        <v>#NAME?</v>
      </c>
      <c r="CW194" s="24" t="e">
        <f t="shared" ca="1" si="1580"/>
        <v>#NAME?</v>
      </c>
      <c r="CX194" s="24" t="e">
        <f t="shared" ca="1" si="1580"/>
        <v>#NAME?</v>
      </c>
      <c r="CY194" s="24" t="e">
        <f t="shared" ca="1" si="1580"/>
        <v>#NAME?</v>
      </c>
      <c r="CZ194" s="24" t="e">
        <f t="shared" ca="1" si="1580"/>
        <v>#NAME?</v>
      </c>
      <c r="DA194" s="24" t="e">
        <f t="shared" ca="1" si="1580"/>
        <v>#NAME?</v>
      </c>
      <c r="DB194" s="24" t="e">
        <f t="shared" ca="1" si="1580"/>
        <v>#NAME?</v>
      </c>
      <c r="DE194" s="123"/>
      <c r="DF194" s="23">
        <v>699.2299999999999</v>
      </c>
    </row>
    <row r="195" spans="1:110" s="22" customFormat="1" x14ac:dyDescent="0.2">
      <c r="A195" s="22" t="s">
        <v>89</v>
      </c>
      <c r="C195" s="22" t="e">
        <f t="shared" ref="C195:W195" ca="1" si="1581">C193+C194</f>
        <v>#NAME?</v>
      </c>
      <c r="D195" s="22" t="e">
        <f t="shared" ca="1" si="1581"/>
        <v>#NAME?</v>
      </c>
      <c r="E195" s="22" t="e">
        <f t="shared" ca="1" si="1581"/>
        <v>#NAME?</v>
      </c>
      <c r="F195" s="22" t="e">
        <f t="shared" ca="1" si="1581"/>
        <v>#NAME?</v>
      </c>
      <c r="G195" s="22" t="e">
        <f t="shared" ca="1" si="1581"/>
        <v>#NAME?</v>
      </c>
      <c r="H195" s="22" t="e">
        <f t="shared" ca="1" si="1581"/>
        <v>#NAME?</v>
      </c>
      <c r="I195" s="22" t="e">
        <f t="shared" ca="1" si="1581"/>
        <v>#NAME?</v>
      </c>
      <c r="J195" s="22" t="e">
        <f t="shared" ca="1" si="1581"/>
        <v>#NAME?</v>
      </c>
      <c r="K195" s="22" t="e">
        <f t="shared" ca="1" si="1581"/>
        <v>#NAME?</v>
      </c>
      <c r="L195" s="22" t="e">
        <f t="shared" ca="1" si="1581"/>
        <v>#NAME?</v>
      </c>
      <c r="M195" s="22" t="e">
        <f t="shared" ca="1" si="1581"/>
        <v>#NAME?</v>
      </c>
      <c r="N195" s="22" t="e">
        <f t="shared" ca="1" si="1581"/>
        <v>#NAME?</v>
      </c>
      <c r="O195" s="22" t="e">
        <f t="shared" ca="1" si="1581"/>
        <v>#NAME?</v>
      </c>
      <c r="P195" s="22" t="e">
        <f t="shared" ca="1" si="1581"/>
        <v>#NAME?</v>
      </c>
      <c r="Q195" s="22" t="e">
        <f t="shared" ca="1" si="1581"/>
        <v>#NAME?</v>
      </c>
      <c r="R195" s="22" t="e">
        <f t="shared" ca="1" si="1581"/>
        <v>#NAME?</v>
      </c>
      <c r="S195" s="22" t="e">
        <f t="shared" ca="1" si="1581"/>
        <v>#NAME?</v>
      </c>
      <c r="T195" s="22" t="e">
        <f t="shared" ca="1" si="1581"/>
        <v>#NAME?</v>
      </c>
      <c r="U195" s="22" t="e">
        <f t="shared" ca="1" si="1581"/>
        <v>#NAME?</v>
      </c>
      <c r="V195" s="22" t="e">
        <f t="shared" ca="1" si="1581"/>
        <v>#NAME?</v>
      </c>
      <c r="W195" s="22" t="e">
        <f t="shared" ca="1" si="1581"/>
        <v>#NAME?</v>
      </c>
      <c r="X195" s="22" t="e">
        <f t="shared" ref="X195:Y195" ca="1" si="1582">X193+X194</f>
        <v>#NAME?</v>
      </c>
      <c r="Y195" s="22" t="e">
        <f t="shared" ca="1" si="1582"/>
        <v>#NAME?</v>
      </c>
      <c r="Z195" s="22" t="e">
        <f t="shared" ref="Z195:AA195" ca="1" si="1583">Z193+Z194</f>
        <v>#NAME?</v>
      </c>
      <c r="AA195" s="22" t="e">
        <f t="shared" ca="1" si="1583"/>
        <v>#NAME?</v>
      </c>
      <c r="AB195" s="21" t="e">
        <f t="shared" ref="AA195:AD195" ca="1" si="1584">AB193+AB194</f>
        <v>#NAME?</v>
      </c>
      <c r="AC195" s="21" t="e">
        <f t="shared" ca="1" si="1584"/>
        <v>#NAME?</v>
      </c>
      <c r="AD195" s="21" t="e">
        <f t="shared" ca="1" si="1584"/>
        <v>#NAME?</v>
      </c>
      <c r="AE195" s="21" t="e">
        <f t="shared" ref="AE195" ca="1" si="1585">AE193+AE194</f>
        <v>#NAME?</v>
      </c>
      <c r="AI195" s="22" t="e">
        <f t="shared" ref="AI195" ca="1" si="1586">AI193+AI194</f>
        <v>#NAME?</v>
      </c>
      <c r="AJ195" s="22" t="e">
        <f t="shared" ref="AJ195:AL195" ca="1" si="1587">AJ193+AJ194</f>
        <v>#NAME?</v>
      </c>
      <c r="AK195" s="22" t="e">
        <f t="shared" ca="1" si="1587"/>
        <v>#NAME?</v>
      </c>
      <c r="AL195" s="22" t="e">
        <f t="shared" ca="1" si="1587"/>
        <v>#NAME?</v>
      </c>
      <c r="AM195" s="22" t="e">
        <f t="shared" ref="AM195" ca="1" si="1588">AM193+AM194</f>
        <v>#NAME?</v>
      </c>
      <c r="AN195" s="22" t="e">
        <f t="shared" ref="AN195:CD195" ca="1" si="1589">AN193+AN194</f>
        <v>#NAME?</v>
      </c>
      <c r="AO195" s="22" t="e">
        <f t="shared" ca="1" si="1589"/>
        <v>#NAME?</v>
      </c>
      <c r="AP195" s="22" t="e">
        <f t="shared" ca="1" si="1589"/>
        <v>#NAME?</v>
      </c>
      <c r="AQ195" s="22" t="e">
        <f t="shared" ca="1" si="1589"/>
        <v>#NAME?</v>
      </c>
      <c r="AR195" s="22" t="e">
        <f t="shared" ca="1" si="1589"/>
        <v>#NAME?</v>
      </c>
      <c r="AS195" s="22" t="e">
        <f t="shared" ca="1" si="1589"/>
        <v>#NAME?</v>
      </c>
      <c r="AT195" s="22" t="e">
        <f t="shared" ca="1" si="1589"/>
        <v>#NAME?</v>
      </c>
      <c r="AU195" s="22" t="e">
        <f t="shared" ca="1" si="1589"/>
        <v>#NAME?</v>
      </c>
      <c r="AV195" s="22" t="e">
        <f t="shared" ca="1" si="1589"/>
        <v>#NAME?</v>
      </c>
      <c r="AW195" s="22" t="e">
        <f t="shared" ca="1" si="1589"/>
        <v>#NAME?</v>
      </c>
      <c r="AX195" s="22" t="e">
        <f t="shared" ca="1" si="1589"/>
        <v>#NAME?</v>
      </c>
      <c r="AY195" s="22" t="e">
        <f t="shared" ca="1" si="1589"/>
        <v>#NAME?</v>
      </c>
      <c r="AZ195" s="22" t="e">
        <f t="shared" ca="1" si="1589"/>
        <v>#NAME?</v>
      </c>
      <c r="BA195" s="22" t="e">
        <f t="shared" ca="1" si="1589"/>
        <v>#NAME?</v>
      </c>
      <c r="BB195" s="22" t="e">
        <f t="shared" ca="1" si="1589"/>
        <v>#NAME?</v>
      </c>
      <c r="BC195" s="22" t="e">
        <f t="shared" ca="1" si="1589"/>
        <v>#NAME?</v>
      </c>
      <c r="BD195" s="22" t="e">
        <f t="shared" ca="1" si="1589"/>
        <v>#NAME?</v>
      </c>
      <c r="BE195" s="22" t="e">
        <f t="shared" ca="1" si="1589"/>
        <v>#NAME?</v>
      </c>
      <c r="BF195" s="22" t="e">
        <f t="shared" ca="1" si="1589"/>
        <v>#NAME?</v>
      </c>
      <c r="BG195" s="22" t="e">
        <f t="shared" ca="1" si="1589"/>
        <v>#NAME?</v>
      </c>
      <c r="BH195" s="22" t="e">
        <f t="shared" ca="1" si="1589"/>
        <v>#NAME?</v>
      </c>
      <c r="BI195" s="22" t="e">
        <f t="shared" ca="1" si="1589"/>
        <v>#NAME?</v>
      </c>
      <c r="BJ195" s="22" t="e">
        <f t="shared" ca="1" si="1589"/>
        <v>#NAME?</v>
      </c>
      <c r="BK195" s="22" t="e">
        <f t="shared" ca="1" si="1589"/>
        <v>#NAME?</v>
      </c>
      <c r="BL195" s="22" t="e">
        <f t="shared" ca="1" si="1589"/>
        <v>#NAME?</v>
      </c>
      <c r="BM195" s="22" t="e">
        <f t="shared" ca="1" si="1589"/>
        <v>#NAME?</v>
      </c>
      <c r="BN195" s="22" t="e">
        <f t="shared" ca="1" si="1589"/>
        <v>#NAME?</v>
      </c>
      <c r="BO195" s="22" t="e">
        <f t="shared" ca="1" si="1589"/>
        <v>#NAME?</v>
      </c>
      <c r="BP195" s="22" t="e">
        <f t="shared" ca="1" si="1589"/>
        <v>#NAME?</v>
      </c>
      <c r="BQ195" s="22" t="e">
        <f t="shared" ca="1" si="1589"/>
        <v>#NAME?</v>
      </c>
      <c r="BR195" s="22" t="e">
        <f t="shared" ca="1" si="1589"/>
        <v>#NAME?</v>
      </c>
      <c r="BS195" s="22" t="e">
        <f t="shared" ca="1" si="1589"/>
        <v>#NAME?</v>
      </c>
      <c r="BT195" s="22" t="e">
        <f t="shared" ca="1" si="1589"/>
        <v>#NAME?</v>
      </c>
      <c r="BU195" s="22" t="e">
        <f t="shared" ca="1" si="1589"/>
        <v>#NAME?</v>
      </c>
      <c r="BV195" s="22" t="e">
        <f t="shared" ca="1" si="1589"/>
        <v>#NAME?</v>
      </c>
      <c r="BW195" s="22" t="e">
        <f t="shared" ca="1" si="1589"/>
        <v>#NAME?</v>
      </c>
      <c r="BX195" s="22" t="e">
        <f t="shared" ca="1" si="1589"/>
        <v>#NAME?</v>
      </c>
      <c r="BY195" s="22" t="e">
        <f t="shared" ca="1" si="1589"/>
        <v>#NAME?</v>
      </c>
      <c r="BZ195" s="22" t="e">
        <f t="shared" ca="1" si="1589"/>
        <v>#NAME?</v>
      </c>
      <c r="CA195" s="22" t="e">
        <f t="shared" ca="1" si="1589"/>
        <v>#NAME?</v>
      </c>
      <c r="CB195" s="22" t="e">
        <f t="shared" ca="1" si="1589"/>
        <v>#NAME?</v>
      </c>
      <c r="CC195" s="22" t="e">
        <f t="shared" ca="1" si="1589"/>
        <v>#NAME?</v>
      </c>
      <c r="CD195" s="22" t="e">
        <f t="shared" ca="1" si="1589"/>
        <v>#NAME?</v>
      </c>
      <c r="CE195" s="22" t="e">
        <f t="shared" ref="CE195:CF195" ca="1" si="1590">CE193+CE194</f>
        <v>#NAME?</v>
      </c>
      <c r="CF195" s="22" t="e">
        <f t="shared" ca="1" si="1590"/>
        <v>#NAME?</v>
      </c>
      <c r="CG195" s="22" t="e">
        <f t="shared" ref="CG195:CH195" ca="1" si="1591">CG193+CG194</f>
        <v>#NAME?</v>
      </c>
      <c r="CH195" s="22" t="e">
        <f t="shared" ca="1" si="1591"/>
        <v>#NAME?</v>
      </c>
      <c r="CI195" s="22" t="e">
        <f t="shared" ref="CI195:CJ195" ca="1" si="1592">CI193+CI194</f>
        <v>#NAME?</v>
      </c>
      <c r="CJ195" s="22" t="e">
        <f t="shared" ca="1" si="1592"/>
        <v>#NAME?</v>
      </c>
      <c r="CK195" s="22" t="e">
        <f t="shared" ref="CK195:DB195" ca="1" si="1593">CK193+CK194</f>
        <v>#NAME?</v>
      </c>
      <c r="CL195" s="22" t="e">
        <f t="shared" ca="1" si="1593"/>
        <v>#NAME?</v>
      </c>
      <c r="CM195" s="21" t="e">
        <f t="shared" ca="1" si="1593"/>
        <v>#NAME?</v>
      </c>
      <c r="CN195" s="21" t="e">
        <f t="shared" ca="1" si="1593"/>
        <v>#NAME?</v>
      </c>
      <c r="CO195" s="21" t="e">
        <f t="shared" ca="1" si="1593"/>
        <v>#NAME?</v>
      </c>
      <c r="CP195" s="21" t="e">
        <f t="shared" ca="1" si="1593"/>
        <v>#NAME?</v>
      </c>
      <c r="CQ195" s="21" t="e">
        <f t="shared" ca="1" si="1593"/>
        <v>#NAME?</v>
      </c>
      <c r="CR195" s="21" t="e">
        <f t="shared" ca="1" si="1593"/>
        <v>#NAME?</v>
      </c>
      <c r="CS195" s="21" t="e">
        <f t="shared" ca="1" si="1593"/>
        <v>#NAME?</v>
      </c>
      <c r="CT195" s="21" t="e">
        <f t="shared" ca="1" si="1593"/>
        <v>#NAME?</v>
      </c>
      <c r="CU195" s="21" t="e">
        <f t="shared" ca="1" si="1593"/>
        <v>#NAME?</v>
      </c>
      <c r="CV195" s="21" t="e">
        <f t="shared" ca="1" si="1593"/>
        <v>#NAME?</v>
      </c>
      <c r="CW195" s="21" t="e">
        <f t="shared" ca="1" si="1593"/>
        <v>#NAME?</v>
      </c>
      <c r="CX195" s="21" t="e">
        <f t="shared" ca="1" si="1593"/>
        <v>#NAME?</v>
      </c>
      <c r="CY195" s="21" t="e">
        <f t="shared" ca="1" si="1593"/>
        <v>#NAME?</v>
      </c>
      <c r="CZ195" s="21" t="e">
        <f t="shared" ca="1" si="1593"/>
        <v>#NAME?</v>
      </c>
      <c r="DA195" s="21" t="e">
        <f t="shared" ca="1" si="1593"/>
        <v>#NAME?</v>
      </c>
      <c r="DB195" s="21" t="e">
        <f t="shared" ca="1" si="1593"/>
        <v>#NAME?</v>
      </c>
      <c r="DE195" s="126"/>
      <c r="DF195" s="22">
        <v>4198.3100000000004</v>
      </c>
    </row>
    <row r="196" spans="1:110" s="23" customFormat="1" x14ac:dyDescent="0.2">
      <c r="A196" s="23" t="s">
        <v>65</v>
      </c>
      <c r="C196" s="23" t="e">
        <f t="shared" ref="C196:AA196" ca="1" si="1594">B148-C148+B163+B164-C163-C164</f>
        <v>#NAME?</v>
      </c>
      <c r="D196" s="23" t="e">
        <f t="shared" ca="1" si="1594"/>
        <v>#NAME?</v>
      </c>
      <c r="E196" s="23" t="e">
        <f ca="1">D148-E148+D163+D164-E163-E164</f>
        <v>#NAME?</v>
      </c>
      <c r="F196" s="23" t="e">
        <f t="shared" ca="1" si="1594"/>
        <v>#NAME?</v>
      </c>
      <c r="G196" s="23" t="e">
        <f t="shared" ca="1" si="1594"/>
        <v>#NAME?</v>
      </c>
      <c r="H196" s="23" t="e">
        <f t="shared" ca="1" si="1594"/>
        <v>#NAME?</v>
      </c>
      <c r="I196" s="23" t="e">
        <f t="shared" ca="1" si="1594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4"/>
        <v>#NAME?</v>
      </c>
      <c r="M196" s="23" t="e">
        <f t="shared" ca="1" si="1594"/>
        <v>#NAME?</v>
      </c>
      <c r="N196" s="23" t="e">
        <f t="shared" ca="1" si="1594"/>
        <v>#NAME?</v>
      </c>
      <c r="O196" s="23" t="e">
        <f t="shared" ca="1" si="1594"/>
        <v>#NAME?</v>
      </c>
      <c r="P196" s="23" t="e">
        <f t="shared" ca="1" si="1594"/>
        <v>#NAME?</v>
      </c>
      <c r="Q196" s="23" t="e">
        <f t="shared" ca="1" si="1594"/>
        <v>#NAME?</v>
      </c>
      <c r="R196" s="23" t="e">
        <f t="shared" ca="1" si="1594"/>
        <v>#NAME?</v>
      </c>
      <c r="S196" s="23" t="e">
        <f t="shared" ca="1" si="1594"/>
        <v>#NAME?</v>
      </c>
      <c r="T196" s="23" t="e">
        <f t="shared" ca="1" si="1594"/>
        <v>#NAME?</v>
      </c>
      <c r="U196" s="23" t="e">
        <f t="shared" ca="1" si="1594"/>
        <v>#NAME?</v>
      </c>
      <c r="V196" s="23" t="e">
        <f t="shared" ca="1" si="1594"/>
        <v>#NAME?</v>
      </c>
      <c r="W196" s="23" t="e">
        <f t="shared" ca="1" si="1594"/>
        <v>#NAME?</v>
      </c>
      <c r="X196" s="23" t="e">
        <f t="shared" ca="1" si="1594"/>
        <v>#NAME?</v>
      </c>
      <c r="Y196" s="23" t="e">
        <f t="shared" ca="1" si="1594"/>
        <v>#NAME?</v>
      </c>
      <c r="Z196" s="23" t="e">
        <f t="shared" ca="1" si="1594"/>
        <v>#NAME?</v>
      </c>
      <c r="AA196" s="23" t="e">
        <f t="shared" ca="1" si="1594"/>
        <v>#NAME?</v>
      </c>
      <c r="AB196" s="24" t="e">
        <f t="shared" ref="AB196" ca="1" si="1595">AA148-AB148+AA163+AA164-AB163-AB164</f>
        <v>#NAME?</v>
      </c>
      <c r="AC196" s="24" t="e">
        <f t="shared" ref="AC196" ca="1" si="1596">AB148-AC148+AB163+AB164-AC163-AC164</f>
        <v>#NAME?</v>
      </c>
      <c r="AD196" s="24" t="e">
        <f t="shared" ref="AD196" ca="1" si="1597">AC148-AD148+AC163+AC164-AD163-AD164</f>
        <v>#NAME?</v>
      </c>
      <c r="AE196" s="24" t="e">
        <f t="shared" ref="AE196" ca="1" si="1598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599">AI148-AJ148+AI163+AI164-AJ163-AK164</f>
        <v>#NAME?</v>
      </c>
      <c r="AK196" s="23" t="e">
        <f t="shared" ca="1" si="1599"/>
        <v>#NAME?</v>
      </c>
      <c r="AL196" s="23" t="e">
        <f t="shared" ca="1" si="1599"/>
        <v>#NAME?</v>
      </c>
      <c r="AM196" s="23" t="e">
        <f t="shared" ref="AM196" ca="1" si="1600">AL148-AM148+AL163+AL164-AM163-AM164</f>
        <v>#NAME?</v>
      </c>
      <c r="AN196" s="23" t="e">
        <f t="shared" ref="AN196" ca="1" si="1601">AM148-AN148+AM163+AM164-AN163-AN164</f>
        <v>#NAME?</v>
      </c>
      <c r="AO196" s="23" t="e">
        <f t="shared" ref="AO196" ca="1" si="1602">AN148-AO148+AN163+AN164-AO163-AO164</f>
        <v>#NAME?</v>
      </c>
      <c r="AP196" s="23" t="e">
        <f t="shared" ref="AP196" ca="1" si="1603">AO148-AP148+AO163+AO164-AP163-AP164</f>
        <v>#NAME?</v>
      </c>
      <c r="AQ196" s="23" t="e">
        <f t="shared" ref="AQ196" ca="1" si="1604">AP148-AQ148+AP163+AP164-AQ163-AQ164</f>
        <v>#NAME?</v>
      </c>
      <c r="AR196" s="23" t="e">
        <f t="shared" ref="AR196" ca="1" si="1605">AQ148-AR148+AQ163+AQ164-AR163-AR164</f>
        <v>#NAME?</v>
      </c>
      <c r="AS196" s="23" t="e">
        <f t="shared" ref="AS196" ca="1" si="1606">AR148-AS148+AR163+AR164-AS163-AS164</f>
        <v>#NAME?</v>
      </c>
      <c r="AT196" s="23" t="e">
        <f t="shared" ref="AT196" ca="1" si="1607">AS148-AT148+AS163+AS164-AT163-AT164</f>
        <v>#NAME?</v>
      </c>
      <c r="AU196" s="23" t="e">
        <f t="shared" ref="AU196" ca="1" si="1608">AT148-AU148+AT163+AT164-AU163-AU164</f>
        <v>#NAME?</v>
      </c>
      <c r="AV196" s="23" t="e">
        <f t="shared" ref="AV196" ca="1" si="1609">AU148-AV148+AU163+AU164-AV163-AV164</f>
        <v>#NAME?</v>
      </c>
      <c r="AW196" s="23" t="e">
        <f t="shared" ref="AW196" ca="1" si="1610">AV148-AW148+AV163+AV164-AW163-AW164</f>
        <v>#NAME?</v>
      </c>
      <c r="AX196" s="23" t="e">
        <f t="shared" ref="AX196" ca="1" si="1611">AW148-AX148+AW163+AW164-AX163-AX164</f>
        <v>#NAME?</v>
      </c>
      <c r="AY196" s="23" t="e">
        <f t="shared" ref="AY196" ca="1" si="1612">AX148-AY148+AX163+AX164-AY163-AY164</f>
        <v>#NAME?</v>
      </c>
      <c r="AZ196" s="23" t="e">
        <f t="shared" ref="AZ196" ca="1" si="1613">AY148-AZ148+AY163+AY164-AZ163-AZ164</f>
        <v>#NAME?</v>
      </c>
      <c r="BA196" s="23" t="e">
        <f t="shared" ref="BA196" ca="1" si="1614">AZ148-BA148+AZ163+AZ164-BA163-BA164</f>
        <v>#NAME?</v>
      </c>
      <c r="BB196" s="23" t="e">
        <f t="shared" ref="BB196" ca="1" si="1615">BA148-BB148+BA163+BA164-BB163-BB164</f>
        <v>#NAME?</v>
      </c>
      <c r="BC196" s="23" t="e">
        <f t="shared" ref="BC196" ca="1" si="1616">BB148-BC148+BB163+BB164-BC163-BC164</f>
        <v>#NAME?</v>
      </c>
      <c r="BD196" s="23" t="e">
        <f t="shared" ref="BD196" ca="1" si="1617">BC148-BD148+BC163+BC164-BD163-BD164</f>
        <v>#NAME?</v>
      </c>
      <c r="BE196" s="23" t="e">
        <f t="shared" ref="BE196" ca="1" si="1618">BD148-BE148+BD163+BD164-BE163-BE164</f>
        <v>#NAME?</v>
      </c>
      <c r="BF196" s="23" t="e">
        <f t="shared" ref="BF196" ca="1" si="1619">BE148-BF148+BE163+BE164-BF163-BF164</f>
        <v>#NAME?</v>
      </c>
      <c r="BG196" s="23" t="e">
        <f t="shared" ref="BG196" ca="1" si="1620">BF148-BG148+BF163+BF164-BG163-BG164</f>
        <v>#NAME?</v>
      </c>
      <c r="BH196" s="23" t="e">
        <f t="shared" ref="BH196" ca="1" si="1621">BG148-BH148+BG163+BG164-BH163-BH164</f>
        <v>#NAME?</v>
      </c>
      <c r="BI196" s="23" t="e">
        <f t="shared" ref="BI196" ca="1" si="1622">BH148-BI148+BH163+BH164-BI163-BI164</f>
        <v>#NAME?</v>
      </c>
      <c r="BJ196" s="23" t="e">
        <f t="shared" ref="BJ196" ca="1" si="1623">BI148-BJ148+BI163+BI164-BJ163-BJ164</f>
        <v>#NAME?</v>
      </c>
      <c r="BK196" s="23" t="e">
        <f t="shared" ref="BK196" ca="1" si="1624">BJ148-BK148+BJ163+BJ164-BK163-BK164</f>
        <v>#NAME?</v>
      </c>
      <c r="BL196" s="23" t="e">
        <f t="shared" ref="BL196" ca="1" si="1625">BK148-BL148+BK163+BK164-BL163-BL164</f>
        <v>#NAME?</v>
      </c>
      <c r="BM196" s="23" t="e">
        <f t="shared" ref="BM196" ca="1" si="1626">BL148-BM148+BL163+BL164-BM163-BM164</f>
        <v>#NAME?</v>
      </c>
      <c r="BN196" s="23" t="e">
        <f t="shared" ref="BN196" ca="1" si="1627">BM148-BN148+BM163+BM164-BN163-BN164</f>
        <v>#NAME?</v>
      </c>
      <c r="BO196" s="23" t="e">
        <f t="shared" ref="BO196" ca="1" si="1628">BN148-BO148+BN163+BN164-BO163-BO164</f>
        <v>#NAME?</v>
      </c>
      <c r="BP196" s="23" t="e">
        <f t="shared" ref="BP196" ca="1" si="1629">BO148-BP148+BO163+BO164-BP163-BP164</f>
        <v>#NAME?</v>
      </c>
      <c r="BQ196" s="23" t="e">
        <f t="shared" ref="BQ196" ca="1" si="1630">BP148-BQ148+BP163+BP164-BQ163-BQ164</f>
        <v>#NAME?</v>
      </c>
      <c r="BR196" s="23" t="e">
        <f t="shared" ref="BR196" ca="1" si="1631">BQ148-BR148+BQ163+BQ164-BR163-BR164</f>
        <v>#NAME?</v>
      </c>
      <c r="BS196" s="23" t="e">
        <f t="shared" ref="BS196" ca="1" si="1632">BR148-BS148+BR163+BR164-BS163-BS164</f>
        <v>#NAME?</v>
      </c>
      <c r="BT196" s="23" t="e">
        <f t="shared" ref="BT196" ca="1" si="1633">BS148-BT148+BS163+BS164-BT163-BT164</f>
        <v>#NAME?</v>
      </c>
      <c r="BU196" s="23" t="e">
        <f t="shared" ref="BU196" ca="1" si="1634">BT148-BU148+BT163+BT164-BU163-BU164</f>
        <v>#NAME?</v>
      </c>
      <c r="BV196" s="23" t="e">
        <f t="shared" ref="BV196" ca="1" si="1635">BU148-BV148+BU163+BU164-BV163-BV164</f>
        <v>#NAME?</v>
      </c>
      <c r="BW196" s="23" t="e">
        <f t="shared" ref="BW196" ca="1" si="1636">BV148-BW148+BV163+BV164-BW163-BW164</f>
        <v>#NAME?</v>
      </c>
      <c r="BX196" s="23" t="e">
        <f t="shared" ref="BX196" ca="1" si="1637">BW148-BX148+BW163+BW164-BX163-BX164</f>
        <v>#NAME?</v>
      </c>
      <c r="BY196" s="23" t="e">
        <f t="shared" ref="BY196" ca="1" si="1638">BX148-BY148+BX163+BX164-BY163-BY164</f>
        <v>#NAME?</v>
      </c>
      <c r="BZ196" s="23" t="e">
        <f t="shared" ref="BZ196" ca="1" si="1639">BY148-BZ148+BY163+BY164-BZ163-BZ164</f>
        <v>#NAME?</v>
      </c>
      <c r="CA196" s="23" t="e">
        <f t="shared" ref="CA196" ca="1" si="1640">BZ148-CA148+BZ163+BZ164-CA163-CA164</f>
        <v>#NAME?</v>
      </c>
      <c r="CB196" s="23" t="e">
        <f t="shared" ref="CB196" ca="1" si="1641">CA148-CB148+CA163+CA164-CB163-CB164</f>
        <v>#NAME?</v>
      </c>
      <c r="CC196" s="23" t="e">
        <f t="shared" ref="CC196" ca="1" si="1642">CB148-CC148+CB163+CB164-CC163-CC164</f>
        <v>#NAME?</v>
      </c>
      <c r="CD196" s="23" t="e">
        <f t="shared" ref="CD196" ca="1" si="1643">CC148-CD148+CC163+CC164-CD163-CD164</f>
        <v>#NAME?</v>
      </c>
      <c r="CE196" s="23" t="e">
        <f t="shared" ref="CE196" ca="1" si="1644">CD148-CE148+CD163+CD164-CE163-CE164</f>
        <v>#NAME?</v>
      </c>
      <c r="CF196" s="23" t="e">
        <f t="shared" ref="CF196" ca="1" si="1645">CE148-CF148+CE163+CE164-CF163-CF164</f>
        <v>#NAME?</v>
      </c>
      <c r="CG196" s="23" t="e">
        <f t="shared" ref="CG196" ca="1" si="1646">CF148-CG148+CF163+CF164-CG163-CG164</f>
        <v>#NAME?</v>
      </c>
      <c r="CH196" s="23" t="e">
        <f t="shared" ref="CH196:CJ196" ca="1" si="1647">CG148-CH148+CG163+CG164-CH163-CH164</f>
        <v>#NAME?</v>
      </c>
      <c r="CI196" s="23" t="e">
        <f t="shared" ca="1" si="1647"/>
        <v>#NAME?</v>
      </c>
      <c r="CJ196" s="23" t="e">
        <f t="shared" ca="1" si="1647"/>
        <v>#NAME?</v>
      </c>
      <c r="CK196" s="23" t="e">
        <f t="shared" ref="CK196" ca="1" si="1648">CJ148-CK148+CJ163+CJ164-CK163-CK164</f>
        <v>#NAME?</v>
      </c>
      <c r="CL196" s="23" t="e">
        <f t="shared" ref="CL196" ca="1" si="1649">CK148-CL148+CK163+CK164-CL163-CL164</f>
        <v>#NAME?</v>
      </c>
      <c r="CM196" s="24" t="e">
        <f t="shared" ref="CM196" ca="1" si="1650">CL148-CM148+CL163+CL164-CM163-CM164</f>
        <v>#NAME?</v>
      </c>
      <c r="CN196" s="24" t="e">
        <f t="shared" ref="CN196" ca="1" si="1651">CM148-CN148+CM163+CM164-CN163-CN164</f>
        <v>#NAME?</v>
      </c>
      <c r="CO196" s="24" t="e">
        <f t="shared" ref="CO196" ca="1" si="1652">CN148-CO148+CN163+CN164-CO163-CO164</f>
        <v>#NAME?</v>
      </c>
      <c r="CP196" s="24" t="e">
        <f t="shared" ref="CP196" ca="1" si="1653">CO148-CP148+CO163+CO164-CP163-CP164</f>
        <v>#NAME?</v>
      </c>
      <c r="CQ196" s="24" t="e">
        <f t="shared" ref="CQ196" ca="1" si="1654">CP148-CQ148+CP163+CP164-CQ163-CQ164</f>
        <v>#NAME?</v>
      </c>
      <c r="CR196" s="24" t="e">
        <f t="shared" ref="CR196" ca="1" si="1655">CQ148-CR148+CQ163+CQ164-CR163-CR164</f>
        <v>#NAME?</v>
      </c>
      <c r="CS196" s="24" t="e">
        <f t="shared" ref="CS196" ca="1" si="1656">CR148-CS148+CR163+CR164-CS163-CS164</f>
        <v>#NAME?</v>
      </c>
      <c r="CT196" s="24" t="e">
        <f t="shared" ref="CT196" ca="1" si="1657">CS148-CT148+CS163+CS164-CT163-CT164</f>
        <v>#NAME?</v>
      </c>
      <c r="CU196" s="24" t="e">
        <f t="shared" ref="CU196" ca="1" si="1658">CT148-CU148+CT163+CT164-CU163-CU164</f>
        <v>#NAME?</v>
      </c>
      <c r="CV196" s="24" t="e">
        <f t="shared" ref="CV196" ca="1" si="1659">CU148-CV148+CU163+CU164-CV163-CV164</f>
        <v>#NAME?</v>
      </c>
      <c r="CW196" s="24" t="e">
        <f t="shared" ref="CW196" ca="1" si="1660">CV148-CW148+CV163+CV164-CW163-CW164</f>
        <v>#NAME?</v>
      </c>
      <c r="CX196" s="24" t="e">
        <f t="shared" ref="CX196" ca="1" si="1661">CW148-CX148+CW163+CW164-CX163-CX164</f>
        <v>#NAME?</v>
      </c>
      <c r="CY196" s="24" t="e">
        <f t="shared" ref="CY196" ca="1" si="1662">CX148-CY148+CX163+CX164-CY163-CY164</f>
        <v>#NAME?</v>
      </c>
      <c r="CZ196" s="24" t="e">
        <f t="shared" ref="CZ196" ca="1" si="1663">CY148-CZ148+CY163+CY164-CZ163-CZ164</f>
        <v>#NAME?</v>
      </c>
      <c r="DA196" s="24" t="e">
        <f t="shared" ref="DA196" ca="1" si="1664">CZ148-DA148+CZ163+CZ164-DA163-DA164</f>
        <v>#NAME?</v>
      </c>
      <c r="DB196" s="24" t="e">
        <f t="shared" ref="DB196" ca="1" si="1665">DA148-DB148+DA163+DA164-DB163-DB164</f>
        <v>#NAME?</v>
      </c>
      <c r="DE196" s="123"/>
      <c r="DF196" s="23">
        <v>-145.54999999999936</v>
      </c>
    </row>
    <row r="197" spans="1:110" s="23" customFormat="1" x14ac:dyDescent="0.2">
      <c r="A197" s="23" t="s">
        <v>73</v>
      </c>
      <c r="C197" s="23" t="e">
        <f t="shared" ref="C197:AA197" ca="1" si="1666">B156-C156</f>
        <v>#NAME?</v>
      </c>
      <c r="D197" s="23" t="e">
        <f t="shared" ca="1" si="1666"/>
        <v>#NAME?</v>
      </c>
      <c r="E197" s="23" t="e">
        <f ca="1">D156-E156</f>
        <v>#NAME?</v>
      </c>
      <c r="F197" s="23" t="e">
        <f t="shared" ca="1" si="1666"/>
        <v>#NAME?</v>
      </c>
      <c r="G197" s="23" t="e">
        <f t="shared" ca="1" si="1666"/>
        <v>#NAME?</v>
      </c>
      <c r="H197" s="23" t="e">
        <f t="shared" ca="1" si="1666"/>
        <v>#NAME?</v>
      </c>
      <c r="I197" s="23" t="e">
        <f t="shared" ca="1" si="1666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6"/>
        <v>#NAME?</v>
      </c>
      <c r="M197" s="23" t="e">
        <f t="shared" ca="1" si="1666"/>
        <v>#NAME?</v>
      </c>
      <c r="N197" s="23" t="e">
        <f t="shared" ca="1" si="1666"/>
        <v>#NAME?</v>
      </c>
      <c r="O197" s="23" t="e">
        <f t="shared" ca="1" si="1666"/>
        <v>#NAME?</v>
      </c>
      <c r="P197" s="23" t="e">
        <f t="shared" ca="1" si="1666"/>
        <v>#NAME?</v>
      </c>
      <c r="Q197" s="23" t="e">
        <f t="shared" ca="1" si="1666"/>
        <v>#NAME?</v>
      </c>
      <c r="R197" s="23" t="e">
        <f t="shared" ca="1" si="1666"/>
        <v>#NAME?</v>
      </c>
      <c r="S197" s="23" t="e">
        <f t="shared" ca="1" si="1666"/>
        <v>#NAME?</v>
      </c>
      <c r="T197" s="23" t="e">
        <f t="shared" ca="1" si="1666"/>
        <v>#NAME?</v>
      </c>
      <c r="U197" s="23" t="e">
        <f t="shared" ca="1" si="1666"/>
        <v>#NAME?</v>
      </c>
      <c r="V197" s="23" t="e">
        <f t="shared" ca="1" si="1666"/>
        <v>#NAME?</v>
      </c>
      <c r="W197" s="23" t="e">
        <f t="shared" ca="1" si="1666"/>
        <v>#NAME?</v>
      </c>
      <c r="X197" s="23" t="e">
        <f t="shared" ca="1" si="1666"/>
        <v>#NAME?</v>
      </c>
      <c r="Y197" s="23" t="e">
        <f t="shared" ca="1" si="1666"/>
        <v>#NAME?</v>
      </c>
      <c r="Z197" s="23" t="e">
        <f t="shared" ca="1" si="1666"/>
        <v>#NAME?</v>
      </c>
      <c r="AA197" s="23" t="e">
        <f t="shared" ca="1" si="1666"/>
        <v>#NAME?</v>
      </c>
      <c r="AB197" s="24" t="e">
        <f t="shared" ref="AB197" ca="1" si="1667">AA156-AB156</f>
        <v>#NAME?</v>
      </c>
      <c r="AC197" s="24" t="e">
        <f t="shared" ref="AC197" ca="1" si="1668">AB156-AC156</f>
        <v>#NAME?</v>
      </c>
      <c r="AD197" s="24" t="e">
        <f t="shared" ref="AD197" ca="1" si="1669">AC156-AD156</f>
        <v>#NAME?</v>
      </c>
      <c r="AE197" s="24" t="e">
        <f t="shared" ref="AE197" ca="1" si="1670">AD156-AE156</f>
        <v>#NAME?</v>
      </c>
      <c r="AI197" s="23">
        <f t="shared" ref="AI197" si="1671">AH156-AI156</f>
        <v>0</v>
      </c>
      <c r="AJ197" s="23" t="e">
        <f t="shared" ref="AJ197" ca="1" si="1672">AI156-AJ156</f>
        <v>#NAME?</v>
      </c>
      <c r="AK197" s="23" t="e">
        <f t="shared" ref="AK197" ca="1" si="1673">AJ156-AK156</f>
        <v>#NAME?</v>
      </c>
      <c r="AL197" s="23" t="e">
        <f t="shared" ref="AL197" ca="1" si="1674">AK156-AL156</f>
        <v>#NAME?</v>
      </c>
      <c r="AM197" s="23" t="e">
        <f t="shared" ref="AM197" ca="1" si="1675">AL156-AM156</f>
        <v>#NAME?</v>
      </c>
      <c r="AN197" s="23" t="e">
        <f t="shared" ref="AN197" ca="1" si="1676">AM156-AN156</f>
        <v>#NAME?</v>
      </c>
      <c r="AO197" s="23" t="e">
        <f t="shared" ref="AO197" ca="1" si="1677">AN156-AO156</f>
        <v>#NAME?</v>
      </c>
      <c r="AP197" s="23" t="e">
        <f t="shared" ref="AP197" ca="1" si="1678">AO156-AP156</f>
        <v>#NAME?</v>
      </c>
      <c r="AQ197" s="23" t="e">
        <f t="shared" ref="AQ197" ca="1" si="1679">AP156-AQ156</f>
        <v>#NAME?</v>
      </c>
      <c r="AR197" s="23" t="e">
        <f t="shared" ref="AR197" ca="1" si="1680">AQ156-AR156</f>
        <v>#NAME?</v>
      </c>
      <c r="AS197" s="23" t="e">
        <f t="shared" ref="AS197" ca="1" si="1681">AR156-AS156</f>
        <v>#NAME?</v>
      </c>
      <c r="AT197" s="23" t="e">
        <f t="shared" ref="AT197" ca="1" si="1682">AS156-AT156</f>
        <v>#NAME?</v>
      </c>
      <c r="AU197" s="23" t="e">
        <f t="shared" ref="AU197" ca="1" si="1683">AT156-AU156</f>
        <v>#NAME?</v>
      </c>
      <c r="AV197" s="23" t="e">
        <f t="shared" ref="AV197" ca="1" si="1684">AU156-AV156</f>
        <v>#NAME?</v>
      </c>
      <c r="AW197" s="23" t="e">
        <f t="shared" ref="AW197" ca="1" si="1685">AV156-AW156</f>
        <v>#NAME?</v>
      </c>
      <c r="AX197" s="23" t="e">
        <f t="shared" ref="AX197" ca="1" si="1686">AW156-AX156</f>
        <v>#NAME?</v>
      </c>
      <c r="AY197" s="23" t="e">
        <f t="shared" ref="AY197" ca="1" si="1687">AX156-AY156</f>
        <v>#NAME?</v>
      </c>
      <c r="AZ197" s="23" t="e">
        <f t="shared" ref="AZ197" ca="1" si="1688">AY156-AZ156</f>
        <v>#NAME?</v>
      </c>
      <c r="BA197" s="23" t="e">
        <f t="shared" ref="BA197" ca="1" si="1689">AZ156-BA156</f>
        <v>#NAME?</v>
      </c>
      <c r="BB197" s="23" t="e">
        <f t="shared" ref="BB197" ca="1" si="1690">BA156-BB156</f>
        <v>#NAME?</v>
      </c>
      <c r="BC197" s="23" t="e">
        <f t="shared" ref="BC197" ca="1" si="1691">BB156-BC156</f>
        <v>#NAME?</v>
      </c>
      <c r="BD197" s="23" t="e">
        <f t="shared" ref="BD197" ca="1" si="1692">BC156-BD156</f>
        <v>#NAME?</v>
      </c>
      <c r="BE197" s="23" t="e">
        <f t="shared" ref="BE197" ca="1" si="1693">BD156-BE156</f>
        <v>#NAME?</v>
      </c>
      <c r="BF197" s="23" t="e">
        <f t="shared" ref="BF197" ca="1" si="1694">BE156-BF156</f>
        <v>#NAME?</v>
      </c>
      <c r="BG197" s="23" t="e">
        <f t="shared" ref="BG197" ca="1" si="1695">BF156-BG156</f>
        <v>#NAME?</v>
      </c>
      <c r="BH197" s="23" t="e">
        <f t="shared" ref="BH197" ca="1" si="1696">BG156-BH156</f>
        <v>#NAME?</v>
      </c>
      <c r="BI197" s="23" t="e">
        <f t="shared" ref="BI197" ca="1" si="1697">BH156-BI156</f>
        <v>#NAME?</v>
      </c>
      <c r="BJ197" s="23" t="e">
        <f t="shared" ref="BJ197" ca="1" si="1698">BI156-BJ156</f>
        <v>#NAME?</v>
      </c>
      <c r="BK197" s="23" t="e">
        <f t="shared" ref="BK197" ca="1" si="1699">BJ156-BK156</f>
        <v>#NAME?</v>
      </c>
      <c r="BL197" s="23" t="e">
        <f t="shared" ref="BL197" ca="1" si="1700">BK156-BL156</f>
        <v>#NAME?</v>
      </c>
      <c r="BM197" s="23" t="e">
        <f t="shared" ref="BM197" ca="1" si="1701">BL156-BM156</f>
        <v>#NAME?</v>
      </c>
      <c r="BN197" s="23" t="e">
        <f t="shared" ref="BN197" ca="1" si="1702">BM156-BN156</f>
        <v>#NAME?</v>
      </c>
      <c r="BO197" s="23" t="e">
        <f t="shared" ref="BO197" ca="1" si="1703">BN156-BO156</f>
        <v>#NAME?</v>
      </c>
      <c r="BP197" s="23" t="e">
        <f t="shared" ref="BP197" ca="1" si="1704">BO156-BP156</f>
        <v>#NAME?</v>
      </c>
      <c r="BQ197" s="23" t="e">
        <f t="shared" ref="BQ197" ca="1" si="1705">BP156-BQ156</f>
        <v>#NAME?</v>
      </c>
      <c r="BR197" s="23" t="e">
        <f t="shared" ref="BR197" ca="1" si="1706">BQ156-BR156</f>
        <v>#NAME?</v>
      </c>
      <c r="BS197" s="23" t="e">
        <f t="shared" ref="BS197" ca="1" si="1707">BR156-BS156</f>
        <v>#NAME?</v>
      </c>
      <c r="BT197" s="23" t="e">
        <f t="shared" ref="BT197" ca="1" si="1708">BS156-BT156</f>
        <v>#NAME?</v>
      </c>
      <c r="BU197" s="23" t="e">
        <f t="shared" ref="BU197" ca="1" si="1709">BT156-BU156</f>
        <v>#NAME?</v>
      </c>
      <c r="BV197" s="23" t="e">
        <f t="shared" ref="BV197" ca="1" si="1710">BU156-BV156</f>
        <v>#NAME?</v>
      </c>
      <c r="BW197" s="23" t="e">
        <f t="shared" ref="BW197" ca="1" si="1711">BV156-BW156</f>
        <v>#NAME?</v>
      </c>
      <c r="BX197" s="23" t="e">
        <f t="shared" ref="BX197" ca="1" si="1712">BW156-BX156</f>
        <v>#NAME?</v>
      </c>
      <c r="BY197" s="23" t="e">
        <f t="shared" ref="BY197" ca="1" si="1713">BX156-BY156</f>
        <v>#NAME?</v>
      </c>
      <c r="BZ197" s="23" t="e">
        <f t="shared" ref="BZ197" ca="1" si="1714">BY156-BZ156</f>
        <v>#NAME?</v>
      </c>
      <c r="CA197" s="23" t="e">
        <f t="shared" ref="CA197" ca="1" si="1715">BZ156-CA156</f>
        <v>#NAME?</v>
      </c>
      <c r="CB197" s="23" t="e">
        <f t="shared" ref="CB197" ca="1" si="1716">CA156-CB156</f>
        <v>#NAME?</v>
      </c>
      <c r="CC197" s="23" t="e">
        <f t="shared" ref="CC197" ca="1" si="1717">CB156-CC156</f>
        <v>#NAME?</v>
      </c>
      <c r="CD197" s="23" t="e">
        <f t="shared" ref="CD197" ca="1" si="1718">CC156-CD156</f>
        <v>#NAME?</v>
      </c>
      <c r="CE197" s="23" t="e">
        <f t="shared" ref="CE197" ca="1" si="1719">CD156-CE156</f>
        <v>#NAME?</v>
      </c>
      <c r="CF197" s="23" t="e">
        <f t="shared" ref="CF197" ca="1" si="1720">CE156-CF156</f>
        <v>#NAME?</v>
      </c>
      <c r="CG197" s="23" t="e">
        <f t="shared" ref="CG197" ca="1" si="1721">CF156-CG156</f>
        <v>#NAME?</v>
      </c>
      <c r="CH197" s="23" t="e">
        <f t="shared" ref="CH197:CJ197" ca="1" si="1722">CG156-CH156</f>
        <v>#NAME?</v>
      </c>
      <c r="CI197" s="23" t="e">
        <f t="shared" ca="1" si="1722"/>
        <v>#NAME?</v>
      </c>
      <c r="CJ197" s="23" t="e">
        <f t="shared" ca="1" si="1722"/>
        <v>#NAME?</v>
      </c>
      <c r="CK197" s="23" t="e">
        <f t="shared" ref="CK197" ca="1" si="1723">CJ156-CK156</f>
        <v>#NAME?</v>
      </c>
      <c r="CL197" s="23" t="e">
        <f t="shared" ref="CL197" ca="1" si="1724">CK156-CL156</f>
        <v>#NAME?</v>
      </c>
      <c r="CM197" s="24" t="e">
        <f t="shared" ref="CM197" ca="1" si="1725">CL156-CM156</f>
        <v>#NAME?</v>
      </c>
      <c r="CN197" s="24" t="e">
        <f t="shared" ref="CN197" ca="1" si="1726">CM156-CN156</f>
        <v>#NAME?</v>
      </c>
      <c r="CO197" s="24" t="e">
        <f t="shared" ref="CO197" ca="1" si="1727">CN156-CO156</f>
        <v>#NAME?</v>
      </c>
      <c r="CP197" s="24" t="e">
        <f t="shared" ref="CP197" ca="1" si="1728">CO156-CP156</f>
        <v>#NAME?</v>
      </c>
      <c r="CQ197" s="24" t="e">
        <f t="shared" ref="CQ197" ca="1" si="1729">CP156-CQ156</f>
        <v>#NAME?</v>
      </c>
      <c r="CR197" s="24" t="e">
        <f t="shared" ref="CR197" ca="1" si="1730">CQ156-CR156</f>
        <v>#NAME?</v>
      </c>
      <c r="CS197" s="24" t="e">
        <f t="shared" ref="CS197" ca="1" si="1731">CR156-CS156</f>
        <v>#NAME?</v>
      </c>
      <c r="CT197" s="24" t="e">
        <f t="shared" ref="CT197" ca="1" si="1732">CS156-CT156</f>
        <v>#NAME?</v>
      </c>
      <c r="CU197" s="24" t="e">
        <f t="shared" ref="CU197" ca="1" si="1733">CT156-CU156</f>
        <v>#NAME?</v>
      </c>
      <c r="CV197" s="24" t="e">
        <f t="shared" ref="CV197" ca="1" si="1734">CU156-CV156</f>
        <v>#NAME?</v>
      </c>
      <c r="CW197" s="24" t="e">
        <f t="shared" ref="CW197" ca="1" si="1735">CV156-CW156</f>
        <v>#NAME?</v>
      </c>
      <c r="CX197" s="24" t="e">
        <f t="shared" ref="CX197" ca="1" si="1736">CW156-CX156</f>
        <v>#NAME?</v>
      </c>
      <c r="CY197" s="24" t="e">
        <f t="shared" ref="CY197" ca="1" si="1737">CX156-CY156</f>
        <v>#NAME?</v>
      </c>
      <c r="CZ197" s="24" t="e">
        <f t="shared" ref="CZ197" ca="1" si="1738">CY156-CZ156</f>
        <v>#NAME?</v>
      </c>
      <c r="DA197" s="24" t="e">
        <f t="shared" ref="DA197" ca="1" si="1739">CZ156-DA156</f>
        <v>#NAME?</v>
      </c>
      <c r="DB197" s="24" t="e">
        <f t="shared" ref="DB197" ca="1" si="1740">DA156-DB156</f>
        <v>#NAME?</v>
      </c>
      <c r="DE197" s="123"/>
      <c r="DF197" s="23">
        <v>-537.13999999999942</v>
      </c>
    </row>
    <row r="198" spans="1:110" s="22" customFormat="1" x14ac:dyDescent="0.2">
      <c r="A198" s="22" t="s">
        <v>90</v>
      </c>
      <c r="C198" s="22" t="e">
        <f t="shared" ref="C198:W198" ca="1" si="1741">C196-C197</f>
        <v>#NAME?</v>
      </c>
      <c r="D198" s="22" t="e">
        <f t="shared" ca="1" si="1741"/>
        <v>#NAME?</v>
      </c>
      <c r="E198" s="22" t="e">
        <f t="shared" ca="1" si="1741"/>
        <v>#NAME?</v>
      </c>
      <c r="F198" s="22" t="e">
        <f t="shared" ca="1" si="1741"/>
        <v>#NAME?</v>
      </c>
      <c r="G198" s="22" t="e">
        <f t="shared" ca="1" si="1741"/>
        <v>#NAME?</v>
      </c>
      <c r="H198" s="22" t="e">
        <f t="shared" ca="1" si="1741"/>
        <v>#NAME?</v>
      </c>
      <c r="I198" s="22" t="e">
        <f t="shared" ca="1" si="1741"/>
        <v>#NAME?</v>
      </c>
      <c r="J198" s="22" t="e">
        <f ca="1">J196-J197</f>
        <v>#NAME?</v>
      </c>
      <c r="K198" s="22" t="e">
        <f t="shared" ca="1" si="1741"/>
        <v>#NAME?</v>
      </c>
      <c r="L198" s="22" t="e">
        <f t="shared" ca="1" si="1741"/>
        <v>#NAME?</v>
      </c>
      <c r="M198" s="22" t="e">
        <f t="shared" ca="1" si="1741"/>
        <v>#NAME?</v>
      </c>
      <c r="N198" s="22" t="e">
        <f t="shared" ca="1" si="1741"/>
        <v>#NAME?</v>
      </c>
      <c r="O198" s="22" t="e">
        <f t="shared" ca="1" si="1741"/>
        <v>#NAME?</v>
      </c>
      <c r="P198" s="22" t="e">
        <f t="shared" ca="1" si="1741"/>
        <v>#NAME?</v>
      </c>
      <c r="Q198" s="22" t="e">
        <f t="shared" ca="1" si="1741"/>
        <v>#NAME?</v>
      </c>
      <c r="R198" s="22" t="e">
        <f t="shared" ca="1" si="1741"/>
        <v>#NAME?</v>
      </c>
      <c r="S198" s="22" t="e">
        <f t="shared" ca="1" si="1741"/>
        <v>#NAME?</v>
      </c>
      <c r="T198" s="22" t="e">
        <f t="shared" ca="1" si="1741"/>
        <v>#NAME?</v>
      </c>
      <c r="U198" s="22" t="e">
        <f t="shared" ca="1" si="1741"/>
        <v>#NAME?</v>
      </c>
      <c r="V198" s="22" t="e">
        <f t="shared" ca="1" si="1741"/>
        <v>#NAME?</v>
      </c>
      <c r="W198" s="22" t="e">
        <f t="shared" ca="1" si="1741"/>
        <v>#NAME?</v>
      </c>
      <c r="X198" s="22" t="e">
        <f t="shared" ref="X198:Y198" ca="1" si="1742">X196-X197</f>
        <v>#NAME?</v>
      </c>
      <c r="Y198" s="22" t="e">
        <f t="shared" ca="1" si="1742"/>
        <v>#NAME?</v>
      </c>
      <c r="Z198" s="22" t="e">
        <f t="shared" ref="Z198:AA198" ca="1" si="1743">Z196-Z197</f>
        <v>#NAME?</v>
      </c>
      <c r="AA198" s="22" t="e">
        <f t="shared" ca="1" si="1743"/>
        <v>#NAME?</v>
      </c>
      <c r="AB198" s="21" t="e">
        <f t="shared" ref="AA198:AD198" ca="1" si="1744">AB196-AB197</f>
        <v>#NAME?</v>
      </c>
      <c r="AC198" s="21" t="e">
        <f t="shared" ca="1" si="1744"/>
        <v>#NAME?</v>
      </c>
      <c r="AD198" s="21" t="e">
        <f t="shared" ca="1" si="1744"/>
        <v>#NAME?</v>
      </c>
      <c r="AE198" s="21" t="e">
        <f t="shared" ref="AE198" ca="1" si="1745">AE196-AE197</f>
        <v>#NAME?</v>
      </c>
      <c r="AI198" s="22" t="e">
        <f t="shared" ref="AI198" ca="1" si="1746">AI196-AI197</f>
        <v>#NAME?</v>
      </c>
      <c r="AJ198" s="22" t="e">
        <f t="shared" ref="AJ198:AL198" ca="1" si="1747">AJ196-AJ197</f>
        <v>#NAME?</v>
      </c>
      <c r="AK198" s="22" t="e">
        <f t="shared" ca="1" si="1747"/>
        <v>#NAME?</v>
      </c>
      <c r="AL198" s="22" t="e">
        <f t="shared" ca="1" si="1747"/>
        <v>#NAME?</v>
      </c>
      <c r="AM198" s="22" t="e">
        <f t="shared" ref="AM198" ca="1" si="1748">AM196-AM197</f>
        <v>#NAME?</v>
      </c>
      <c r="AN198" s="22" t="e">
        <f t="shared" ref="AN198:CD198" ca="1" si="1749">AN196-AN197</f>
        <v>#NAME?</v>
      </c>
      <c r="AO198" s="22" t="e">
        <f t="shared" ca="1" si="1749"/>
        <v>#NAME?</v>
      </c>
      <c r="AP198" s="22" t="e">
        <f t="shared" ca="1" si="1749"/>
        <v>#NAME?</v>
      </c>
      <c r="AQ198" s="22" t="e">
        <f t="shared" ca="1" si="1749"/>
        <v>#NAME?</v>
      </c>
      <c r="AR198" s="22" t="e">
        <f t="shared" ca="1" si="1749"/>
        <v>#NAME?</v>
      </c>
      <c r="AS198" s="22" t="e">
        <f t="shared" ca="1" si="1749"/>
        <v>#NAME?</v>
      </c>
      <c r="AT198" s="22" t="e">
        <f t="shared" ca="1" si="1749"/>
        <v>#NAME?</v>
      </c>
      <c r="AU198" s="22" t="e">
        <f t="shared" ca="1" si="1749"/>
        <v>#NAME?</v>
      </c>
      <c r="AV198" s="22" t="e">
        <f t="shared" ca="1" si="1749"/>
        <v>#NAME?</v>
      </c>
      <c r="AW198" s="22" t="e">
        <f t="shared" ca="1" si="1749"/>
        <v>#NAME?</v>
      </c>
      <c r="AX198" s="22" t="e">
        <f t="shared" ca="1" si="1749"/>
        <v>#NAME?</v>
      </c>
      <c r="AY198" s="22" t="e">
        <f t="shared" ca="1" si="1749"/>
        <v>#NAME?</v>
      </c>
      <c r="AZ198" s="22" t="e">
        <f t="shared" ca="1" si="1749"/>
        <v>#NAME?</v>
      </c>
      <c r="BA198" s="22" t="e">
        <f t="shared" ca="1" si="1749"/>
        <v>#NAME?</v>
      </c>
      <c r="BB198" s="22" t="e">
        <f t="shared" ca="1" si="1749"/>
        <v>#NAME?</v>
      </c>
      <c r="BC198" s="22" t="e">
        <f t="shared" ca="1" si="1749"/>
        <v>#NAME?</v>
      </c>
      <c r="BD198" s="22" t="e">
        <f t="shared" ca="1" si="1749"/>
        <v>#NAME?</v>
      </c>
      <c r="BE198" s="22" t="e">
        <f t="shared" ca="1" si="1749"/>
        <v>#NAME?</v>
      </c>
      <c r="BF198" s="22" t="e">
        <f t="shared" ca="1" si="1749"/>
        <v>#NAME?</v>
      </c>
      <c r="BG198" s="22" t="e">
        <f t="shared" ca="1" si="1749"/>
        <v>#NAME?</v>
      </c>
      <c r="BH198" s="22" t="e">
        <f t="shared" ca="1" si="1749"/>
        <v>#NAME?</v>
      </c>
      <c r="BI198" s="22" t="e">
        <f t="shared" ca="1" si="1749"/>
        <v>#NAME?</v>
      </c>
      <c r="BJ198" s="22" t="e">
        <f t="shared" ca="1" si="1749"/>
        <v>#NAME?</v>
      </c>
      <c r="BK198" s="22" t="e">
        <f t="shared" ca="1" si="1749"/>
        <v>#NAME?</v>
      </c>
      <c r="BL198" s="22" t="e">
        <f t="shared" ca="1" si="1749"/>
        <v>#NAME?</v>
      </c>
      <c r="BM198" s="22" t="e">
        <f t="shared" ca="1" si="1749"/>
        <v>#NAME?</v>
      </c>
      <c r="BN198" s="22" t="e">
        <f t="shared" ca="1" si="1749"/>
        <v>#NAME?</v>
      </c>
      <c r="BO198" s="22" t="e">
        <f t="shared" ca="1" si="1749"/>
        <v>#NAME?</v>
      </c>
      <c r="BP198" s="22" t="e">
        <f t="shared" ca="1" si="1749"/>
        <v>#NAME?</v>
      </c>
      <c r="BQ198" s="22" t="e">
        <f t="shared" ca="1" si="1749"/>
        <v>#NAME?</v>
      </c>
      <c r="BR198" s="22" t="e">
        <f t="shared" ca="1" si="1749"/>
        <v>#NAME?</v>
      </c>
      <c r="BS198" s="22" t="e">
        <f t="shared" ca="1" si="1749"/>
        <v>#NAME?</v>
      </c>
      <c r="BT198" s="22" t="e">
        <f t="shared" ca="1" si="1749"/>
        <v>#NAME?</v>
      </c>
      <c r="BU198" s="22" t="e">
        <f t="shared" ca="1" si="1749"/>
        <v>#NAME?</v>
      </c>
      <c r="BV198" s="22" t="e">
        <f t="shared" ca="1" si="1749"/>
        <v>#NAME?</v>
      </c>
      <c r="BW198" s="22" t="e">
        <f t="shared" ca="1" si="1749"/>
        <v>#NAME?</v>
      </c>
      <c r="BX198" s="22" t="e">
        <f t="shared" ca="1" si="1749"/>
        <v>#NAME?</v>
      </c>
      <c r="BY198" s="22" t="e">
        <f t="shared" ca="1" si="1749"/>
        <v>#NAME?</v>
      </c>
      <c r="BZ198" s="22" t="e">
        <f t="shared" ca="1" si="1749"/>
        <v>#NAME?</v>
      </c>
      <c r="CA198" s="22" t="e">
        <f t="shared" ca="1" si="1749"/>
        <v>#NAME?</v>
      </c>
      <c r="CB198" s="22" t="e">
        <f t="shared" ca="1" si="1749"/>
        <v>#NAME?</v>
      </c>
      <c r="CC198" s="22" t="e">
        <f t="shared" ca="1" si="1749"/>
        <v>#NAME?</v>
      </c>
      <c r="CD198" s="22" t="e">
        <f t="shared" ca="1" si="1749"/>
        <v>#NAME?</v>
      </c>
      <c r="CE198" s="22" t="e">
        <f t="shared" ref="CE198:CF198" ca="1" si="1750">CE196-CE197</f>
        <v>#NAME?</v>
      </c>
      <c r="CF198" s="22" t="e">
        <f t="shared" ca="1" si="1750"/>
        <v>#NAME?</v>
      </c>
      <c r="CG198" s="22" t="e">
        <f t="shared" ref="CG198:CH198" ca="1" si="1751">CG196-CG197</f>
        <v>#NAME?</v>
      </c>
      <c r="CH198" s="22" t="e">
        <f t="shared" ca="1" si="1751"/>
        <v>#NAME?</v>
      </c>
      <c r="CI198" s="22" t="e">
        <f t="shared" ref="CI198:CJ198" ca="1" si="1752">CI196-CI197</f>
        <v>#NAME?</v>
      </c>
      <c r="CJ198" s="22" t="e">
        <f t="shared" ca="1" si="1752"/>
        <v>#NAME?</v>
      </c>
      <c r="CK198" s="22" t="e">
        <f t="shared" ref="CK198:DB198" ca="1" si="1753">CK196-CK197</f>
        <v>#NAME?</v>
      </c>
      <c r="CL198" s="22" t="e">
        <f t="shared" ca="1" si="1753"/>
        <v>#NAME?</v>
      </c>
      <c r="CM198" s="21" t="e">
        <f t="shared" ca="1" si="1753"/>
        <v>#NAME?</v>
      </c>
      <c r="CN198" s="21" t="e">
        <f t="shared" ca="1" si="1753"/>
        <v>#NAME?</v>
      </c>
      <c r="CO198" s="21" t="e">
        <f t="shared" ca="1" si="1753"/>
        <v>#NAME?</v>
      </c>
      <c r="CP198" s="21" t="e">
        <f t="shared" ca="1" si="1753"/>
        <v>#NAME?</v>
      </c>
      <c r="CQ198" s="21" t="e">
        <f t="shared" ca="1" si="1753"/>
        <v>#NAME?</v>
      </c>
      <c r="CR198" s="21" t="e">
        <f t="shared" ca="1" si="1753"/>
        <v>#NAME?</v>
      </c>
      <c r="CS198" s="21" t="e">
        <f t="shared" ca="1" si="1753"/>
        <v>#NAME?</v>
      </c>
      <c r="CT198" s="21" t="e">
        <f t="shared" ca="1" si="1753"/>
        <v>#NAME?</v>
      </c>
      <c r="CU198" s="21" t="e">
        <f t="shared" ca="1" si="1753"/>
        <v>#NAME?</v>
      </c>
      <c r="CV198" s="21" t="e">
        <f t="shared" ca="1" si="1753"/>
        <v>#NAME?</v>
      </c>
      <c r="CW198" s="21" t="e">
        <f t="shared" ca="1" si="1753"/>
        <v>#NAME?</v>
      </c>
      <c r="CX198" s="21" t="e">
        <f t="shared" ca="1" si="1753"/>
        <v>#NAME?</v>
      </c>
      <c r="CY198" s="21" t="e">
        <f t="shared" ca="1" si="1753"/>
        <v>#NAME?</v>
      </c>
      <c r="CZ198" s="21" t="e">
        <f t="shared" ca="1" si="1753"/>
        <v>#NAME?</v>
      </c>
      <c r="DA198" s="21" t="e">
        <f t="shared" ca="1" si="1753"/>
        <v>#NAME?</v>
      </c>
      <c r="DB198" s="21" t="e">
        <f t="shared" ca="1" si="1753"/>
        <v>#NAME?</v>
      </c>
      <c r="DE198" s="126"/>
      <c r="DF198" s="22">
        <v>391.59000000000003</v>
      </c>
    </row>
    <row r="199" spans="1:110" s="22" customFormat="1" x14ac:dyDescent="0.2">
      <c r="A199" s="22" t="s">
        <v>91</v>
      </c>
      <c r="C199" s="22" t="e">
        <f t="shared" ref="C199:W199" ca="1" si="1754">C195+C198</f>
        <v>#NAME?</v>
      </c>
      <c r="D199" s="22" t="e">
        <f ca="1">D195+D198</f>
        <v>#NAME?</v>
      </c>
      <c r="E199" s="22" t="e">
        <f t="shared" ca="1" si="1754"/>
        <v>#NAME?</v>
      </c>
      <c r="F199" s="22" t="e">
        <f t="shared" ca="1" si="1754"/>
        <v>#NAME?</v>
      </c>
      <c r="G199" s="22" t="e">
        <f t="shared" ca="1" si="1754"/>
        <v>#NAME?</v>
      </c>
      <c r="H199" s="22" t="e">
        <f t="shared" ca="1" si="1754"/>
        <v>#NAME?</v>
      </c>
      <c r="I199" s="22" t="e">
        <f t="shared" ca="1" si="1754"/>
        <v>#NAME?</v>
      </c>
      <c r="J199" s="22" t="e">
        <f ca="1">J195+J198</f>
        <v>#NAME?</v>
      </c>
      <c r="K199" s="22" t="e">
        <f t="shared" ca="1" si="1754"/>
        <v>#NAME?</v>
      </c>
      <c r="L199" s="22" t="e">
        <f t="shared" ca="1" si="1754"/>
        <v>#NAME?</v>
      </c>
      <c r="M199" s="22" t="e">
        <f t="shared" ca="1" si="1754"/>
        <v>#NAME?</v>
      </c>
      <c r="N199" s="22" t="e">
        <f t="shared" ca="1" si="1754"/>
        <v>#NAME?</v>
      </c>
      <c r="O199" s="22" t="e">
        <f t="shared" ca="1" si="1754"/>
        <v>#NAME?</v>
      </c>
      <c r="P199" s="22" t="e">
        <f t="shared" ca="1" si="1754"/>
        <v>#NAME?</v>
      </c>
      <c r="Q199" s="22" t="e">
        <f t="shared" ca="1" si="1754"/>
        <v>#NAME?</v>
      </c>
      <c r="R199" s="22" t="e">
        <f t="shared" ca="1" si="1754"/>
        <v>#NAME?</v>
      </c>
      <c r="S199" s="22" t="e">
        <f t="shared" ca="1" si="1754"/>
        <v>#NAME?</v>
      </c>
      <c r="T199" s="22" t="e">
        <f t="shared" ca="1" si="1754"/>
        <v>#NAME?</v>
      </c>
      <c r="U199" s="22" t="e">
        <f t="shared" ca="1" si="1754"/>
        <v>#NAME?</v>
      </c>
      <c r="V199" s="22" t="e">
        <f t="shared" ca="1" si="1754"/>
        <v>#NAME?</v>
      </c>
      <c r="W199" s="22" t="e">
        <f t="shared" ca="1" si="1754"/>
        <v>#NAME?</v>
      </c>
      <c r="X199" s="22" t="e">
        <f t="shared" ref="X199:Y199" ca="1" si="1755">X195+X198</f>
        <v>#NAME?</v>
      </c>
      <c r="Y199" s="22" t="e">
        <f t="shared" ca="1" si="1755"/>
        <v>#NAME?</v>
      </c>
      <c r="Z199" s="22" t="e">
        <f t="shared" ref="Z199:AA199" ca="1" si="1756">Z195+Z198</f>
        <v>#NAME?</v>
      </c>
      <c r="AA199" s="22" t="e">
        <f t="shared" ca="1" si="1756"/>
        <v>#NAME?</v>
      </c>
      <c r="AB199" s="21" t="e">
        <f t="shared" ref="AA199:AD199" ca="1" si="1757">AB195+AB198</f>
        <v>#NAME?</v>
      </c>
      <c r="AC199" s="21" t="e">
        <f t="shared" ca="1" si="1757"/>
        <v>#NAME?</v>
      </c>
      <c r="AD199" s="21" t="e">
        <f t="shared" ca="1" si="1757"/>
        <v>#NAME?</v>
      </c>
      <c r="AE199" s="21" t="e">
        <f t="shared" ref="AE199" ca="1" si="1758">AE195+AE198</f>
        <v>#NAME?</v>
      </c>
      <c r="AI199" s="22" t="e">
        <f t="shared" ref="AI199" ca="1" si="1759">AI195+AI198</f>
        <v>#NAME?</v>
      </c>
      <c r="AJ199" s="22" t="e">
        <f t="shared" ref="AJ199:AL199" ca="1" si="1760">AJ195+AJ198</f>
        <v>#NAME?</v>
      </c>
      <c r="AK199" s="22" t="e">
        <f t="shared" ca="1" si="1760"/>
        <v>#NAME?</v>
      </c>
      <c r="AL199" s="22" t="e">
        <f t="shared" ca="1" si="1760"/>
        <v>#NAME?</v>
      </c>
      <c r="AM199" s="22" t="e">
        <f t="shared" ref="AM199" ca="1" si="1761">AM195+AM198</f>
        <v>#NAME?</v>
      </c>
      <c r="AN199" s="22" t="e">
        <f t="shared" ref="AN199:CD199" ca="1" si="1762">AN195+AN198</f>
        <v>#NAME?</v>
      </c>
      <c r="AO199" s="22" t="e">
        <f t="shared" ca="1" si="1762"/>
        <v>#NAME?</v>
      </c>
      <c r="AP199" s="22" t="e">
        <f t="shared" ca="1" si="1762"/>
        <v>#NAME?</v>
      </c>
      <c r="AQ199" s="22" t="e">
        <f t="shared" ca="1" si="1762"/>
        <v>#NAME?</v>
      </c>
      <c r="AR199" s="22" t="e">
        <f t="shared" ca="1" si="1762"/>
        <v>#NAME?</v>
      </c>
      <c r="AS199" s="22" t="e">
        <f t="shared" ca="1" si="1762"/>
        <v>#NAME?</v>
      </c>
      <c r="AT199" s="22" t="e">
        <f t="shared" ca="1" si="1762"/>
        <v>#NAME?</v>
      </c>
      <c r="AU199" s="22" t="e">
        <f t="shared" ca="1" si="1762"/>
        <v>#NAME?</v>
      </c>
      <c r="AV199" s="22" t="e">
        <f t="shared" ca="1" si="1762"/>
        <v>#NAME?</v>
      </c>
      <c r="AW199" s="22" t="e">
        <f t="shared" ca="1" si="1762"/>
        <v>#NAME?</v>
      </c>
      <c r="AX199" s="22" t="e">
        <f t="shared" ca="1" si="1762"/>
        <v>#NAME?</v>
      </c>
      <c r="AY199" s="22" t="e">
        <f t="shared" ca="1" si="1762"/>
        <v>#NAME?</v>
      </c>
      <c r="AZ199" s="22" t="e">
        <f t="shared" ca="1" si="1762"/>
        <v>#NAME?</v>
      </c>
      <c r="BA199" s="22" t="e">
        <f t="shared" ca="1" si="1762"/>
        <v>#NAME?</v>
      </c>
      <c r="BB199" s="22" t="e">
        <f t="shared" ca="1" si="1762"/>
        <v>#NAME?</v>
      </c>
      <c r="BC199" s="22" t="e">
        <f t="shared" ca="1" si="1762"/>
        <v>#NAME?</v>
      </c>
      <c r="BD199" s="22" t="e">
        <f t="shared" ca="1" si="1762"/>
        <v>#NAME?</v>
      </c>
      <c r="BE199" s="22" t="e">
        <f t="shared" ca="1" si="1762"/>
        <v>#NAME?</v>
      </c>
      <c r="BF199" s="22" t="e">
        <f t="shared" ca="1" si="1762"/>
        <v>#NAME?</v>
      </c>
      <c r="BG199" s="22" t="e">
        <f t="shared" ca="1" si="1762"/>
        <v>#NAME?</v>
      </c>
      <c r="BH199" s="22" t="e">
        <f t="shared" ca="1" si="1762"/>
        <v>#NAME?</v>
      </c>
      <c r="BI199" s="22" t="e">
        <f t="shared" ca="1" si="1762"/>
        <v>#NAME?</v>
      </c>
      <c r="BJ199" s="22" t="e">
        <f t="shared" ca="1" si="1762"/>
        <v>#NAME?</v>
      </c>
      <c r="BK199" s="22" t="e">
        <f t="shared" ca="1" si="1762"/>
        <v>#NAME?</v>
      </c>
      <c r="BL199" s="22" t="e">
        <f t="shared" ca="1" si="1762"/>
        <v>#NAME?</v>
      </c>
      <c r="BM199" s="22" t="e">
        <f t="shared" ca="1" si="1762"/>
        <v>#NAME?</v>
      </c>
      <c r="BN199" s="22" t="e">
        <f t="shared" ca="1" si="1762"/>
        <v>#NAME?</v>
      </c>
      <c r="BO199" s="22" t="e">
        <f t="shared" ca="1" si="1762"/>
        <v>#NAME?</v>
      </c>
      <c r="BP199" s="22" t="e">
        <f t="shared" ca="1" si="1762"/>
        <v>#NAME?</v>
      </c>
      <c r="BQ199" s="22" t="e">
        <f t="shared" ca="1" si="1762"/>
        <v>#NAME?</v>
      </c>
      <c r="BR199" s="22" t="e">
        <f t="shared" ca="1" si="1762"/>
        <v>#NAME?</v>
      </c>
      <c r="BS199" s="22" t="e">
        <f t="shared" ca="1" si="1762"/>
        <v>#NAME?</v>
      </c>
      <c r="BT199" s="22" t="e">
        <f t="shared" ca="1" si="1762"/>
        <v>#NAME?</v>
      </c>
      <c r="BU199" s="22" t="e">
        <f t="shared" ca="1" si="1762"/>
        <v>#NAME?</v>
      </c>
      <c r="BV199" s="22" t="e">
        <f t="shared" ca="1" si="1762"/>
        <v>#NAME?</v>
      </c>
      <c r="BW199" s="22" t="e">
        <f t="shared" ca="1" si="1762"/>
        <v>#NAME?</v>
      </c>
      <c r="BX199" s="22" t="e">
        <f t="shared" ca="1" si="1762"/>
        <v>#NAME?</v>
      </c>
      <c r="BY199" s="22" t="e">
        <f t="shared" ca="1" si="1762"/>
        <v>#NAME?</v>
      </c>
      <c r="BZ199" s="22" t="e">
        <f t="shared" ca="1" si="1762"/>
        <v>#NAME?</v>
      </c>
      <c r="CA199" s="22" t="e">
        <f t="shared" ca="1" si="1762"/>
        <v>#NAME?</v>
      </c>
      <c r="CB199" s="22" t="e">
        <f t="shared" ca="1" si="1762"/>
        <v>#NAME?</v>
      </c>
      <c r="CC199" s="22" t="e">
        <f t="shared" ca="1" si="1762"/>
        <v>#NAME?</v>
      </c>
      <c r="CD199" s="22" t="e">
        <f t="shared" ca="1" si="1762"/>
        <v>#NAME?</v>
      </c>
      <c r="CE199" s="22" t="e">
        <f t="shared" ref="CE199:CF199" ca="1" si="1763">CE195+CE198</f>
        <v>#NAME?</v>
      </c>
      <c r="CF199" s="22" t="e">
        <f t="shared" ca="1" si="1763"/>
        <v>#NAME?</v>
      </c>
      <c r="CG199" s="22" t="e">
        <f t="shared" ref="CG199:CH199" ca="1" si="1764">CG195+CG198</f>
        <v>#NAME?</v>
      </c>
      <c r="CH199" s="22" t="e">
        <f t="shared" ca="1" si="1764"/>
        <v>#NAME?</v>
      </c>
      <c r="CI199" s="22" t="e">
        <f t="shared" ref="CI199:CJ199" ca="1" si="1765">CI195+CI198</f>
        <v>#NAME?</v>
      </c>
      <c r="CJ199" s="22" t="e">
        <f t="shared" ca="1" si="1765"/>
        <v>#NAME?</v>
      </c>
      <c r="CK199" s="22" t="e">
        <f t="shared" ref="CK199:DB199" ca="1" si="1766">CK195+CK198</f>
        <v>#NAME?</v>
      </c>
      <c r="CL199" s="22" t="e">
        <f t="shared" ca="1" si="1766"/>
        <v>#NAME?</v>
      </c>
      <c r="CM199" s="21" t="e">
        <f t="shared" ca="1" si="1766"/>
        <v>#NAME?</v>
      </c>
      <c r="CN199" s="21" t="e">
        <f t="shared" ca="1" si="1766"/>
        <v>#NAME?</v>
      </c>
      <c r="CO199" s="21" t="e">
        <f t="shared" ca="1" si="1766"/>
        <v>#NAME?</v>
      </c>
      <c r="CP199" s="21" t="e">
        <f t="shared" ca="1" si="1766"/>
        <v>#NAME?</v>
      </c>
      <c r="CQ199" s="21" t="e">
        <f t="shared" ca="1" si="1766"/>
        <v>#NAME?</v>
      </c>
      <c r="CR199" s="21" t="e">
        <f t="shared" ca="1" si="1766"/>
        <v>#NAME?</v>
      </c>
      <c r="CS199" s="21" t="e">
        <f t="shared" ca="1" si="1766"/>
        <v>#NAME?</v>
      </c>
      <c r="CT199" s="21" t="e">
        <f t="shared" ca="1" si="1766"/>
        <v>#NAME?</v>
      </c>
      <c r="CU199" s="21" t="e">
        <f t="shared" ca="1" si="1766"/>
        <v>#NAME?</v>
      </c>
      <c r="CV199" s="21" t="e">
        <f t="shared" ca="1" si="1766"/>
        <v>#NAME?</v>
      </c>
      <c r="CW199" s="21" t="e">
        <f t="shared" ca="1" si="1766"/>
        <v>#NAME?</v>
      </c>
      <c r="CX199" s="21" t="e">
        <f t="shared" ca="1" si="1766"/>
        <v>#NAME?</v>
      </c>
      <c r="CY199" s="21" t="e">
        <f t="shared" ca="1" si="1766"/>
        <v>#NAME?</v>
      </c>
      <c r="CZ199" s="21" t="e">
        <f t="shared" ca="1" si="1766"/>
        <v>#NAME?</v>
      </c>
      <c r="DA199" s="21" t="e">
        <f t="shared" ca="1" si="1766"/>
        <v>#NAME?</v>
      </c>
      <c r="DB199" s="21" t="e">
        <f t="shared" ca="1" si="1766"/>
        <v>#NAME?</v>
      </c>
      <c r="DE199" s="126"/>
      <c r="DF199" s="22">
        <v>4589.9000000000005</v>
      </c>
    </row>
    <row r="200" spans="1:110" s="23" customFormat="1" x14ac:dyDescent="0.2"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7">C202+C203</f>
        <v>#NAME?</v>
      </c>
      <c r="D201" s="22" t="e">
        <f ca="1">D202+D203</f>
        <v>#NAME?</v>
      </c>
      <c r="E201" s="22" t="e">
        <f t="shared" ca="1" si="1767"/>
        <v>#NAME?</v>
      </c>
      <c r="F201" s="22" t="e">
        <f t="shared" ca="1" si="1767"/>
        <v>#NAME?</v>
      </c>
      <c r="G201" s="22" t="e">
        <f t="shared" ca="1" si="1767"/>
        <v>#NAME?</v>
      </c>
      <c r="H201" s="22" t="e">
        <f t="shared" ca="1" si="1767"/>
        <v>#NAME?</v>
      </c>
      <c r="I201" s="22" t="e">
        <f t="shared" ca="1" si="1767"/>
        <v>#NAME?</v>
      </c>
      <c r="J201" s="22" t="e">
        <f t="shared" ca="1" si="1767"/>
        <v>#NAME?</v>
      </c>
      <c r="K201" s="22" t="e">
        <f t="shared" ca="1" si="1767"/>
        <v>#NAME?</v>
      </c>
      <c r="L201" s="22" t="e">
        <f t="shared" ca="1" si="1767"/>
        <v>#NAME?</v>
      </c>
      <c r="M201" s="22" t="e">
        <f t="shared" ca="1" si="1767"/>
        <v>#NAME?</v>
      </c>
      <c r="N201" s="22" t="e">
        <f t="shared" ca="1" si="1767"/>
        <v>#NAME?</v>
      </c>
      <c r="O201" s="22" t="e">
        <f t="shared" ca="1" si="1767"/>
        <v>#NAME?</v>
      </c>
      <c r="P201" s="22" t="e">
        <f t="shared" ca="1" si="1767"/>
        <v>#NAME?</v>
      </c>
      <c r="Q201" s="22" t="e">
        <f t="shared" ca="1" si="1767"/>
        <v>#NAME?</v>
      </c>
      <c r="R201" s="22" t="e">
        <f t="shared" ca="1" si="1767"/>
        <v>#NAME?</v>
      </c>
      <c r="S201" s="22" t="e">
        <f t="shared" ca="1" si="1767"/>
        <v>#NAME?</v>
      </c>
      <c r="T201" s="22" t="e">
        <f t="shared" ca="1" si="1767"/>
        <v>#NAME?</v>
      </c>
      <c r="U201" s="22" t="e">
        <f t="shared" ca="1" si="1767"/>
        <v>#NAME?</v>
      </c>
      <c r="V201" s="22" t="e">
        <f t="shared" ca="1" si="1767"/>
        <v>#NAME?</v>
      </c>
      <c r="W201" s="22" t="e">
        <f t="shared" ca="1" si="1767"/>
        <v>#NAME?</v>
      </c>
      <c r="X201" s="22" t="e">
        <f t="shared" ref="X201:Y201" ca="1" si="1768">X202+X203</f>
        <v>#NAME?</v>
      </c>
      <c r="Y201" s="22" t="e">
        <f t="shared" ca="1" si="1768"/>
        <v>#NAME?</v>
      </c>
      <c r="Z201" s="22" t="e">
        <f t="shared" ref="Z201:AA201" ca="1" si="1769">Z202+Z203</f>
        <v>#NAME?</v>
      </c>
      <c r="AA201" s="22" t="e">
        <f t="shared" ca="1" si="1769"/>
        <v>#NAME?</v>
      </c>
      <c r="AB201" s="21" t="e">
        <f t="shared" ref="AA201:AD201" ca="1" si="1770">AB202+AB203</f>
        <v>#NAME?</v>
      </c>
      <c r="AC201" s="21" t="e">
        <f t="shared" ca="1" si="1770"/>
        <v>#NAME?</v>
      </c>
      <c r="AD201" s="21" t="e">
        <f t="shared" ca="1" si="1770"/>
        <v>#NAME?</v>
      </c>
      <c r="AE201" s="21" t="e">
        <f t="shared" ref="AE201" ca="1" si="1771">AE202+AE203</f>
        <v>#NAME?</v>
      </c>
      <c r="AI201" s="22" t="e">
        <f t="shared" ref="AI201" ca="1" si="1772">AI202+AI203</f>
        <v>#NAME?</v>
      </c>
      <c r="AJ201" s="22" t="e">
        <f t="shared" ref="AJ201:AL201" ca="1" si="1773">AJ202+AJ203</f>
        <v>#NAME?</v>
      </c>
      <c r="AK201" s="22" t="e">
        <f t="shared" ca="1" si="1773"/>
        <v>#NAME?</v>
      </c>
      <c r="AL201" s="22" t="e">
        <f t="shared" ca="1" si="1773"/>
        <v>#NAME?</v>
      </c>
      <c r="AM201" s="22" t="e">
        <f t="shared" ref="AM201" ca="1" si="1774">AM202+AM203</f>
        <v>#NAME?</v>
      </c>
      <c r="AN201" s="22" t="e">
        <f t="shared" ref="AN201:CD201" ca="1" si="1775">AN202+AN203</f>
        <v>#NAME?</v>
      </c>
      <c r="AO201" s="22" t="e">
        <f t="shared" ca="1" si="1775"/>
        <v>#NAME?</v>
      </c>
      <c r="AP201" s="22" t="e">
        <f t="shared" ca="1" si="1775"/>
        <v>#NAME?</v>
      </c>
      <c r="AQ201" s="22" t="e">
        <f t="shared" ca="1" si="1775"/>
        <v>#NAME?</v>
      </c>
      <c r="AR201" s="22" t="e">
        <f t="shared" ca="1" si="1775"/>
        <v>#NAME?</v>
      </c>
      <c r="AS201" s="22" t="e">
        <f t="shared" ca="1" si="1775"/>
        <v>#NAME?</v>
      </c>
      <c r="AT201" s="22" t="e">
        <f t="shared" ca="1" si="1775"/>
        <v>#NAME?</v>
      </c>
      <c r="AU201" s="22" t="e">
        <f t="shared" ca="1" si="1775"/>
        <v>#NAME?</v>
      </c>
      <c r="AV201" s="22" t="e">
        <f t="shared" ca="1" si="1775"/>
        <v>#NAME?</v>
      </c>
      <c r="AW201" s="22" t="e">
        <f t="shared" ca="1" si="1775"/>
        <v>#NAME?</v>
      </c>
      <c r="AX201" s="22" t="e">
        <f t="shared" ca="1" si="1775"/>
        <v>#NAME?</v>
      </c>
      <c r="AY201" s="22" t="e">
        <f t="shared" ca="1" si="1775"/>
        <v>#NAME?</v>
      </c>
      <c r="AZ201" s="22" t="e">
        <f t="shared" ca="1" si="1775"/>
        <v>#NAME?</v>
      </c>
      <c r="BA201" s="22" t="e">
        <f t="shared" ca="1" si="1775"/>
        <v>#NAME?</v>
      </c>
      <c r="BB201" s="22" t="e">
        <f t="shared" ca="1" si="1775"/>
        <v>#NAME?</v>
      </c>
      <c r="BC201" s="22" t="e">
        <f t="shared" ca="1" si="1775"/>
        <v>#NAME?</v>
      </c>
      <c r="BD201" s="22" t="e">
        <f t="shared" ca="1" si="1775"/>
        <v>#NAME?</v>
      </c>
      <c r="BE201" s="22" t="e">
        <f t="shared" ca="1" si="1775"/>
        <v>#NAME?</v>
      </c>
      <c r="BF201" s="22" t="e">
        <f t="shared" ca="1" si="1775"/>
        <v>#NAME?</v>
      </c>
      <c r="BG201" s="22" t="e">
        <f t="shared" ca="1" si="1775"/>
        <v>#NAME?</v>
      </c>
      <c r="BH201" s="22" t="e">
        <f t="shared" ca="1" si="1775"/>
        <v>#NAME?</v>
      </c>
      <c r="BI201" s="22" t="e">
        <f t="shared" ca="1" si="1775"/>
        <v>#NAME?</v>
      </c>
      <c r="BJ201" s="22" t="e">
        <f t="shared" ca="1" si="1775"/>
        <v>#NAME?</v>
      </c>
      <c r="BK201" s="22" t="e">
        <f t="shared" ca="1" si="1775"/>
        <v>#NAME?</v>
      </c>
      <c r="BL201" s="22" t="e">
        <f t="shared" ca="1" si="1775"/>
        <v>#NAME?</v>
      </c>
      <c r="BM201" s="22" t="e">
        <f t="shared" ca="1" si="1775"/>
        <v>#NAME?</v>
      </c>
      <c r="BN201" s="22" t="e">
        <f t="shared" ca="1" si="1775"/>
        <v>#NAME?</v>
      </c>
      <c r="BO201" s="22" t="e">
        <f t="shared" ca="1" si="1775"/>
        <v>#NAME?</v>
      </c>
      <c r="BP201" s="22" t="e">
        <f t="shared" ca="1" si="1775"/>
        <v>#NAME?</v>
      </c>
      <c r="BQ201" s="22" t="e">
        <f t="shared" ca="1" si="1775"/>
        <v>#NAME?</v>
      </c>
      <c r="BR201" s="22" t="e">
        <f t="shared" ca="1" si="1775"/>
        <v>#NAME?</v>
      </c>
      <c r="BS201" s="22" t="e">
        <f t="shared" ca="1" si="1775"/>
        <v>#NAME?</v>
      </c>
      <c r="BT201" s="22" t="e">
        <f t="shared" ca="1" si="1775"/>
        <v>#NAME?</v>
      </c>
      <c r="BU201" s="22" t="e">
        <f t="shared" ca="1" si="1775"/>
        <v>#NAME?</v>
      </c>
      <c r="BV201" s="22" t="e">
        <f t="shared" ca="1" si="1775"/>
        <v>#NAME?</v>
      </c>
      <c r="BW201" s="22" t="e">
        <f t="shared" ca="1" si="1775"/>
        <v>#NAME?</v>
      </c>
      <c r="BX201" s="22" t="e">
        <f t="shared" ca="1" si="1775"/>
        <v>#NAME?</v>
      </c>
      <c r="BY201" s="22" t="e">
        <f t="shared" ca="1" si="1775"/>
        <v>#NAME?</v>
      </c>
      <c r="BZ201" s="22" t="e">
        <f t="shared" ca="1" si="1775"/>
        <v>#NAME?</v>
      </c>
      <c r="CA201" s="22" t="e">
        <f t="shared" ca="1" si="1775"/>
        <v>#NAME?</v>
      </c>
      <c r="CB201" s="22" t="e">
        <f t="shared" ca="1" si="1775"/>
        <v>#NAME?</v>
      </c>
      <c r="CC201" s="22" t="e">
        <f t="shared" ca="1" si="1775"/>
        <v>#NAME?</v>
      </c>
      <c r="CD201" s="22" t="e">
        <f t="shared" ca="1" si="1775"/>
        <v>#NAME?</v>
      </c>
      <c r="CE201" s="22" t="e">
        <f t="shared" ref="CE201:CF201" ca="1" si="1776">CE202+CE203</f>
        <v>#NAME?</v>
      </c>
      <c r="CF201" s="22" t="e">
        <f t="shared" ca="1" si="1776"/>
        <v>#NAME?</v>
      </c>
      <c r="CG201" s="22" t="e">
        <f t="shared" ref="CG201:CH201" ca="1" si="1777">CG202+CG203</f>
        <v>#NAME?</v>
      </c>
      <c r="CH201" s="22" t="e">
        <f t="shared" ca="1" si="1777"/>
        <v>#NAME?</v>
      </c>
      <c r="CI201" s="22" t="e">
        <f t="shared" ref="CI201:CJ201" ca="1" si="1778">CI202+CI203</f>
        <v>#NAME?</v>
      </c>
      <c r="CJ201" s="22" t="e">
        <f t="shared" ca="1" si="1778"/>
        <v>#NAME?</v>
      </c>
      <c r="CK201" s="22" t="e">
        <f t="shared" ref="CK201:DB201" ca="1" si="1779">CK202+CK203</f>
        <v>#NAME?</v>
      </c>
      <c r="CL201" s="22" t="e">
        <f t="shared" ca="1" si="1779"/>
        <v>#NAME?</v>
      </c>
      <c r="CM201" s="21" t="e">
        <f t="shared" ca="1" si="1779"/>
        <v>#NAME?</v>
      </c>
      <c r="CN201" s="21" t="e">
        <f t="shared" ca="1" si="1779"/>
        <v>#NAME?</v>
      </c>
      <c r="CO201" s="21" t="e">
        <f t="shared" ca="1" si="1779"/>
        <v>#NAME?</v>
      </c>
      <c r="CP201" s="21" t="e">
        <f t="shared" ca="1" si="1779"/>
        <v>#NAME?</v>
      </c>
      <c r="CQ201" s="21" t="e">
        <f t="shared" ca="1" si="1779"/>
        <v>#NAME?</v>
      </c>
      <c r="CR201" s="21" t="e">
        <f t="shared" ca="1" si="1779"/>
        <v>#NAME?</v>
      </c>
      <c r="CS201" s="21" t="e">
        <f t="shared" ca="1" si="1779"/>
        <v>#NAME?</v>
      </c>
      <c r="CT201" s="21" t="e">
        <f t="shared" ca="1" si="1779"/>
        <v>#NAME?</v>
      </c>
      <c r="CU201" s="21" t="e">
        <f t="shared" ca="1" si="1779"/>
        <v>#NAME?</v>
      </c>
      <c r="CV201" s="21" t="e">
        <f t="shared" ca="1" si="1779"/>
        <v>#NAME?</v>
      </c>
      <c r="CW201" s="21" t="e">
        <f t="shared" ca="1" si="1779"/>
        <v>#NAME?</v>
      </c>
      <c r="CX201" s="21" t="e">
        <f t="shared" ca="1" si="1779"/>
        <v>#NAME?</v>
      </c>
      <c r="CY201" s="21" t="e">
        <f t="shared" ca="1" si="1779"/>
        <v>#NAME?</v>
      </c>
      <c r="CZ201" s="21" t="e">
        <f t="shared" ca="1" si="1779"/>
        <v>#NAME?</v>
      </c>
      <c r="DA201" s="21" t="e">
        <f t="shared" ca="1" si="1779"/>
        <v>#NAME?</v>
      </c>
      <c r="DB201" s="21" t="e">
        <f t="shared" ca="1" si="1779"/>
        <v>#NAME?</v>
      </c>
      <c r="DE201" s="126"/>
      <c r="DF201" s="22">
        <v>-263.4599999999997</v>
      </c>
    </row>
    <row r="202" spans="1:110" s="23" customFormat="1" x14ac:dyDescent="0.2">
      <c r="A202" s="23" t="s">
        <v>93</v>
      </c>
      <c r="C202" s="23" t="e">
        <f t="shared" ref="C202:AA202" ca="1" si="1780">B140-C140</f>
        <v>#NAME?</v>
      </c>
      <c r="D202" s="23" t="e">
        <f t="shared" ca="1" si="1780"/>
        <v>#NAME?</v>
      </c>
      <c r="E202" s="23" t="e">
        <f ca="1">D140-E140</f>
        <v>#NAME?</v>
      </c>
      <c r="F202" s="23" t="e">
        <f t="shared" ca="1" si="1780"/>
        <v>#NAME?</v>
      </c>
      <c r="G202" s="23" t="e">
        <f t="shared" ca="1" si="1780"/>
        <v>#NAME?</v>
      </c>
      <c r="H202" s="23" t="e">
        <f t="shared" ca="1" si="1780"/>
        <v>#NAME?</v>
      </c>
      <c r="I202" s="23" t="e">
        <f t="shared" ca="1" si="1780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0"/>
        <v>#NAME?</v>
      </c>
      <c r="M202" s="23" t="e">
        <f t="shared" ca="1" si="1780"/>
        <v>#NAME?</v>
      </c>
      <c r="N202" s="23" t="e">
        <f t="shared" ca="1" si="1780"/>
        <v>#NAME?</v>
      </c>
      <c r="O202" s="23" t="e">
        <f t="shared" ca="1" si="1780"/>
        <v>#NAME?</v>
      </c>
      <c r="P202" s="23" t="e">
        <f t="shared" ca="1" si="1780"/>
        <v>#NAME?</v>
      </c>
      <c r="Q202" s="23" t="e">
        <f t="shared" ca="1" si="1780"/>
        <v>#NAME?</v>
      </c>
      <c r="R202" s="23" t="e">
        <f t="shared" ca="1" si="1780"/>
        <v>#NAME?</v>
      </c>
      <c r="S202" s="23" t="e">
        <f t="shared" ca="1" si="1780"/>
        <v>#NAME?</v>
      </c>
      <c r="T202" s="23" t="e">
        <f t="shared" ca="1" si="1780"/>
        <v>#NAME?</v>
      </c>
      <c r="U202" s="23" t="e">
        <f t="shared" ca="1" si="1780"/>
        <v>#NAME?</v>
      </c>
      <c r="V202" s="23" t="e">
        <f t="shared" ca="1" si="1780"/>
        <v>#NAME?</v>
      </c>
      <c r="W202" s="23" t="e">
        <f t="shared" ca="1" si="1780"/>
        <v>#NAME?</v>
      </c>
      <c r="X202" s="23" t="e">
        <f t="shared" ca="1" si="1780"/>
        <v>#NAME?</v>
      </c>
      <c r="Y202" s="23" t="e">
        <f t="shared" ca="1" si="1780"/>
        <v>#NAME?</v>
      </c>
      <c r="Z202" s="23" t="e">
        <f t="shared" ca="1" si="1780"/>
        <v>#NAME?</v>
      </c>
      <c r="AA202" s="23" t="e">
        <f t="shared" ca="1" si="1780"/>
        <v>#NAME?</v>
      </c>
      <c r="AB202" s="24" t="e">
        <f t="shared" ref="AB202" ca="1" si="1781">AA140-AB140</f>
        <v>#NAME?</v>
      </c>
      <c r="AC202" s="24" t="e">
        <f t="shared" ref="AC202" ca="1" si="1782">AB140-AC140</f>
        <v>#NAME?</v>
      </c>
      <c r="AD202" s="24" t="e">
        <f t="shared" ref="AD202" ca="1" si="1783">AC140-AD140</f>
        <v>#NAME?</v>
      </c>
      <c r="AE202" s="24" t="e">
        <f t="shared" ref="AE202" ca="1" si="1784">AD140-AE140</f>
        <v>#NAME?</v>
      </c>
      <c r="AI202" s="23">
        <f t="shared" ref="AI202" si="1785">AH140-AI140</f>
        <v>0</v>
      </c>
      <c r="AJ202" s="23" t="e">
        <f t="shared" ref="AJ202" ca="1" si="1786">AI140-AJ140</f>
        <v>#NAME?</v>
      </c>
      <c r="AK202" s="23" t="e">
        <f t="shared" ref="AK202" ca="1" si="1787">AJ140-AK140</f>
        <v>#NAME?</v>
      </c>
      <c r="AL202" s="23" t="e">
        <f t="shared" ref="AL202" ca="1" si="1788">AK140-AL140</f>
        <v>#NAME?</v>
      </c>
      <c r="AM202" s="23" t="e">
        <f t="shared" ref="AM202" ca="1" si="1789">AL140-AM140</f>
        <v>#NAME?</v>
      </c>
      <c r="AN202" s="23" t="e">
        <f t="shared" ref="AN202" ca="1" si="1790">AM140-AN140</f>
        <v>#NAME?</v>
      </c>
      <c r="AO202" s="23" t="e">
        <f t="shared" ref="AO202" ca="1" si="1791">AN140-AO140</f>
        <v>#NAME?</v>
      </c>
      <c r="AP202" s="23" t="e">
        <f t="shared" ref="AP202" ca="1" si="1792">AO140-AP140</f>
        <v>#NAME?</v>
      </c>
      <c r="AQ202" s="23" t="e">
        <f t="shared" ref="AQ202" ca="1" si="1793">AP140-AQ140</f>
        <v>#NAME?</v>
      </c>
      <c r="AR202" s="23" t="e">
        <f t="shared" ref="AR202" ca="1" si="1794">AQ140-AR140</f>
        <v>#NAME?</v>
      </c>
      <c r="AS202" s="23" t="e">
        <f t="shared" ref="AS202" ca="1" si="1795">AR140-AS140</f>
        <v>#NAME?</v>
      </c>
      <c r="AT202" s="23" t="e">
        <f t="shared" ref="AT202" ca="1" si="1796">AS140-AT140</f>
        <v>#NAME?</v>
      </c>
      <c r="AU202" s="23" t="e">
        <f t="shared" ref="AU202" ca="1" si="1797">AT140-AU140</f>
        <v>#NAME?</v>
      </c>
      <c r="AV202" s="23" t="e">
        <f t="shared" ref="AV202" ca="1" si="1798">AU140-AV140</f>
        <v>#NAME?</v>
      </c>
      <c r="AW202" s="23" t="e">
        <f t="shared" ref="AW202" ca="1" si="1799">AV140-AW140</f>
        <v>#NAME?</v>
      </c>
      <c r="AX202" s="23" t="e">
        <f t="shared" ref="AX202" ca="1" si="1800">AW140-AX140</f>
        <v>#NAME?</v>
      </c>
      <c r="AY202" s="23" t="e">
        <f t="shared" ref="AY202" ca="1" si="1801">AX140-AY140</f>
        <v>#NAME?</v>
      </c>
      <c r="AZ202" s="23" t="e">
        <f t="shared" ref="AZ202" ca="1" si="1802">AY140-AZ140</f>
        <v>#NAME?</v>
      </c>
      <c r="BA202" s="23" t="e">
        <f t="shared" ref="BA202" ca="1" si="1803">AZ140-BA140</f>
        <v>#NAME?</v>
      </c>
      <c r="BB202" s="23" t="e">
        <f t="shared" ref="BB202" ca="1" si="1804">BA140-BB140</f>
        <v>#NAME?</v>
      </c>
      <c r="BC202" s="23" t="e">
        <f t="shared" ref="BC202" ca="1" si="1805">BB140-BC140</f>
        <v>#NAME?</v>
      </c>
      <c r="BD202" s="23" t="e">
        <f t="shared" ref="BD202" ca="1" si="1806">BC140-BD140</f>
        <v>#NAME?</v>
      </c>
      <c r="BE202" s="23" t="e">
        <f t="shared" ref="BE202" ca="1" si="1807">BD140-BE140</f>
        <v>#NAME?</v>
      </c>
      <c r="BF202" s="23" t="e">
        <f t="shared" ref="BF202" ca="1" si="1808">BE140-BF140</f>
        <v>#NAME?</v>
      </c>
      <c r="BG202" s="23" t="e">
        <f t="shared" ref="BG202" ca="1" si="1809">BF140-BG140</f>
        <v>#NAME?</v>
      </c>
      <c r="BH202" s="23" t="e">
        <f t="shared" ref="BH202" ca="1" si="1810">BG140-BH140</f>
        <v>#NAME?</v>
      </c>
      <c r="BI202" s="23" t="e">
        <f t="shared" ref="BI202" ca="1" si="1811">BH140-BI140</f>
        <v>#NAME?</v>
      </c>
      <c r="BJ202" s="23" t="e">
        <f t="shared" ref="BJ202" ca="1" si="1812">BI140-BJ140</f>
        <v>#NAME?</v>
      </c>
      <c r="BK202" s="23" t="e">
        <f t="shared" ref="BK202" ca="1" si="1813">BJ140-BK140</f>
        <v>#NAME?</v>
      </c>
      <c r="BL202" s="23" t="e">
        <f t="shared" ref="BL202" ca="1" si="1814">BK140-BL140</f>
        <v>#NAME?</v>
      </c>
      <c r="BM202" s="23" t="e">
        <f t="shared" ref="BM202" ca="1" si="1815">BL140-BM140</f>
        <v>#NAME?</v>
      </c>
      <c r="BN202" s="23" t="e">
        <f t="shared" ref="BN202" ca="1" si="1816">BM140-BN140</f>
        <v>#NAME?</v>
      </c>
      <c r="BO202" s="23" t="e">
        <f t="shared" ref="BO202" ca="1" si="1817">BN140-BO140</f>
        <v>#NAME?</v>
      </c>
      <c r="BP202" s="23" t="e">
        <f t="shared" ref="BP202" ca="1" si="1818">BO140-BP140</f>
        <v>#NAME?</v>
      </c>
      <c r="BQ202" s="23" t="e">
        <f t="shared" ref="BQ202" ca="1" si="1819">BP140-BQ140</f>
        <v>#NAME?</v>
      </c>
      <c r="BR202" s="23" t="e">
        <f t="shared" ref="BR202" ca="1" si="1820">BQ140-BR140</f>
        <v>#NAME?</v>
      </c>
      <c r="BS202" s="23" t="e">
        <f t="shared" ref="BS202" ca="1" si="1821">BR140-BS140</f>
        <v>#NAME?</v>
      </c>
      <c r="BT202" s="23" t="e">
        <f t="shared" ref="BT202" ca="1" si="1822">BS140-BT140</f>
        <v>#NAME?</v>
      </c>
      <c r="BU202" s="23" t="e">
        <f t="shared" ref="BU202" ca="1" si="1823">BT140-BU140</f>
        <v>#NAME?</v>
      </c>
      <c r="BV202" s="23" t="e">
        <f t="shared" ref="BV202" ca="1" si="1824">BU140-BV140</f>
        <v>#NAME?</v>
      </c>
      <c r="BW202" s="23" t="e">
        <f t="shared" ref="BW202" ca="1" si="1825">BV140-BW140</f>
        <v>#NAME?</v>
      </c>
      <c r="BX202" s="23" t="e">
        <f t="shared" ref="BX202" ca="1" si="1826">BW140-BX140</f>
        <v>#NAME?</v>
      </c>
      <c r="BY202" s="23" t="e">
        <f t="shared" ref="BY202" ca="1" si="1827">BX140-BY140</f>
        <v>#NAME?</v>
      </c>
      <c r="BZ202" s="23" t="e">
        <f t="shared" ref="BZ202" ca="1" si="1828">BY140-BZ140</f>
        <v>#NAME?</v>
      </c>
      <c r="CA202" s="23" t="e">
        <f t="shared" ref="CA202" ca="1" si="1829">BZ140-CA140</f>
        <v>#NAME?</v>
      </c>
      <c r="CB202" s="23" t="e">
        <f t="shared" ref="CB202" ca="1" si="1830">CA140-CB140</f>
        <v>#NAME?</v>
      </c>
      <c r="CC202" s="23" t="e">
        <f t="shared" ref="CC202" ca="1" si="1831">CB140-CC140</f>
        <v>#NAME?</v>
      </c>
      <c r="CD202" s="23" t="e">
        <f t="shared" ref="CD202" ca="1" si="1832">CC140-CD140</f>
        <v>#NAME?</v>
      </c>
      <c r="CE202" s="23" t="e">
        <f t="shared" ref="CE202" ca="1" si="1833">CD140-CE140</f>
        <v>#NAME?</v>
      </c>
      <c r="CF202" s="23" t="e">
        <f t="shared" ref="CF202" ca="1" si="1834">CE140-CF140</f>
        <v>#NAME?</v>
      </c>
      <c r="CG202" s="23" t="e">
        <f t="shared" ref="CG202" ca="1" si="1835">CF140-CG140</f>
        <v>#NAME?</v>
      </c>
      <c r="CH202" s="23" t="e">
        <f t="shared" ref="CH202:CJ202" ca="1" si="1836">CG140-CH140</f>
        <v>#NAME?</v>
      </c>
      <c r="CI202" s="23" t="e">
        <f t="shared" ca="1" si="1836"/>
        <v>#NAME?</v>
      </c>
      <c r="CJ202" s="23" t="e">
        <f t="shared" ca="1" si="1836"/>
        <v>#NAME?</v>
      </c>
      <c r="CK202" s="23" t="e">
        <f t="shared" ref="CK202" ca="1" si="1837">CJ140-CK140</f>
        <v>#NAME?</v>
      </c>
      <c r="CL202" s="23" t="e">
        <f t="shared" ref="CL202" ca="1" si="1838">CK140-CL140</f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44.110000000000014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3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-307.56999999999971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2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-3081.2200000000007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J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3" t="e">
        <f t="shared" ref="CK206" ca="1" si="1929">CK128-CJ128</f>
        <v>#NAME?</v>
      </c>
      <c r="CL206" s="23" t="e">
        <f t="shared" ref="CL206" ca="1" si="1930">CL128-CK128</f>
        <v>#NAME?</v>
      </c>
      <c r="CM206" s="24" t="e">
        <f t="shared" ref="CM206" ca="1" si="1931">CM128-CL128</f>
        <v>#NAME?</v>
      </c>
      <c r="CN206" s="24" t="e">
        <f t="shared" ref="CN206" ca="1" si="1932">CN128-CM128</f>
        <v>#NAME?</v>
      </c>
      <c r="CO206" s="24" t="e">
        <f t="shared" ref="CO206" ca="1" si="1933">CO128-CN128</f>
        <v>#NAME?</v>
      </c>
      <c r="CP206" s="24" t="e">
        <f t="shared" ref="CP206" ca="1" si="1934">CP128-CO128</f>
        <v>#NAME?</v>
      </c>
      <c r="CQ206" s="24" t="e">
        <f t="shared" ref="CQ206" ca="1" si="1935">CQ128-CP128</f>
        <v>#NAME?</v>
      </c>
      <c r="CR206" s="24" t="e">
        <f t="shared" ref="CR206" ca="1" si="1936">CR128-CQ128</f>
        <v>#NAME?</v>
      </c>
      <c r="CS206" s="24" t="e">
        <f t="shared" ref="CS206" ca="1" si="1937">CS128-CR128</f>
        <v>#NAME?</v>
      </c>
      <c r="CT206" s="24" t="e">
        <f t="shared" ref="CT206" ca="1" si="1938">CT128-CS128</f>
        <v>#NAME?</v>
      </c>
      <c r="CU206" s="24" t="e">
        <f t="shared" ref="CU206" ca="1" si="1939">CU128-CT128</f>
        <v>#NAME?</v>
      </c>
      <c r="CV206" s="24" t="e">
        <f t="shared" ref="CV206" ca="1" si="1940">CV128-CU128</f>
        <v>#NAME?</v>
      </c>
      <c r="CW206" s="24" t="e">
        <f t="shared" ref="CW206" ca="1" si="1941">CW128-CV128</f>
        <v>#NAME?</v>
      </c>
      <c r="CX206" s="24" t="e">
        <f t="shared" ref="CX206" ca="1" si="1942">CX128-CW128</f>
        <v>#NAME?</v>
      </c>
      <c r="CY206" s="24" t="e">
        <f t="shared" ref="CY206" ca="1" si="1943">CY128-CX128</f>
        <v>#NAME?</v>
      </c>
      <c r="CZ206" s="24" t="e">
        <f t="shared" ref="CZ206" ca="1" si="1944">CZ128-CY128</f>
        <v>#NAME?</v>
      </c>
      <c r="DA206" s="24" t="e">
        <f t="shared" ref="DA206" ca="1" si="1945">DA128-CZ128</f>
        <v>#NAME?</v>
      </c>
      <c r="DB206" s="24" t="e">
        <f t="shared" ref="DB206" ca="1" si="1946">DB128-DA128</f>
        <v>#NAME?</v>
      </c>
      <c r="DE206" s="123"/>
      <c r="DF206" s="23">
        <v>-728.90000000000009</v>
      </c>
    </row>
    <row r="207" spans="1:110" s="23" customFormat="1" x14ac:dyDescent="0.2">
      <c r="A207" s="23" t="s">
        <v>27</v>
      </c>
      <c r="C207" s="23" t="e">
        <f t="shared" ref="C207:AE207" ca="1" si="1947">C120-C48-B120+C122-B122</f>
        <v>#NAME?</v>
      </c>
      <c r="D207" s="23" t="e">
        <f t="shared" ca="1" si="1947"/>
        <v>#NAME?</v>
      </c>
      <c r="E207" s="23" t="e">
        <f t="shared" ca="1" si="1947"/>
        <v>#NAME?</v>
      </c>
      <c r="F207" s="23" t="e">
        <f t="shared" ca="1" si="1947"/>
        <v>#NAME?</v>
      </c>
      <c r="G207" s="23" t="e">
        <f t="shared" ca="1" si="1947"/>
        <v>#NAME?</v>
      </c>
      <c r="H207" s="23" t="e">
        <f t="shared" ca="1" si="1947"/>
        <v>#NAME?</v>
      </c>
      <c r="I207" s="23" t="e">
        <f t="shared" ca="1" si="1947"/>
        <v>#NAME?</v>
      </c>
      <c r="J207" s="23" t="e">
        <f t="shared" ca="1" si="1947"/>
        <v>#NAME?</v>
      </c>
      <c r="K207" s="23" t="e">
        <f t="shared" ca="1" si="1947"/>
        <v>#NAME?</v>
      </c>
      <c r="L207" s="23" t="e">
        <f t="shared" ca="1" si="1947"/>
        <v>#NAME?</v>
      </c>
      <c r="M207" s="23" t="e">
        <f t="shared" ca="1" si="1947"/>
        <v>#NAME?</v>
      </c>
      <c r="N207" s="23" t="e">
        <f t="shared" ca="1" si="1947"/>
        <v>#NAME?</v>
      </c>
      <c r="O207" s="23" t="e">
        <f t="shared" ca="1" si="1947"/>
        <v>#NAME?</v>
      </c>
      <c r="P207" s="23" t="e">
        <f t="shared" ca="1" si="1947"/>
        <v>#NAME?</v>
      </c>
      <c r="Q207" s="23" t="e">
        <f t="shared" ca="1" si="1947"/>
        <v>#NAME?</v>
      </c>
      <c r="R207" s="23" t="e">
        <f t="shared" ca="1" si="1947"/>
        <v>#NAME?</v>
      </c>
      <c r="S207" s="23" t="e">
        <f t="shared" ca="1" si="1947"/>
        <v>#NAME?</v>
      </c>
      <c r="T207" s="23" t="e">
        <f t="shared" ca="1" si="1947"/>
        <v>#NAME?</v>
      </c>
      <c r="U207" s="23" t="e">
        <f t="shared" ca="1" si="1947"/>
        <v>#NAME?</v>
      </c>
      <c r="V207" s="23" t="e">
        <f t="shared" ca="1" si="1947"/>
        <v>#NAME?</v>
      </c>
      <c r="W207" s="23" t="e">
        <f t="shared" ca="1" si="1947"/>
        <v>#NAME?</v>
      </c>
      <c r="X207" s="23" t="e">
        <f t="shared" ca="1" si="1947"/>
        <v>#NAME?</v>
      </c>
      <c r="Y207" s="23" t="e">
        <f t="shared" ca="1" si="1947"/>
        <v>#NAME?</v>
      </c>
      <c r="Z207" s="23" t="e">
        <f t="shared" ca="1" si="1947"/>
        <v>#NAME?</v>
      </c>
      <c r="AA207" s="23" t="e">
        <f t="shared" ca="1" si="1947"/>
        <v>#NAME?</v>
      </c>
      <c r="AB207" s="24" t="e">
        <f t="shared" ca="1" si="1947"/>
        <v>#NAME?</v>
      </c>
      <c r="AC207" s="24" t="e">
        <f t="shared" ca="1" si="1947"/>
        <v>#NAME?</v>
      </c>
      <c r="AD207" s="24" t="e">
        <f t="shared" ca="1" si="1947"/>
        <v>#NAME?</v>
      </c>
      <c r="AE207" s="24" t="e">
        <f t="shared" ca="1" si="1947"/>
        <v>#NAME?</v>
      </c>
      <c r="AI207" s="23" t="e">
        <f t="shared" ref="AI207:BN207" ca="1" si="1948">AI120-AI48-AH120+AI122-AH122</f>
        <v>#NAME?</v>
      </c>
      <c r="AJ207" s="23" t="e">
        <f t="shared" ca="1" si="1948"/>
        <v>#NAME?</v>
      </c>
      <c r="AK207" s="23" t="e">
        <f t="shared" ca="1" si="1948"/>
        <v>#NAME?</v>
      </c>
      <c r="AL207" s="23" t="e">
        <f t="shared" ca="1" si="1948"/>
        <v>#NAME?</v>
      </c>
      <c r="AM207" s="23" t="e">
        <f t="shared" ca="1" si="1948"/>
        <v>#NAME?</v>
      </c>
      <c r="AN207" s="23" t="e">
        <f t="shared" ca="1" si="1948"/>
        <v>#NAME?</v>
      </c>
      <c r="AO207" s="23" t="e">
        <f t="shared" ca="1" si="1948"/>
        <v>#NAME?</v>
      </c>
      <c r="AP207" s="23" t="e">
        <f t="shared" ca="1" si="1948"/>
        <v>#NAME?</v>
      </c>
      <c r="AQ207" s="23" t="e">
        <f t="shared" ca="1" si="1948"/>
        <v>#NAME?</v>
      </c>
      <c r="AR207" s="23" t="e">
        <f t="shared" ca="1" si="1948"/>
        <v>#NAME?</v>
      </c>
      <c r="AS207" s="23" t="e">
        <f t="shared" ca="1" si="1948"/>
        <v>#NAME?</v>
      </c>
      <c r="AT207" s="23" t="e">
        <f t="shared" ca="1" si="1948"/>
        <v>#NAME?</v>
      </c>
      <c r="AU207" s="23" t="e">
        <f t="shared" ca="1" si="1948"/>
        <v>#NAME?</v>
      </c>
      <c r="AV207" s="23" t="e">
        <f t="shared" ca="1" si="1948"/>
        <v>#NAME?</v>
      </c>
      <c r="AW207" s="23" t="e">
        <f t="shared" ca="1" si="1948"/>
        <v>#NAME?</v>
      </c>
      <c r="AX207" s="23" t="e">
        <f t="shared" ca="1" si="1948"/>
        <v>#NAME?</v>
      </c>
      <c r="AY207" s="23" t="e">
        <f t="shared" ca="1" si="1948"/>
        <v>#NAME?</v>
      </c>
      <c r="AZ207" s="23" t="e">
        <f t="shared" ca="1" si="1948"/>
        <v>#NAME?</v>
      </c>
      <c r="BA207" s="23" t="e">
        <f t="shared" ca="1" si="1948"/>
        <v>#NAME?</v>
      </c>
      <c r="BB207" s="23" t="e">
        <f t="shared" ca="1" si="1948"/>
        <v>#NAME?</v>
      </c>
      <c r="BC207" s="23" t="e">
        <f t="shared" ca="1" si="1948"/>
        <v>#NAME?</v>
      </c>
      <c r="BD207" s="23" t="e">
        <f t="shared" ca="1" si="1948"/>
        <v>#NAME?</v>
      </c>
      <c r="BE207" s="23" t="e">
        <f t="shared" ca="1" si="1948"/>
        <v>#NAME?</v>
      </c>
      <c r="BF207" s="23" t="e">
        <f t="shared" ca="1" si="1948"/>
        <v>#NAME?</v>
      </c>
      <c r="BG207" s="23" t="e">
        <f t="shared" ca="1" si="1948"/>
        <v>#NAME?</v>
      </c>
      <c r="BH207" s="23" t="e">
        <f t="shared" ca="1" si="1948"/>
        <v>#NAME?</v>
      </c>
      <c r="BI207" s="23" t="e">
        <f t="shared" ca="1" si="1948"/>
        <v>#NAME?</v>
      </c>
      <c r="BJ207" s="23" t="e">
        <f t="shared" ca="1" si="1948"/>
        <v>#NAME?</v>
      </c>
      <c r="BK207" s="23" t="e">
        <f t="shared" ca="1" si="1948"/>
        <v>#NAME?</v>
      </c>
      <c r="BL207" s="23" t="e">
        <f t="shared" ca="1" si="1948"/>
        <v>#NAME?</v>
      </c>
      <c r="BM207" s="23" t="e">
        <f t="shared" ca="1" si="1948"/>
        <v>#NAME?</v>
      </c>
      <c r="BN207" s="23" t="e">
        <f t="shared" ca="1" si="1948"/>
        <v>#NAME?</v>
      </c>
      <c r="BO207" s="23" t="e">
        <f t="shared" ref="BO207:CT207" ca="1" si="1949">BO120-BO48-BN120+BO122-BN122</f>
        <v>#NAME?</v>
      </c>
      <c r="BP207" s="23" t="e">
        <f t="shared" ca="1" si="1949"/>
        <v>#NAME?</v>
      </c>
      <c r="BQ207" s="23" t="e">
        <f t="shared" ca="1" si="1949"/>
        <v>#NAME?</v>
      </c>
      <c r="BR207" s="23" t="e">
        <f t="shared" ca="1" si="1949"/>
        <v>#NAME?</v>
      </c>
      <c r="BS207" s="23" t="e">
        <f t="shared" ca="1" si="1949"/>
        <v>#NAME?</v>
      </c>
      <c r="BT207" s="23" t="e">
        <f t="shared" ca="1" si="1949"/>
        <v>#NAME?</v>
      </c>
      <c r="BU207" s="23" t="e">
        <f t="shared" ca="1" si="1949"/>
        <v>#NAME?</v>
      </c>
      <c r="BV207" s="23" t="e">
        <f t="shared" ca="1" si="1949"/>
        <v>#NAME?</v>
      </c>
      <c r="BW207" s="23" t="e">
        <f t="shared" ca="1" si="1949"/>
        <v>#NAME?</v>
      </c>
      <c r="BX207" s="23" t="e">
        <f t="shared" ca="1" si="1949"/>
        <v>#NAME?</v>
      </c>
      <c r="BY207" s="23" t="e">
        <f t="shared" ca="1" si="1949"/>
        <v>#NAME?</v>
      </c>
      <c r="BZ207" s="23" t="e">
        <f t="shared" ca="1" si="1949"/>
        <v>#NAME?</v>
      </c>
      <c r="CA207" s="23" t="e">
        <f t="shared" ca="1" si="1949"/>
        <v>#NAME?</v>
      </c>
      <c r="CB207" s="23" t="e">
        <f t="shared" ca="1" si="1949"/>
        <v>#NAME?</v>
      </c>
      <c r="CC207" s="23" t="e">
        <f t="shared" ca="1" si="1949"/>
        <v>#NAME?</v>
      </c>
      <c r="CD207" s="23" t="e">
        <f t="shared" ca="1" si="1949"/>
        <v>#NAME?</v>
      </c>
      <c r="CE207" s="23" t="e">
        <f t="shared" ca="1" si="1949"/>
        <v>#NAME?</v>
      </c>
      <c r="CF207" s="23" t="e">
        <f t="shared" ca="1" si="1949"/>
        <v>#NAME?</v>
      </c>
      <c r="CG207" s="23" t="e">
        <f t="shared" ca="1" si="1949"/>
        <v>#NAME?</v>
      </c>
      <c r="CH207" s="23" t="e">
        <f t="shared" ca="1" si="1949"/>
        <v>#NAME?</v>
      </c>
      <c r="CI207" s="23" t="e">
        <f t="shared" ca="1" si="1949"/>
        <v>#NAME?</v>
      </c>
      <c r="CJ207" s="23" t="e">
        <f t="shared" ca="1" si="1949"/>
        <v>#NAME?</v>
      </c>
      <c r="CK207" s="23" t="e">
        <f t="shared" ca="1" si="1949"/>
        <v>#NAME?</v>
      </c>
      <c r="CL207" s="23" t="e">
        <f t="shared" ca="1" si="1949"/>
        <v>#NAME?</v>
      </c>
      <c r="CM207" s="24" t="e">
        <f t="shared" ca="1" si="1949"/>
        <v>#NAME?</v>
      </c>
      <c r="CN207" s="24" t="e">
        <f t="shared" ca="1" si="1949"/>
        <v>#NAME?</v>
      </c>
      <c r="CO207" s="24" t="e">
        <f t="shared" ca="1" si="1949"/>
        <v>#NAME?</v>
      </c>
      <c r="CP207" s="24" t="e">
        <f t="shared" ca="1" si="1949"/>
        <v>#NAME?</v>
      </c>
      <c r="CQ207" s="24" t="e">
        <f t="shared" ca="1" si="1949"/>
        <v>#NAME?</v>
      </c>
      <c r="CR207" s="24" t="e">
        <f t="shared" ca="1" si="1949"/>
        <v>#NAME?</v>
      </c>
      <c r="CS207" s="24" t="e">
        <f t="shared" ca="1" si="1949"/>
        <v>#NAME?</v>
      </c>
      <c r="CT207" s="24" t="e">
        <f t="shared" ca="1" si="1949"/>
        <v>#NAME?</v>
      </c>
      <c r="CU207" s="24" t="e">
        <f t="shared" ref="CU207:DB207" ca="1" si="1950">CU120-CU48-CT120+CU122-CT122</f>
        <v>#NAME?</v>
      </c>
      <c r="CV207" s="24" t="e">
        <f t="shared" ca="1" si="1950"/>
        <v>#NAME?</v>
      </c>
      <c r="CW207" s="24" t="e">
        <f t="shared" ca="1" si="1950"/>
        <v>#NAME?</v>
      </c>
      <c r="CX207" s="24" t="e">
        <f t="shared" ca="1" si="1950"/>
        <v>#NAME?</v>
      </c>
      <c r="CY207" s="24" t="e">
        <f t="shared" ca="1" si="1950"/>
        <v>#NAME?</v>
      </c>
      <c r="CZ207" s="24" t="e">
        <f t="shared" ca="1" si="1950"/>
        <v>#NAME?</v>
      </c>
      <c r="DA207" s="24" t="e">
        <f t="shared" ca="1" si="1950"/>
        <v>#NAME?</v>
      </c>
      <c r="DB207" s="24" t="e">
        <f t="shared" ca="1" si="1950"/>
        <v>#NAME?</v>
      </c>
      <c r="DE207" s="123"/>
      <c r="DF207" s="23">
        <v>-2352.3200000000006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1">B161</f>
        <v>#NAME?</v>
      </c>
      <c r="D209" s="23" t="e">
        <f t="shared" ref="D209" ca="1" si="1952">C161</f>
        <v>#NAME?</v>
      </c>
      <c r="E209" s="23" t="e">
        <f ca="1">D161</f>
        <v>#NAME?</v>
      </c>
      <c r="F209" s="23" t="e">
        <f t="shared" ref="F209" ca="1" si="1953">E161</f>
        <v>#NAME?</v>
      </c>
      <c r="G209" s="23" t="e">
        <f t="shared" ref="G209" ca="1" si="1954">F161</f>
        <v>#NAME?</v>
      </c>
      <c r="H209" s="23" t="e">
        <f t="shared" ref="H209" ca="1" si="1955">G161</f>
        <v>#NAME?</v>
      </c>
      <c r="I209" s="23" t="e">
        <f t="shared" ref="I209" ca="1" si="1956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7">K161</f>
        <v>#NAME?</v>
      </c>
      <c r="M209" s="23" t="e">
        <f t="shared" ref="M209" ca="1" si="1958">L161</f>
        <v>#NAME?</v>
      </c>
      <c r="N209" s="23" t="e">
        <f t="shared" ref="N209" ca="1" si="1959">M161</f>
        <v>#NAME?</v>
      </c>
      <c r="O209" s="23" t="e">
        <f t="shared" ref="O209" ca="1" si="1960">N161</f>
        <v>#NAME?</v>
      </c>
      <c r="P209" s="23" t="e">
        <f t="shared" ref="P209" ca="1" si="1961">O161</f>
        <v>#NAME?</v>
      </c>
      <c r="Q209" s="23" t="e">
        <f t="shared" ref="Q209" ca="1" si="1962">P161</f>
        <v>#NAME?</v>
      </c>
      <c r="R209" s="23" t="e">
        <f t="shared" ref="R209" ca="1" si="1963">Q161</f>
        <v>#NAME?</v>
      </c>
      <c r="S209" s="23" t="e">
        <f t="shared" ref="S209" ca="1" si="1964">R161</f>
        <v>#NAME?</v>
      </c>
      <c r="T209" s="23" t="e">
        <f t="shared" ref="T209" ca="1" si="1965">S161</f>
        <v>#NAME?</v>
      </c>
      <c r="U209" s="23" t="e">
        <f t="shared" ref="U209" ca="1" si="1966">T161</f>
        <v>#NAME?</v>
      </c>
      <c r="V209" s="23" t="e">
        <f t="shared" ref="V209" ca="1" si="1967">U161</f>
        <v>#NAME?</v>
      </c>
      <c r="W209" s="23" t="e">
        <f t="shared" ref="W209:AA209" ca="1" si="1968">V161</f>
        <v>#NAME?</v>
      </c>
      <c r="X209" s="23" t="e">
        <f t="shared" ca="1" si="1968"/>
        <v>#NAME?</v>
      </c>
      <c r="Y209" s="23" t="e">
        <f t="shared" ca="1" si="1968"/>
        <v>#NAME?</v>
      </c>
      <c r="Z209" s="23" t="e">
        <f t="shared" ca="1" si="1968"/>
        <v>#NAME?</v>
      </c>
      <c r="AA209" s="23" t="e">
        <f t="shared" ca="1" si="1968"/>
        <v>#NAME?</v>
      </c>
      <c r="AB209" s="24" t="e">
        <f t="shared" ref="AB209" ca="1" si="1969">AA161</f>
        <v>#NAME?</v>
      </c>
      <c r="AC209" s="24" t="e">
        <f t="shared" ref="AC209" ca="1" si="1970">AB161</f>
        <v>#NAME?</v>
      </c>
      <c r="AD209" s="24" t="e">
        <f t="shared" ref="AD209" ca="1" si="1971">AC161</f>
        <v>#NAME?</v>
      </c>
      <c r="AE209" s="24" t="e">
        <f t="shared" ref="AE209" ca="1" si="1972">AD161</f>
        <v>#NAME?</v>
      </c>
      <c r="AI209" s="23">
        <f t="shared" ref="AI209" si="1973">AH161</f>
        <v>0</v>
      </c>
      <c r="AJ209" s="23">
        <f t="shared" ref="AJ209" si="1974">AI161</f>
        <v>0</v>
      </c>
      <c r="AK209" s="23" t="e">
        <f t="shared" ref="AK209" ca="1" si="1975">AJ161</f>
        <v>#NAME?</v>
      </c>
      <c r="AL209" s="23" t="e">
        <f t="shared" ref="AL209" ca="1" si="1976">AK161</f>
        <v>#NAME?</v>
      </c>
      <c r="AM209" s="23" t="e">
        <f t="shared" ref="AM209" ca="1" si="1977">AL161</f>
        <v>#NAME?</v>
      </c>
      <c r="AN209" s="23" t="e">
        <f t="shared" ref="AN209" ca="1" si="1978">AM161</f>
        <v>#NAME?</v>
      </c>
      <c r="AO209" s="23" t="e">
        <f t="shared" ref="AO209" ca="1" si="1979">AN161</f>
        <v>#NAME?</v>
      </c>
      <c r="AP209" s="23" t="e">
        <f t="shared" ref="AP209" ca="1" si="1980">AO161</f>
        <v>#NAME?</v>
      </c>
      <c r="AQ209" s="23" t="e">
        <f t="shared" ref="AQ209" ca="1" si="1981">AP161</f>
        <v>#NAME?</v>
      </c>
      <c r="AR209" s="23" t="e">
        <f t="shared" ref="AR209" ca="1" si="1982">AQ161</f>
        <v>#NAME?</v>
      </c>
      <c r="AS209" s="23" t="e">
        <f t="shared" ref="AS209" ca="1" si="1983">AR161</f>
        <v>#NAME?</v>
      </c>
      <c r="AT209" s="23" t="e">
        <f t="shared" ref="AT209" ca="1" si="1984">AS161</f>
        <v>#NAME?</v>
      </c>
      <c r="AU209" s="23" t="e">
        <f t="shared" ref="AU209" ca="1" si="1985">AT161</f>
        <v>#NAME?</v>
      </c>
      <c r="AV209" s="23" t="e">
        <f t="shared" ref="AV209" ca="1" si="1986">AU161</f>
        <v>#NAME?</v>
      </c>
      <c r="AW209" s="23" t="e">
        <f t="shared" ref="AW209" ca="1" si="1987">AV161</f>
        <v>#NAME?</v>
      </c>
      <c r="AX209" s="23" t="e">
        <f t="shared" ref="AX209" ca="1" si="1988">AW161</f>
        <v>#NAME?</v>
      </c>
      <c r="AY209" s="23" t="e">
        <f t="shared" ref="AY209" ca="1" si="1989">AX161</f>
        <v>#NAME?</v>
      </c>
      <c r="AZ209" s="23" t="e">
        <f t="shared" ref="AZ209" ca="1" si="1990">AY161</f>
        <v>#NAME?</v>
      </c>
      <c r="BA209" s="23" t="e">
        <f t="shared" ref="BA209" ca="1" si="1991">AZ161</f>
        <v>#NAME?</v>
      </c>
      <c r="BB209" s="23" t="e">
        <f t="shared" ref="BB209" ca="1" si="1992">BA161</f>
        <v>#NAME?</v>
      </c>
      <c r="BC209" s="23" t="e">
        <f t="shared" ref="BC209" ca="1" si="1993">BB161</f>
        <v>#NAME?</v>
      </c>
      <c r="BD209" s="23" t="e">
        <f t="shared" ref="BD209" ca="1" si="1994">BC161</f>
        <v>#NAME?</v>
      </c>
      <c r="BE209" s="23" t="e">
        <f t="shared" ref="BE209" ca="1" si="1995">BD161</f>
        <v>#NAME?</v>
      </c>
      <c r="BF209" s="23" t="e">
        <f t="shared" ref="BF209" ca="1" si="1996">BE161</f>
        <v>#NAME?</v>
      </c>
      <c r="BG209" s="23" t="e">
        <f t="shared" ref="BG209" ca="1" si="1997">BF161</f>
        <v>#NAME?</v>
      </c>
      <c r="BH209" s="23" t="e">
        <f t="shared" ref="BH209" ca="1" si="1998">BG161</f>
        <v>#NAME?</v>
      </c>
      <c r="BI209" s="23" t="e">
        <f t="shared" ref="BI209" ca="1" si="1999">BH161</f>
        <v>#NAME?</v>
      </c>
      <c r="BJ209" s="23" t="e">
        <f t="shared" ref="BJ209" ca="1" si="2000">BI161</f>
        <v>#NAME?</v>
      </c>
      <c r="BK209" s="23" t="e">
        <f t="shared" ref="BK209" ca="1" si="2001">BJ161</f>
        <v>#NAME?</v>
      </c>
      <c r="BL209" s="23" t="e">
        <f t="shared" ref="BL209" ca="1" si="2002">BK161</f>
        <v>#NAME?</v>
      </c>
      <c r="BM209" s="23" t="e">
        <f t="shared" ref="BM209" ca="1" si="2003">BL161</f>
        <v>#NAME?</v>
      </c>
      <c r="BN209" s="23" t="e">
        <f t="shared" ref="BN209" ca="1" si="2004">BM161</f>
        <v>#NAME?</v>
      </c>
      <c r="BO209" s="23" t="e">
        <f t="shared" ref="BO209" ca="1" si="2005">BN161</f>
        <v>#NAME?</v>
      </c>
      <c r="BP209" s="23" t="e">
        <f t="shared" ref="BP209" ca="1" si="2006">BO161</f>
        <v>#NAME?</v>
      </c>
      <c r="BQ209" s="23" t="e">
        <f t="shared" ref="BQ209" ca="1" si="2007">BP161</f>
        <v>#NAME?</v>
      </c>
      <c r="BR209" s="23" t="e">
        <f t="shared" ref="BR209" ca="1" si="2008">BQ161</f>
        <v>#NAME?</v>
      </c>
      <c r="BS209" s="23" t="e">
        <f t="shared" ref="BS209" ca="1" si="2009">BR161</f>
        <v>#NAME?</v>
      </c>
      <c r="BT209" s="23" t="e">
        <f t="shared" ref="BT209" ca="1" si="2010">BS161</f>
        <v>#NAME?</v>
      </c>
      <c r="BU209" s="23" t="e">
        <f t="shared" ref="BU209" ca="1" si="2011">BT161</f>
        <v>#NAME?</v>
      </c>
      <c r="BV209" s="23" t="e">
        <f t="shared" ref="BV209" ca="1" si="2012">BU161</f>
        <v>#NAME?</v>
      </c>
      <c r="BW209" s="23" t="e">
        <f t="shared" ref="BW209" ca="1" si="2013">BV161</f>
        <v>#NAME?</v>
      </c>
      <c r="BX209" s="23" t="e">
        <f t="shared" ref="BX209" ca="1" si="2014">BW161</f>
        <v>#NAME?</v>
      </c>
      <c r="BY209" s="23" t="e">
        <f t="shared" ref="BY209" ca="1" si="2015">BX161</f>
        <v>#NAME?</v>
      </c>
      <c r="BZ209" s="23" t="e">
        <f t="shared" ref="BZ209" ca="1" si="2016">BY161</f>
        <v>#NAME?</v>
      </c>
      <c r="CA209" s="23" t="e">
        <f t="shared" ref="CA209" ca="1" si="2017">BZ161</f>
        <v>#NAME?</v>
      </c>
      <c r="CB209" s="23" t="e">
        <f t="shared" ref="CB209" ca="1" si="2018">CA161</f>
        <v>#NAME?</v>
      </c>
      <c r="CC209" s="23" t="e">
        <f t="shared" ref="CC209" ca="1" si="2019">CB161</f>
        <v>#NAME?</v>
      </c>
      <c r="CD209" s="23" t="e">
        <f t="shared" ref="CD209" ca="1" si="2020">CC161</f>
        <v>#NAME?</v>
      </c>
      <c r="CE209" s="23" t="e">
        <f t="shared" ref="CE209" ca="1" si="2021">CD161</f>
        <v>#NAME?</v>
      </c>
      <c r="CF209" s="23" t="e">
        <f t="shared" ref="CF209" ca="1" si="2022">CE161</f>
        <v>#NAME?</v>
      </c>
      <c r="CG209" s="23" t="e">
        <f t="shared" ref="CG209" ca="1" si="2023">CF161</f>
        <v>#NAME?</v>
      </c>
      <c r="CH209" s="23" t="e">
        <f t="shared" ref="CH209:CJ209" ca="1" si="2024">CG161</f>
        <v>#NAME?</v>
      </c>
      <c r="CI209" s="23" t="e">
        <f t="shared" ca="1" si="2024"/>
        <v>#NAME?</v>
      </c>
      <c r="CJ209" s="23" t="e">
        <f t="shared" ca="1" si="2024"/>
        <v>#NAME?</v>
      </c>
      <c r="CK209" s="23" t="e">
        <f t="shared" ref="CK209" ca="1" si="2025">CJ161</f>
        <v>#NAME?</v>
      </c>
      <c r="CL209" s="23" t="e">
        <f t="shared" ref="CL209" ca="1" si="2026">CK161</f>
        <v>#NAME?</v>
      </c>
      <c r="CM209" s="24" t="e">
        <f t="shared" ref="CM209" ca="1" si="2027">CL161</f>
        <v>#NAME?</v>
      </c>
      <c r="CN209" s="24" t="e">
        <f t="shared" ref="CN209" ca="1" si="2028">CM161</f>
        <v>#NAME?</v>
      </c>
      <c r="CO209" s="24" t="e">
        <f t="shared" ref="CO209" ca="1" si="2029">CN161</f>
        <v>#NAME?</v>
      </c>
      <c r="CP209" s="24" t="e">
        <f t="shared" ref="CP209" ca="1" si="2030">CO161</f>
        <v>#NAME?</v>
      </c>
      <c r="CQ209" s="24" t="e">
        <f t="shared" ref="CQ209" ca="1" si="2031">CP161</f>
        <v>#NAME?</v>
      </c>
      <c r="CR209" s="24" t="e">
        <f t="shared" ref="CR209" ca="1" si="2032">CQ161</f>
        <v>#NAME?</v>
      </c>
      <c r="CS209" s="24" t="e">
        <f t="shared" ref="CS209" ca="1" si="2033">CR161</f>
        <v>#NAME?</v>
      </c>
      <c r="CT209" s="24" t="e">
        <f t="shared" ref="CT209" ca="1" si="2034">CS161</f>
        <v>#NAME?</v>
      </c>
      <c r="CU209" s="24" t="e">
        <f t="shared" ref="CU209" ca="1" si="2035">CT161</f>
        <v>#NAME?</v>
      </c>
      <c r="CV209" s="24" t="e">
        <f t="shared" ref="CV209" ca="1" si="2036">CU161</f>
        <v>#NAME?</v>
      </c>
      <c r="CW209" s="24" t="e">
        <f t="shared" ref="CW209" ca="1" si="2037">CV161</f>
        <v>#NAME?</v>
      </c>
      <c r="CX209" s="24" t="e">
        <f t="shared" ref="CX209" ca="1" si="2038">CW161</f>
        <v>#NAME?</v>
      </c>
      <c r="CY209" s="24" t="e">
        <f t="shared" ref="CY209" ca="1" si="2039">CX161</f>
        <v>#NAME?</v>
      </c>
      <c r="CZ209" s="24" t="e">
        <f t="shared" ref="CZ209" ca="1" si="2040">CY161</f>
        <v>#NAME?</v>
      </c>
      <c r="DA209" s="24" t="e">
        <f t="shared" ref="DA209" ca="1" si="2041">CZ161</f>
        <v>#NAME?</v>
      </c>
      <c r="DB209" s="24" t="e">
        <f t="shared" ref="DB209" ca="1" si="2042">DA161</f>
        <v>#NAME?</v>
      </c>
      <c r="DE209" s="123"/>
      <c r="DF209" s="23">
        <v>95.65</v>
      </c>
    </row>
    <row r="210" spans="1:110" s="23" customFormat="1" x14ac:dyDescent="0.2">
      <c r="A210" s="23" t="s">
        <v>443</v>
      </c>
      <c r="C210" s="23" t="e">
        <f t="shared" ref="C210:W210" ca="1" si="2043">C209+C205+C201+C199</f>
        <v>#NAME?</v>
      </c>
      <c r="D210" s="23" t="e">
        <f t="shared" ca="1" si="2043"/>
        <v>#NAME?</v>
      </c>
      <c r="E210" s="23" t="e">
        <f t="shared" ca="1" si="2043"/>
        <v>#NAME?</v>
      </c>
      <c r="F210" s="23" t="e">
        <f t="shared" ca="1" si="2043"/>
        <v>#NAME?</v>
      </c>
      <c r="G210" s="23" t="e">
        <f t="shared" ca="1" si="2043"/>
        <v>#NAME?</v>
      </c>
      <c r="H210" s="23" t="e">
        <f t="shared" ca="1" si="2043"/>
        <v>#NAME?</v>
      </c>
      <c r="I210" s="23" t="e">
        <f t="shared" ca="1" si="2043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3"/>
        <v>#NAME?</v>
      </c>
      <c r="O210" s="23" t="e">
        <f t="shared" ca="1" si="2043"/>
        <v>#NAME?</v>
      </c>
      <c r="P210" s="23" t="e">
        <f t="shared" ca="1" si="2043"/>
        <v>#NAME?</v>
      </c>
      <c r="Q210" s="23" t="e">
        <f t="shared" ca="1" si="2043"/>
        <v>#NAME?</v>
      </c>
      <c r="R210" s="23" t="e">
        <f t="shared" ca="1" si="2043"/>
        <v>#NAME?</v>
      </c>
      <c r="S210" s="23" t="e">
        <f t="shared" ca="1" si="2043"/>
        <v>#NAME?</v>
      </c>
      <c r="T210" s="23" t="e">
        <f t="shared" ca="1" si="2043"/>
        <v>#NAME?</v>
      </c>
      <c r="U210" s="23" t="e">
        <f t="shared" ca="1" si="2043"/>
        <v>#NAME?</v>
      </c>
      <c r="V210" s="23" t="e">
        <f t="shared" ca="1" si="2043"/>
        <v>#NAME?</v>
      </c>
      <c r="W210" s="23" t="e">
        <f t="shared" ca="1" si="2043"/>
        <v>#NAME?</v>
      </c>
      <c r="X210" s="23" t="e">
        <f t="shared" ref="X210:Y210" ca="1" si="2044">X209+X205+X201+X199</f>
        <v>#NAME?</v>
      </c>
      <c r="Y210" s="23" t="e">
        <f t="shared" ca="1" si="2044"/>
        <v>#NAME?</v>
      </c>
      <c r="Z210" s="23" t="e">
        <f t="shared" ref="Z210:AA210" ca="1" si="2045">Z209+Z205+Z201+Z199</f>
        <v>#NAME?</v>
      </c>
      <c r="AA210" s="23" t="e">
        <f t="shared" ca="1" si="2045"/>
        <v>#NAME?</v>
      </c>
      <c r="AB210" s="24" t="e">
        <f t="shared" ref="AA210:AD210" ca="1" si="2046">AB209+AB205+AB201+AB199</f>
        <v>#NAME?</v>
      </c>
      <c r="AC210" s="24" t="e">
        <f t="shared" ca="1" si="2046"/>
        <v>#NAME?</v>
      </c>
      <c r="AD210" s="24" t="e">
        <f t="shared" ca="1" si="2046"/>
        <v>#NAME?</v>
      </c>
      <c r="AE210" s="24" t="e">
        <f t="shared" ref="AE210" ca="1" si="2047">AE209+AE205+AE201+AE199</f>
        <v>#NAME?</v>
      </c>
      <c r="AI210" s="23" t="e">
        <f t="shared" ref="AI210" ca="1" si="2048">AI209+AI205+AI201+AI199</f>
        <v>#NAME?</v>
      </c>
      <c r="AJ210" s="23" t="e">
        <f t="shared" ref="AJ210:AL210" ca="1" si="2049">AJ209+AJ205+AJ201+AJ199</f>
        <v>#NAME?</v>
      </c>
      <c r="AK210" s="23" t="e">
        <f t="shared" ca="1" si="2049"/>
        <v>#NAME?</v>
      </c>
      <c r="AL210" s="23" t="e">
        <f t="shared" ca="1" si="2049"/>
        <v>#NAME?</v>
      </c>
      <c r="AM210" s="23" t="e">
        <f t="shared" ref="AM210" ca="1" si="2050">AM209+AM205+AM201+AM199</f>
        <v>#NAME?</v>
      </c>
      <c r="AN210" s="23" t="e">
        <f t="shared" ref="AN210:CD210" ca="1" si="2051">AN209+AN205+AN201+AN199</f>
        <v>#NAME?</v>
      </c>
      <c r="AO210" s="23" t="e">
        <f t="shared" ca="1" si="2051"/>
        <v>#NAME?</v>
      </c>
      <c r="AP210" s="23" t="e">
        <f t="shared" ca="1" si="2051"/>
        <v>#NAME?</v>
      </c>
      <c r="AQ210" s="23" t="e">
        <f t="shared" ca="1" si="2051"/>
        <v>#NAME?</v>
      </c>
      <c r="AR210" s="23" t="e">
        <f t="shared" ca="1" si="2051"/>
        <v>#NAME?</v>
      </c>
      <c r="AS210" s="23" t="e">
        <f t="shared" ca="1" si="2051"/>
        <v>#NAME?</v>
      </c>
      <c r="AT210" s="23" t="e">
        <f t="shared" ca="1" si="2051"/>
        <v>#NAME?</v>
      </c>
      <c r="AU210" s="23" t="e">
        <f t="shared" ca="1" si="2051"/>
        <v>#NAME?</v>
      </c>
      <c r="AV210" s="23" t="e">
        <f t="shared" ca="1" si="2051"/>
        <v>#NAME?</v>
      </c>
      <c r="AW210" s="23" t="e">
        <f t="shared" ca="1" si="2051"/>
        <v>#NAME?</v>
      </c>
      <c r="AX210" s="23" t="e">
        <f t="shared" ca="1" si="2051"/>
        <v>#NAME?</v>
      </c>
      <c r="AY210" s="23" t="e">
        <f t="shared" ca="1" si="2051"/>
        <v>#NAME?</v>
      </c>
      <c r="AZ210" s="23" t="e">
        <f t="shared" ca="1" si="2051"/>
        <v>#NAME?</v>
      </c>
      <c r="BA210" s="23" t="e">
        <f t="shared" ca="1" si="2051"/>
        <v>#NAME?</v>
      </c>
      <c r="BB210" s="23" t="e">
        <f t="shared" ca="1" si="2051"/>
        <v>#NAME?</v>
      </c>
      <c r="BC210" s="23" t="e">
        <f t="shared" ca="1" si="2051"/>
        <v>#NAME?</v>
      </c>
      <c r="BD210" s="23" t="e">
        <f t="shared" ca="1" si="2051"/>
        <v>#NAME?</v>
      </c>
      <c r="BE210" s="23" t="e">
        <f t="shared" ca="1" si="2051"/>
        <v>#NAME?</v>
      </c>
      <c r="BF210" s="23" t="e">
        <f t="shared" ca="1" si="2051"/>
        <v>#NAME?</v>
      </c>
      <c r="BG210" s="23" t="e">
        <f t="shared" ca="1" si="2051"/>
        <v>#NAME?</v>
      </c>
      <c r="BH210" s="23" t="e">
        <f t="shared" ca="1" si="2051"/>
        <v>#NAME?</v>
      </c>
      <c r="BI210" s="23" t="e">
        <f t="shared" ca="1" si="2051"/>
        <v>#NAME?</v>
      </c>
      <c r="BJ210" s="23" t="e">
        <f t="shared" ca="1" si="2051"/>
        <v>#NAME?</v>
      </c>
      <c r="BK210" s="23" t="e">
        <f t="shared" ca="1" si="2051"/>
        <v>#NAME?</v>
      </c>
      <c r="BL210" s="23" t="e">
        <f t="shared" ca="1" si="2051"/>
        <v>#NAME?</v>
      </c>
      <c r="BM210" s="23" t="e">
        <f t="shared" ca="1" si="2051"/>
        <v>#NAME?</v>
      </c>
      <c r="BN210" s="23" t="e">
        <f t="shared" ca="1" si="2051"/>
        <v>#NAME?</v>
      </c>
      <c r="BO210" s="23" t="e">
        <f t="shared" ca="1" si="2051"/>
        <v>#NAME?</v>
      </c>
      <c r="BP210" s="23" t="e">
        <f t="shared" ca="1" si="2051"/>
        <v>#NAME?</v>
      </c>
      <c r="BQ210" s="23" t="e">
        <f t="shared" ca="1" si="2051"/>
        <v>#NAME?</v>
      </c>
      <c r="BR210" s="23" t="e">
        <f t="shared" ca="1" si="2051"/>
        <v>#NAME?</v>
      </c>
      <c r="BS210" s="23" t="e">
        <f t="shared" ca="1" si="2051"/>
        <v>#NAME?</v>
      </c>
      <c r="BT210" s="23" t="e">
        <f t="shared" ca="1" si="2051"/>
        <v>#NAME?</v>
      </c>
      <c r="BU210" s="23" t="e">
        <f t="shared" ca="1" si="2051"/>
        <v>#NAME?</v>
      </c>
      <c r="BV210" s="23" t="e">
        <f t="shared" ca="1" si="2051"/>
        <v>#NAME?</v>
      </c>
      <c r="BW210" s="23" t="e">
        <f t="shared" ca="1" si="2051"/>
        <v>#NAME?</v>
      </c>
      <c r="BX210" s="23" t="e">
        <f t="shared" ca="1" si="2051"/>
        <v>#NAME?</v>
      </c>
      <c r="BY210" s="23" t="e">
        <f t="shared" ca="1" si="2051"/>
        <v>#NAME?</v>
      </c>
      <c r="BZ210" s="23" t="e">
        <f t="shared" ca="1" si="2051"/>
        <v>#NAME?</v>
      </c>
      <c r="CA210" s="23" t="e">
        <f t="shared" ca="1" si="2051"/>
        <v>#NAME?</v>
      </c>
      <c r="CB210" s="23" t="e">
        <f t="shared" ca="1" si="2051"/>
        <v>#NAME?</v>
      </c>
      <c r="CC210" s="23" t="e">
        <f t="shared" ca="1" si="2051"/>
        <v>#NAME?</v>
      </c>
      <c r="CD210" s="23" t="e">
        <f t="shared" ca="1" si="2051"/>
        <v>#NAME?</v>
      </c>
      <c r="CE210" s="23" t="e">
        <f t="shared" ref="CE210:CF210" ca="1" si="2052">CE209+CE205+CE201+CE199</f>
        <v>#NAME?</v>
      </c>
      <c r="CF210" s="23" t="e">
        <f t="shared" ca="1" si="2052"/>
        <v>#NAME?</v>
      </c>
      <c r="CG210" s="23" t="e">
        <f t="shared" ref="CG210:CH210" ca="1" si="2053">CG209+CG205+CG201+CG199</f>
        <v>#NAME?</v>
      </c>
      <c r="CH210" s="23" t="e">
        <f t="shared" ca="1" si="2053"/>
        <v>#NAME?</v>
      </c>
      <c r="CI210" s="23" t="e">
        <f t="shared" ref="CI210:CJ210" ca="1" si="2054">CI209+CI205+CI201+CI199</f>
        <v>#NAME?</v>
      </c>
      <c r="CJ210" s="23" t="e">
        <f t="shared" ca="1" si="2054"/>
        <v>#NAME?</v>
      </c>
      <c r="CK210" s="23" t="e">
        <f t="shared" ref="CK210:DB210" ca="1" si="2055">CK209+CK205+CK201+CK199</f>
        <v>#NAME?</v>
      </c>
      <c r="CL210" s="23" t="e">
        <f t="shared" ca="1" si="2055"/>
        <v>#NAME?</v>
      </c>
      <c r="CM210" s="24" t="e">
        <f t="shared" ca="1" si="2055"/>
        <v>#NAME?</v>
      </c>
      <c r="CN210" s="24" t="e">
        <f t="shared" ca="1" si="2055"/>
        <v>#NAME?</v>
      </c>
      <c r="CO210" s="24" t="e">
        <f t="shared" ca="1" si="2055"/>
        <v>#NAME?</v>
      </c>
      <c r="CP210" s="24" t="e">
        <f t="shared" ca="1" si="2055"/>
        <v>#NAME?</v>
      </c>
      <c r="CQ210" s="24" t="e">
        <f t="shared" ca="1" si="2055"/>
        <v>#NAME?</v>
      </c>
      <c r="CR210" s="24" t="e">
        <f t="shared" ca="1" si="2055"/>
        <v>#NAME?</v>
      </c>
      <c r="CS210" s="24" t="e">
        <f t="shared" ca="1" si="2055"/>
        <v>#NAME?</v>
      </c>
      <c r="CT210" s="24" t="e">
        <f t="shared" ca="1" si="2055"/>
        <v>#NAME?</v>
      </c>
      <c r="CU210" s="24" t="e">
        <f t="shared" ca="1" si="2055"/>
        <v>#NAME?</v>
      </c>
      <c r="CV210" s="24" t="e">
        <f t="shared" ca="1" si="2055"/>
        <v>#NAME?</v>
      </c>
      <c r="CW210" s="24" t="e">
        <f t="shared" ca="1" si="2055"/>
        <v>#NAME?</v>
      </c>
      <c r="CX210" s="24" t="e">
        <f t="shared" ca="1" si="2055"/>
        <v>#NAME?</v>
      </c>
      <c r="CY210" s="24" t="e">
        <f t="shared" ca="1" si="2055"/>
        <v>#NAME?</v>
      </c>
      <c r="CZ210" s="24" t="e">
        <f t="shared" ca="1" si="2055"/>
        <v>#NAME?</v>
      </c>
      <c r="DA210" s="24" t="e">
        <f t="shared" ca="1" si="2055"/>
        <v>#NAME?</v>
      </c>
      <c r="DB210" s="24" t="e">
        <f t="shared" ca="1" si="2055"/>
        <v>#NAME?</v>
      </c>
      <c r="DE210" s="123"/>
      <c r="DF210" s="23">
        <v>1340.8700000000003</v>
      </c>
    </row>
    <row r="211" spans="1:110" s="28" customFormat="1" x14ac:dyDescent="0.2">
      <c r="A211" s="28" t="s">
        <v>444</v>
      </c>
      <c r="C211" s="28" t="e">
        <f t="shared" ref="C211:W211" ca="1" si="2056">C210-C161</f>
        <v>#NAME?</v>
      </c>
      <c r="D211" s="28" t="e">
        <f t="shared" ca="1" si="2056"/>
        <v>#NAME?</v>
      </c>
      <c r="E211" s="28" t="e">
        <f t="shared" ca="1" si="2056"/>
        <v>#NAME?</v>
      </c>
      <c r="F211" s="28" t="e">
        <f t="shared" ca="1" si="2056"/>
        <v>#NAME?</v>
      </c>
      <c r="G211" s="28" t="e">
        <f t="shared" ca="1" si="2056"/>
        <v>#NAME?</v>
      </c>
      <c r="H211" s="28" t="e">
        <f t="shared" ca="1" si="2056"/>
        <v>#NAME?</v>
      </c>
      <c r="I211" s="28" t="e">
        <f t="shared" ca="1" si="2056"/>
        <v>#NAME?</v>
      </c>
      <c r="J211" s="28" t="e">
        <f ca="1">J210-J161</f>
        <v>#NAME?</v>
      </c>
      <c r="K211" s="28" t="e">
        <f t="shared" ca="1" si="2056"/>
        <v>#NAME?</v>
      </c>
      <c r="L211" s="28" t="e">
        <f t="shared" ca="1" si="2056"/>
        <v>#NAME?</v>
      </c>
      <c r="M211" s="28" t="e">
        <f t="shared" ca="1" si="2056"/>
        <v>#NAME?</v>
      </c>
      <c r="N211" s="28" t="e">
        <f t="shared" ca="1" si="2056"/>
        <v>#NAME?</v>
      </c>
      <c r="O211" s="28" t="e">
        <f t="shared" ca="1" si="2056"/>
        <v>#NAME?</v>
      </c>
      <c r="P211" s="28" t="e">
        <f t="shared" ca="1" si="2056"/>
        <v>#NAME?</v>
      </c>
      <c r="Q211" s="28" t="e">
        <f t="shared" ca="1" si="2056"/>
        <v>#NAME?</v>
      </c>
      <c r="R211" s="28" t="e">
        <f t="shared" ca="1" si="2056"/>
        <v>#NAME?</v>
      </c>
      <c r="S211" s="28" t="e">
        <f t="shared" ca="1" si="2056"/>
        <v>#NAME?</v>
      </c>
      <c r="T211" s="28" t="e">
        <f t="shared" ca="1" si="2056"/>
        <v>#NAME?</v>
      </c>
      <c r="U211" s="28" t="e">
        <f t="shared" ca="1" si="2056"/>
        <v>#NAME?</v>
      </c>
      <c r="V211" s="28" t="e">
        <f t="shared" ca="1" si="2056"/>
        <v>#NAME?</v>
      </c>
      <c r="W211" s="28" t="e">
        <f t="shared" ca="1" si="2056"/>
        <v>#NAME?</v>
      </c>
      <c r="X211" s="28" t="e">
        <f t="shared" ref="X211:Y211" ca="1" si="2057">X210-X161</f>
        <v>#NAME?</v>
      </c>
      <c r="Y211" s="28" t="e">
        <f t="shared" ca="1" si="2057"/>
        <v>#NAME?</v>
      </c>
      <c r="Z211" s="28" t="e">
        <f t="shared" ref="Z211:AA211" ca="1" si="2058">Z210-Z161</f>
        <v>#NAME?</v>
      </c>
      <c r="AA211" s="28" t="e">
        <f t="shared" ca="1" si="2058"/>
        <v>#NAME?</v>
      </c>
      <c r="AB211" s="30" t="e">
        <f t="shared" ref="AA211:AD211" ca="1" si="2059">AB210-AB161</f>
        <v>#NAME?</v>
      </c>
      <c r="AC211" s="30" t="e">
        <f t="shared" ca="1" si="2059"/>
        <v>#NAME?</v>
      </c>
      <c r="AD211" s="30" t="e">
        <f t="shared" ca="1" si="2059"/>
        <v>#NAME?</v>
      </c>
      <c r="AE211" s="30" t="e">
        <f t="shared" ref="AE211" ca="1" si="2060">AE210-AE161</f>
        <v>#NAME?</v>
      </c>
      <c r="AI211" s="28" t="e">
        <f t="shared" ref="AI211" ca="1" si="2061">AI210-AI161</f>
        <v>#NAME?</v>
      </c>
      <c r="AJ211" s="28" t="e">
        <f t="shared" ref="AJ211:AL211" ca="1" si="2062">AJ210-AJ161</f>
        <v>#NAME?</v>
      </c>
      <c r="AK211" s="28" t="e">
        <f t="shared" ca="1" si="2062"/>
        <v>#NAME?</v>
      </c>
      <c r="AL211" s="28" t="e">
        <f t="shared" ca="1" si="2062"/>
        <v>#NAME?</v>
      </c>
      <c r="AM211" s="28" t="e">
        <f t="shared" ref="AM211" ca="1" si="2063">AM210-AM161</f>
        <v>#NAME?</v>
      </c>
      <c r="AN211" s="28" t="e">
        <f t="shared" ref="AN211:CD211" ca="1" si="2064">AN210-AN161</f>
        <v>#NAME?</v>
      </c>
      <c r="AO211" s="28" t="e">
        <f t="shared" ca="1" si="2064"/>
        <v>#NAME?</v>
      </c>
      <c r="AP211" s="28" t="e">
        <f t="shared" ca="1" si="2064"/>
        <v>#NAME?</v>
      </c>
      <c r="AQ211" s="28" t="e">
        <f t="shared" ca="1" si="2064"/>
        <v>#NAME?</v>
      </c>
      <c r="AR211" s="28" t="e">
        <f t="shared" ca="1" si="2064"/>
        <v>#NAME?</v>
      </c>
      <c r="AS211" s="28" t="e">
        <f t="shared" ca="1" si="2064"/>
        <v>#NAME?</v>
      </c>
      <c r="AT211" s="28" t="e">
        <f t="shared" ca="1" si="2064"/>
        <v>#NAME?</v>
      </c>
      <c r="AU211" s="28" t="e">
        <f t="shared" ca="1" si="2064"/>
        <v>#NAME?</v>
      </c>
      <c r="AV211" s="28" t="e">
        <f t="shared" ca="1" si="2064"/>
        <v>#NAME?</v>
      </c>
      <c r="AW211" s="28" t="e">
        <f t="shared" ca="1" si="2064"/>
        <v>#NAME?</v>
      </c>
      <c r="AX211" s="28" t="e">
        <f t="shared" ca="1" si="2064"/>
        <v>#NAME?</v>
      </c>
      <c r="AY211" s="28" t="e">
        <f t="shared" ca="1" si="2064"/>
        <v>#NAME?</v>
      </c>
      <c r="AZ211" s="28" t="e">
        <f t="shared" ca="1" si="2064"/>
        <v>#NAME?</v>
      </c>
      <c r="BA211" s="28" t="e">
        <f t="shared" ca="1" si="2064"/>
        <v>#NAME?</v>
      </c>
      <c r="BB211" s="28" t="e">
        <f t="shared" ca="1" si="2064"/>
        <v>#NAME?</v>
      </c>
      <c r="BC211" s="28" t="e">
        <f t="shared" ca="1" si="2064"/>
        <v>#NAME?</v>
      </c>
      <c r="BD211" s="28" t="e">
        <f t="shared" ca="1" si="2064"/>
        <v>#NAME?</v>
      </c>
      <c r="BE211" s="28" t="e">
        <f t="shared" ca="1" si="2064"/>
        <v>#NAME?</v>
      </c>
      <c r="BF211" s="28" t="e">
        <f t="shared" ca="1" si="2064"/>
        <v>#NAME?</v>
      </c>
      <c r="BG211" s="28" t="e">
        <f t="shared" ca="1" si="2064"/>
        <v>#NAME?</v>
      </c>
      <c r="BH211" s="28" t="e">
        <f t="shared" ca="1" si="2064"/>
        <v>#NAME?</v>
      </c>
      <c r="BI211" s="28" t="e">
        <f t="shared" ca="1" si="2064"/>
        <v>#NAME?</v>
      </c>
      <c r="BJ211" s="28" t="e">
        <f t="shared" ca="1" si="2064"/>
        <v>#NAME?</v>
      </c>
      <c r="BK211" s="28" t="e">
        <f t="shared" ca="1" si="2064"/>
        <v>#NAME?</v>
      </c>
      <c r="BL211" s="28" t="e">
        <f t="shared" ca="1" si="2064"/>
        <v>#NAME?</v>
      </c>
      <c r="BM211" s="28" t="e">
        <f t="shared" ca="1" si="2064"/>
        <v>#NAME?</v>
      </c>
      <c r="BN211" s="28" t="e">
        <f t="shared" ca="1" si="2064"/>
        <v>#NAME?</v>
      </c>
      <c r="BO211" s="28" t="e">
        <f t="shared" ca="1" si="2064"/>
        <v>#NAME?</v>
      </c>
      <c r="BP211" s="28" t="e">
        <f t="shared" ca="1" si="2064"/>
        <v>#NAME?</v>
      </c>
      <c r="BQ211" s="28" t="e">
        <f t="shared" ca="1" si="2064"/>
        <v>#NAME?</v>
      </c>
      <c r="BR211" s="28" t="e">
        <f t="shared" ca="1" si="2064"/>
        <v>#NAME?</v>
      </c>
      <c r="BS211" s="28" t="e">
        <f t="shared" ca="1" si="2064"/>
        <v>#NAME?</v>
      </c>
      <c r="BT211" s="28" t="e">
        <f t="shared" ca="1" si="2064"/>
        <v>#NAME?</v>
      </c>
      <c r="BU211" s="28" t="e">
        <f t="shared" ca="1" si="2064"/>
        <v>#NAME?</v>
      </c>
      <c r="BV211" s="28" t="e">
        <f t="shared" ca="1" si="2064"/>
        <v>#NAME?</v>
      </c>
      <c r="BW211" s="28" t="e">
        <f t="shared" ca="1" si="2064"/>
        <v>#NAME?</v>
      </c>
      <c r="BX211" s="28" t="e">
        <f t="shared" ca="1" si="2064"/>
        <v>#NAME?</v>
      </c>
      <c r="BY211" s="28" t="e">
        <f t="shared" ca="1" si="2064"/>
        <v>#NAME?</v>
      </c>
      <c r="BZ211" s="28" t="e">
        <f t="shared" ca="1" si="2064"/>
        <v>#NAME?</v>
      </c>
      <c r="CA211" s="28" t="e">
        <f t="shared" ca="1" si="2064"/>
        <v>#NAME?</v>
      </c>
      <c r="CB211" s="28" t="e">
        <f t="shared" ca="1" si="2064"/>
        <v>#NAME?</v>
      </c>
      <c r="CC211" s="28" t="e">
        <f t="shared" ca="1" si="2064"/>
        <v>#NAME?</v>
      </c>
      <c r="CD211" s="28" t="e">
        <f t="shared" ca="1" si="2064"/>
        <v>#NAME?</v>
      </c>
      <c r="CE211" s="28" t="e">
        <f t="shared" ref="CE211:CF211" ca="1" si="2065">CE210-CE161</f>
        <v>#NAME?</v>
      </c>
      <c r="CF211" s="28" t="e">
        <f t="shared" ca="1" si="2065"/>
        <v>#NAME?</v>
      </c>
      <c r="CG211" s="28" t="e">
        <f t="shared" ref="CG211:CH211" ca="1" si="2066">CG210-CG161</f>
        <v>#NAME?</v>
      </c>
      <c r="CH211" s="28" t="e">
        <f t="shared" ca="1" si="2066"/>
        <v>#NAME?</v>
      </c>
      <c r="CI211" s="28" t="e">
        <f t="shared" ref="CI211:CJ211" ca="1" si="2067">CI210-CI161</f>
        <v>#NAME?</v>
      </c>
      <c r="CJ211" s="28" t="e">
        <f t="shared" ca="1" si="2067"/>
        <v>#NAME?</v>
      </c>
      <c r="CK211" s="28" t="e">
        <f t="shared" ref="CK211:DB211" ca="1" si="2068">CK210-CK161</f>
        <v>#NAME?</v>
      </c>
      <c r="CL211" s="28" t="e">
        <f t="shared" ca="1" si="2068"/>
        <v>#NAME?</v>
      </c>
      <c r="CM211" s="30" t="e">
        <f t="shared" ca="1" si="2068"/>
        <v>#NAME?</v>
      </c>
      <c r="CN211" s="30" t="e">
        <f t="shared" ca="1" si="2068"/>
        <v>#NAME?</v>
      </c>
      <c r="CO211" s="30" t="e">
        <f t="shared" ca="1" si="2068"/>
        <v>#NAME?</v>
      </c>
      <c r="CP211" s="30" t="e">
        <f t="shared" ca="1" si="2068"/>
        <v>#NAME?</v>
      </c>
      <c r="CQ211" s="30" t="e">
        <f t="shared" ca="1" si="2068"/>
        <v>#NAME?</v>
      </c>
      <c r="CR211" s="30" t="e">
        <f t="shared" ca="1" si="2068"/>
        <v>#NAME?</v>
      </c>
      <c r="CS211" s="30" t="e">
        <f t="shared" ca="1" si="2068"/>
        <v>#NAME?</v>
      </c>
      <c r="CT211" s="30" t="e">
        <f t="shared" ca="1" si="2068"/>
        <v>#NAME?</v>
      </c>
      <c r="CU211" s="30" t="e">
        <f t="shared" ca="1" si="2068"/>
        <v>#NAME?</v>
      </c>
      <c r="CV211" s="30" t="e">
        <f t="shared" ca="1" si="2068"/>
        <v>#NAME?</v>
      </c>
      <c r="CW211" s="30" t="e">
        <f t="shared" ca="1" si="2068"/>
        <v>#NAME?</v>
      </c>
      <c r="CX211" s="30" t="e">
        <f t="shared" ca="1" si="2068"/>
        <v>#NAME?</v>
      </c>
      <c r="CY211" s="30" t="e">
        <f t="shared" ca="1" si="2068"/>
        <v>#NAME?</v>
      </c>
      <c r="CZ211" s="30" t="e">
        <f t="shared" ca="1" si="2068"/>
        <v>#NAME?</v>
      </c>
      <c r="DA211" s="30" t="e">
        <f t="shared" ca="1" si="2068"/>
        <v>#NAME?</v>
      </c>
      <c r="DB211" s="30" t="e">
        <f t="shared" ca="1" si="2068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9">C199+C201</f>
        <v>#NAME?</v>
      </c>
      <c r="D213" s="22" t="e">
        <f t="shared" ca="1" si="2069"/>
        <v>#NAME?</v>
      </c>
      <c r="E213" s="22" t="e">
        <f t="shared" ca="1" si="2069"/>
        <v>#NAME?</v>
      </c>
      <c r="F213" s="22" t="e">
        <f t="shared" ca="1" si="2069"/>
        <v>#NAME?</v>
      </c>
      <c r="G213" s="22" t="e">
        <f t="shared" ca="1" si="2069"/>
        <v>#NAME?</v>
      </c>
      <c r="H213" s="22" t="e">
        <f t="shared" ca="1" si="2069"/>
        <v>#NAME?</v>
      </c>
      <c r="I213" s="22" t="e">
        <f t="shared" ca="1" si="2069"/>
        <v>#NAME?</v>
      </c>
      <c r="J213" s="22" t="e">
        <f ca="1">J199+J201</f>
        <v>#NAME?</v>
      </c>
      <c r="K213" s="22" t="e">
        <f t="shared" ca="1" si="2069"/>
        <v>#NAME?</v>
      </c>
      <c r="L213" s="22" t="e">
        <f t="shared" ca="1" si="2069"/>
        <v>#NAME?</v>
      </c>
      <c r="M213" s="22" t="e">
        <f t="shared" ca="1" si="2069"/>
        <v>#NAME?</v>
      </c>
      <c r="N213" s="22" t="e">
        <f t="shared" ca="1" si="2069"/>
        <v>#NAME?</v>
      </c>
      <c r="O213" s="22" t="e">
        <f t="shared" ca="1" si="2069"/>
        <v>#NAME?</v>
      </c>
      <c r="P213" s="22" t="e">
        <f t="shared" ca="1" si="2069"/>
        <v>#NAME?</v>
      </c>
      <c r="Q213" s="22" t="e">
        <f t="shared" ca="1" si="2069"/>
        <v>#NAME?</v>
      </c>
      <c r="R213" s="22" t="e">
        <f t="shared" ca="1" si="2069"/>
        <v>#NAME?</v>
      </c>
      <c r="S213" s="22" t="e">
        <f t="shared" ca="1" si="2069"/>
        <v>#NAME?</v>
      </c>
      <c r="T213" s="22" t="e">
        <f t="shared" ca="1" si="2069"/>
        <v>#NAME?</v>
      </c>
      <c r="U213" s="22" t="e">
        <f t="shared" ca="1" si="2069"/>
        <v>#NAME?</v>
      </c>
      <c r="V213" s="22" t="e">
        <f t="shared" ca="1" si="2069"/>
        <v>#NAME?</v>
      </c>
      <c r="W213" s="22" t="e">
        <f t="shared" ca="1" si="2069"/>
        <v>#NAME?</v>
      </c>
      <c r="X213" s="22" t="e">
        <f t="shared" ref="X213:Y213" ca="1" si="2070">X199+X201</f>
        <v>#NAME?</v>
      </c>
      <c r="Y213" s="22" t="e">
        <f t="shared" ca="1" si="2070"/>
        <v>#NAME?</v>
      </c>
      <c r="Z213" s="22" t="e">
        <f t="shared" ref="Z213:AA213" ca="1" si="2071">Z199+Z201</f>
        <v>#NAME?</v>
      </c>
      <c r="AA213" s="22" t="e">
        <f t="shared" ca="1" si="2071"/>
        <v>#NAME?</v>
      </c>
      <c r="AB213" s="21" t="e">
        <f t="shared" ref="AA213:AD213" ca="1" si="2072">AB199+AB201</f>
        <v>#NAME?</v>
      </c>
      <c r="AC213" s="21" t="e">
        <f t="shared" ca="1" si="2072"/>
        <v>#NAME?</v>
      </c>
      <c r="AD213" s="21" t="e">
        <f t="shared" ca="1" si="2072"/>
        <v>#NAME?</v>
      </c>
      <c r="AE213" s="21" t="e">
        <f t="shared" ref="AE213" ca="1" si="2073">AE199+AE201</f>
        <v>#NAME?</v>
      </c>
      <c r="AI213" s="22" t="e">
        <f t="shared" ref="AI213" ca="1" si="2074">AI199+AI201</f>
        <v>#NAME?</v>
      </c>
      <c r="AJ213" s="22" t="e">
        <f t="shared" ref="AJ213:AL213" ca="1" si="2075">AJ199+AJ201</f>
        <v>#NAME?</v>
      </c>
      <c r="AK213" s="22" t="e">
        <f t="shared" ca="1" si="2075"/>
        <v>#NAME?</v>
      </c>
      <c r="AL213" s="22" t="e">
        <f t="shared" ca="1" si="2075"/>
        <v>#NAME?</v>
      </c>
      <c r="AM213" s="22" t="e">
        <f t="shared" ref="AM213" ca="1" si="2076">AM199+AM201</f>
        <v>#NAME?</v>
      </c>
      <c r="AN213" s="22" t="e">
        <f t="shared" ref="AN213:CD213" ca="1" si="2077">AN199+AN201</f>
        <v>#NAME?</v>
      </c>
      <c r="AO213" s="22" t="e">
        <f t="shared" ca="1" si="2077"/>
        <v>#NAME?</v>
      </c>
      <c r="AP213" s="22" t="e">
        <f t="shared" ca="1" si="2077"/>
        <v>#NAME?</v>
      </c>
      <c r="AQ213" s="22" t="e">
        <f t="shared" ca="1" si="2077"/>
        <v>#NAME?</v>
      </c>
      <c r="AR213" s="22" t="e">
        <f t="shared" ca="1" si="2077"/>
        <v>#NAME?</v>
      </c>
      <c r="AS213" s="22" t="e">
        <f t="shared" ca="1" si="2077"/>
        <v>#NAME?</v>
      </c>
      <c r="AT213" s="22" t="e">
        <f t="shared" ca="1" si="2077"/>
        <v>#NAME?</v>
      </c>
      <c r="AU213" s="22" t="e">
        <f t="shared" ca="1" si="2077"/>
        <v>#NAME?</v>
      </c>
      <c r="AV213" s="22" t="e">
        <f t="shared" ca="1" si="2077"/>
        <v>#NAME?</v>
      </c>
      <c r="AW213" s="22" t="e">
        <f t="shared" ca="1" si="2077"/>
        <v>#NAME?</v>
      </c>
      <c r="AX213" s="22" t="e">
        <f t="shared" ca="1" si="2077"/>
        <v>#NAME?</v>
      </c>
      <c r="AY213" s="22" t="e">
        <f t="shared" ca="1" si="2077"/>
        <v>#NAME?</v>
      </c>
      <c r="AZ213" s="22" t="e">
        <f t="shared" ca="1" si="2077"/>
        <v>#NAME?</v>
      </c>
      <c r="BA213" s="22" t="e">
        <f t="shared" ca="1" si="2077"/>
        <v>#NAME?</v>
      </c>
      <c r="BB213" s="22" t="e">
        <f t="shared" ca="1" si="2077"/>
        <v>#NAME?</v>
      </c>
      <c r="BC213" s="22" t="e">
        <f t="shared" ca="1" si="2077"/>
        <v>#NAME?</v>
      </c>
      <c r="BD213" s="22" t="e">
        <f t="shared" ca="1" si="2077"/>
        <v>#NAME?</v>
      </c>
      <c r="BE213" s="22" t="e">
        <f t="shared" ca="1" si="2077"/>
        <v>#NAME?</v>
      </c>
      <c r="BF213" s="22" t="e">
        <f t="shared" ca="1" si="2077"/>
        <v>#NAME?</v>
      </c>
      <c r="BG213" s="22" t="e">
        <f t="shared" ca="1" si="2077"/>
        <v>#NAME?</v>
      </c>
      <c r="BH213" s="22" t="e">
        <f t="shared" ca="1" si="2077"/>
        <v>#NAME?</v>
      </c>
      <c r="BI213" s="22" t="e">
        <f t="shared" ca="1" si="2077"/>
        <v>#NAME?</v>
      </c>
      <c r="BJ213" s="22" t="e">
        <f t="shared" ca="1" si="2077"/>
        <v>#NAME?</v>
      </c>
      <c r="BK213" s="22" t="e">
        <f t="shared" ca="1" si="2077"/>
        <v>#NAME?</v>
      </c>
      <c r="BL213" s="22" t="e">
        <f t="shared" ca="1" si="2077"/>
        <v>#NAME?</v>
      </c>
      <c r="BM213" s="22" t="e">
        <f t="shared" ca="1" si="2077"/>
        <v>#NAME?</v>
      </c>
      <c r="BN213" s="22" t="e">
        <f t="shared" ca="1" si="2077"/>
        <v>#NAME?</v>
      </c>
      <c r="BO213" s="22" t="e">
        <f t="shared" ca="1" si="2077"/>
        <v>#NAME?</v>
      </c>
      <c r="BP213" s="22" t="e">
        <f t="shared" ca="1" si="2077"/>
        <v>#NAME?</v>
      </c>
      <c r="BQ213" s="22" t="e">
        <f t="shared" ca="1" si="2077"/>
        <v>#NAME?</v>
      </c>
      <c r="BR213" s="22" t="e">
        <f t="shared" ca="1" si="2077"/>
        <v>#NAME?</v>
      </c>
      <c r="BS213" s="22" t="e">
        <f t="shared" ca="1" si="2077"/>
        <v>#NAME?</v>
      </c>
      <c r="BT213" s="22" t="e">
        <f t="shared" ca="1" si="2077"/>
        <v>#NAME?</v>
      </c>
      <c r="BU213" s="22" t="e">
        <f t="shared" ca="1" si="2077"/>
        <v>#NAME?</v>
      </c>
      <c r="BV213" s="22" t="e">
        <f t="shared" ca="1" si="2077"/>
        <v>#NAME?</v>
      </c>
      <c r="BW213" s="22" t="e">
        <f t="shared" ca="1" si="2077"/>
        <v>#NAME?</v>
      </c>
      <c r="BX213" s="22" t="e">
        <f t="shared" ca="1" si="2077"/>
        <v>#NAME?</v>
      </c>
      <c r="BY213" s="22" t="e">
        <f t="shared" ca="1" si="2077"/>
        <v>#NAME?</v>
      </c>
      <c r="BZ213" s="22" t="e">
        <f t="shared" ca="1" si="2077"/>
        <v>#NAME?</v>
      </c>
      <c r="CA213" s="22" t="e">
        <f t="shared" ca="1" si="2077"/>
        <v>#NAME?</v>
      </c>
      <c r="CB213" s="22" t="e">
        <f t="shared" ca="1" si="2077"/>
        <v>#NAME?</v>
      </c>
      <c r="CC213" s="22" t="e">
        <f t="shared" ca="1" si="2077"/>
        <v>#NAME?</v>
      </c>
      <c r="CD213" s="22" t="e">
        <f t="shared" ca="1" si="2077"/>
        <v>#NAME?</v>
      </c>
      <c r="CE213" s="22" t="e">
        <f t="shared" ref="CE213:CF213" ca="1" si="2078">CE199+CE201</f>
        <v>#NAME?</v>
      </c>
      <c r="CF213" s="22" t="e">
        <f t="shared" ca="1" si="2078"/>
        <v>#NAME?</v>
      </c>
      <c r="CG213" s="22" t="e">
        <f t="shared" ref="CG213:CH213" ca="1" si="2079">CG199+CG201</f>
        <v>#NAME?</v>
      </c>
      <c r="CH213" s="22" t="e">
        <f t="shared" ca="1" si="2079"/>
        <v>#NAME?</v>
      </c>
      <c r="CI213" s="22" t="e">
        <f t="shared" ref="CI213:CJ213" ca="1" si="2080">CI199+CI201</f>
        <v>#NAME?</v>
      </c>
      <c r="CJ213" s="22" t="e">
        <f t="shared" ca="1" si="2080"/>
        <v>#NAME?</v>
      </c>
      <c r="CK213" s="22" t="e">
        <f t="shared" ref="CK213:DB213" ca="1" si="2081">CK199+CK201</f>
        <v>#NAME?</v>
      </c>
      <c r="CL213" s="22" t="e">
        <f t="shared" ca="1" si="2081"/>
        <v>#NAME?</v>
      </c>
      <c r="CM213" s="21" t="e">
        <f t="shared" ca="1" si="2081"/>
        <v>#NAME?</v>
      </c>
      <c r="CN213" s="21" t="e">
        <f t="shared" ca="1" si="2081"/>
        <v>#NAME?</v>
      </c>
      <c r="CO213" s="21" t="e">
        <f t="shared" ca="1" si="2081"/>
        <v>#NAME?</v>
      </c>
      <c r="CP213" s="21" t="e">
        <f t="shared" ca="1" si="2081"/>
        <v>#NAME?</v>
      </c>
      <c r="CQ213" s="21" t="e">
        <f t="shared" ca="1" si="2081"/>
        <v>#NAME?</v>
      </c>
      <c r="CR213" s="21" t="e">
        <f t="shared" ca="1" si="2081"/>
        <v>#NAME?</v>
      </c>
      <c r="CS213" s="21" t="e">
        <f t="shared" ca="1" si="2081"/>
        <v>#NAME?</v>
      </c>
      <c r="CT213" s="21" t="e">
        <f t="shared" ca="1" si="2081"/>
        <v>#NAME?</v>
      </c>
      <c r="CU213" s="21" t="e">
        <f t="shared" ca="1" si="2081"/>
        <v>#NAME?</v>
      </c>
      <c r="CV213" s="21" t="e">
        <f t="shared" ca="1" si="2081"/>
        <v>#NAME?</v>
      </c>
      <c r="CW213" s="21" t="e">
        <f t="shared" ca="1" si="2081"/>
        <v>#NAME?</v>
      </c>
      <c r="CX213" s="21" t="e">
        <f t="shared" ca="1" si="2081"/>
        <v>#NAME?</v>
      </c>
      <c r="CY213" s="21" t="e">
        <f t="shared" ca="1" si="2081"/>
        <v>#NAME?</v>
      </c>
      <c r="CZ213" s="21" t="e">
        <f t="shared" ca="1" si="2081"/>
        <v>#NAME?</v>
      </c>
      <c r="DA213" s="21" t="e">
        <f t="shared" ca="1" si="2081"/>
        <v>#NAME?</v>
      </c>
      <c r="DB213" s="21" t="e">
        <f t="shared" ca="1" si="2081"/>
        <v>#NAME?</v>
      </c>
      <c r="DE213" s="126"/>
      <c r="DF213" s="22">
        <v>4326.4400000000005</v>
      </c>
    </row>
    <row r="214" spans="1:110" x14ac:dyDescent="0.2">
      <c r="A214" s="152" t="s">
        <v>496</v>
      </c>
      <c r="AA214" s="2"/>
    </row>
    <row r="215" spans="1:110" x14ac:dyDescent="0.2">
      <c r="AA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2">SUM(AI10:AL10)</f>
        <v>#NAME?</v>
      </c>
      <c r="AM225" s="66" t="e">
        <f t="shared" ca="1" si="2082"/>
        <v>#NAME?</v>
      </c>
      <c r="AN225" s="66" t="e">
        <f t="shared" ca="1" si="2082"/>
        <v>#NAME?</v>
      </c>
      <c r="AO225" s="66" t="e">
        <f t="shared" ca="1" si="2082"/>
        <v>#NAME?</v>
      </c>
      <c r="AP225" s="66" t="e">
        <f t="shared" ca="1" si="2082"/>
        <v>#NAME?</v>
      </c>
      <c r="AQ225" s="66" t="e">
        <f t="shared" ca="1" si="2082"/>
        <v>#NAME?</v>
      </c>
      <c r="AR225" s="66" t="e">
        <f t="shared" ca="1" si="2082"/>
        <v>#NAME?</v>
      </c>
      <c r="AS225" s="66" t="e">
        <f t="shared" ca="1" si="2082"/>
        <v>#NAME?</v>
      </c>
      <c r="AT225" s="66" t="e">
        <f t="shared" ca="1" si="2082"/>
        <v>#NAME?</v>
      </c>
      <c r="AU225" s="66" t="e">
        <f t="shared" ca="1" si="2082"/>
        <v>#NAME?</v>
      </c>
      <c r="AV225" s="66" t="e">
        <f t="shared" ca="1" si="2082"/>
        <v>#NAME?</v>
      </c>
      <c r="AW225" s="66" t="e">
        <f t="shared" ca="1" si="2082"/>
        <v>#NAME?</v>
      </c>
      <c r="AX225" s="66" t="e">
        <f t="shared" ca="1" si="2082"/>
        <v>#NAME?</v>
      </c>
      <c r="AY225" s="66" t="e">
        <f t="shared" ca="1" si="2082"/>
        <v>#NAME?</v>
      </c>
      <c r="AZ225" s="66" t="e">
        <f t="shared" ca="1" si="2082"/>
        <v>#NAME?</v>
      </c>
      <c r="BA225" s="66" t="e">
        <f t="shared" ca="1" si="2082"/>
        <v>#NAME?</v>
      </c>
      <c r="BB225" s="66" t="e">
        <f t="shared" ca="1" si="2082"/>
        <v>#NAME?</v>
      </c>
      <c r="BC225" s="66" t="e">
        <f t="shared" ca="1" si="2082"/>
        <v>#NAME?</v>
      </c>
      <c r="BD225" s="66" t="e">
        <f t="shared" ca="1" si="2082"/>
        <v>#NAME?</v>
      </c>
      <c r="BE225" s="66" t="e">
        <f t="shared" ca="1" si="2082"/>
        <v>#NAME?</v>
      </c>
      <c r="BF225" s="66" t="e">
        <f t="shared" ca="1" si="2082"/>
        <v>#NAME?</v>
      </c>
      <c r="BG225" s="66" t="e">
        <f t="shared" ca="1" si="2082"/>
        <v>#NAME?</v>
      </c>
      <c r="BH225" s="66" t="e">
        <f t="shared" ca="1" si="2082"/>
        <v>#NAME?</v>
      </c>
      <c r="BI225" s="66" t="e">
        <f t="shared" ca="1" si="2082"/>
        <v>#NAME?</v>
      </c>
      <c r="BJ225" s="66" t="e">
        <f t="shared" ca="1" si="2082"/>
        <v>#NAME?</v>
      </c>
      <c r="BK225" s="66" t="e">
        <f t="shared" ca="1" si="2082"/>
        <v>#NAME?</v>
      </c>
      <c r="BL225" s="66" t="e">
        <f t="shared" ca="1" si="2082"/>
        <v>#NAME?</v>
      </c>
      <c r="BM225" s="66" t="e">
        <f t="shared" ca="1" si="2082"/>
        <v>#NAME?</v>
      </c>
      <c r="BN225" s="66" t="e">
        <f t="shared" ca="1" si="2082"/>
        <v>#NAME?</v>
      </c>
      <c r="BO225" s="66" t="e">
        <f t="shared" ca="1" si="2082"/>
        <v>#NAME?</v>
      </c>
      <c r="BP225" s="66" t="e">
        <f t="shared" ca="1" si="2082"/>
        <v>#NAME?</v>
      </c>
      <c r="BQ225" s="66" t="e">
        <f t="shared" ca="1" si="2082"/>
        <v>#NAME?</v>
      </c>
      <c r="BR225" s="66" t="e">
        <f t="shared" ref="BR225:CW225" ca="1" si="2083">SUM(BO10:BR10)</f>
        <v>#NAME?</v>
      </c>
      <c r="BS225" s="66" t="e">
        <f t="shared" ca="1" si="2083"/>
        <v>#NAME?</v>
      </c>
      <c r="BT225" s="66" t="e">
        <f t="shared" ca="1" si="2083"/>
        <v>#NAME?</v>
      </c>
      <c r="BU225" s="66" t="e">
        <f t="shared" ca="1" si="2083"/>
        <v>#NAME?</v>
      </c>
      <c r="BV225" s="66" t="e">
        <f t="shared" ca="1" si="2083"/>
        <v>#NAME?</v>
      </c>
      <c r="BW225" s="66" t="e">
        <f t="shared" ca="1" si="2083"/>
        <v>#NAME?</v>
      </c>
      <c r="BX225" s="66" t="e">
        <f t="shared" ca="1" si="2083"/>
        <v>#NAME?</v>
      </c>
      <c r="BY225" s="66" t="e">
        <f t="shared" ca="1" si="2083"/>
        <v>#NAME?</v>
      </c>
      <c r="BZ225" s="66" t="e">
        <f t="shared" ca="1" si="2083"/>
        <v>#NAME?</v>
      </c>
      <c r="CA225" s="66" t="e">
        <f t="shared" ca="1" si="2083"/>
        <v>#NAME?</v>
      </c>
      <c r="CB225" s="66" t="e">
        <f t="shared" ca="1" si="2083"/>
        <v>#NAME?</v>
      </c>
      <c r="CC225" s="66" t="e">
        <f t="shared" ca="1" si="2083"/>
        <v>#NAME?</v>
      </c>
      <c r="CD225" s="66" t="e">
        <f t="shared" ca="1" si="2083"/>
        <v>#NAME?</v>
      </c>
      <c r="CE225" s="66" t="e">
        <f t="shared" ca="1" si="2083"/>
        <v>#NAME?</v>
      </c>
      <c r="CF225" s="66" t="e">
        <f t="shared" ca="1" si="2083"/>
        <v>#NAME?</v>
      </c>
      <c r="CG225" s="66" t="e">
        <f t="shared" ca="1" si="2083"/>
        <v>#NAME?</v>
      </c>
      <c r="CH225" s="66" t="e">
        <f t="shared" ca="1" si="2083"/>
        <v>#NAME?</v>
      </c>
      <c r="CI225" s="66" t="e">
        <f t="shared" ca="1" si="2083"/>
        <v>#NAME?</v>
      </c>
      <c r="CJ225" s="66" t="e">
        <f t="shared" ca="1" si="2083"/>
        <v>#NAME?</v>
      </c>
      <c r="CK225" s="66" t="e">
        <f t="shared" ca="1" si="2083"/>
        <v>#NAME?</v>
      </c>
      <c r="CL225" s="66" t="e">
        <f t="shared" ca="1" si="2083"/>
        <v>#NAME?</v>
      </c>
      <c r="CM225" s="50" t="e">
        <f t="shared" ca="1" si="2083"/>
        <v>#NAME?</v>
      </c>
      <c r="CN225" s="50" t="e">
        <f t="shared" ca="1" si="2083"/>
        <v>#NAME?</v>
      </c>
      <c r="CO225" s="50" t="e">
        <f t="shared" ca="1" si="2083"/>
        <v>#NAME?</v>
      </c>
      <c r="CP225" s="50" t="e">
        <f t="shared" ca="1" si="2083"/>
        <v>#NAME?</v>
      </c>
      <c r="CQ225" s="50" t="e">
        <f t="shared" ca="1" si="2083"/>
        <v>#NAME?</v>
      </c>
      <c r="CR225" s="50" t="e">
        <f t="shared" ca="1" si="2083"/>
        <v>#NAME?</v>
      </c>
      <c r="CS225" s="50" t="e">
        <f t="shared" ca="1" si="2083"/>
        <v>#NAME?</v>
      </c>
      <c r="CT225" s="50" t="e">
        <f t="shared" ca="1" si="2083"/>
        <v>#NAME?</v>
      </c>
      <c r="CU225" s="50" t="e">
        <f t="shared" ca="1" si="2083"/>
        <v>#NAME?</v>
      </c>
      <c r="CV225" s="50" t="e">
        <f t="shared" ca="1" si="2083"/>
        <v>#NAME?</v>
      </c>
      <c r="CW225" s="50" t="e">
        <f t="shared" ca="1" si="2083"/>
        <v>#NAME?</v>
      </c>
      <c r="CX225" s="50" t="e">
        <f t="shared" ref="CX225:DB225" ca="1" si="2084">SUM(CU10:CX10)</f>
        <v>#NAME?</v>
      </c>
      <c r="CY225" s="50" t="e">
        <f t="shared" ca="1" si="2084"/>
        <v>#NAME?</v>
      </c>
      <c r="CZ225" s="50" t="e">
        <f t="shared" ca="1" si="2084"/>
        <v>#NAME?</v>
      </c>
      <c r="DA225" s="50" t="e">
        <f t="shared" ca="1" si="2084"/>
        <v>#NAME?</v>
      </c>
      <c r="DB225" s="50" t="e">
        <f t="shared" ca="1" si="2084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5">SUM(AI28:AL28)</f>
        <v>#NAME?</v>
      </c>
      <c r="AM226" s="66" t="e">
        <f t="shared" ca="1" si="2085"/>
        <v>#NAME?</v>
      </c>
      <c r="AN226" s="66" t="e">
        <f t="shared" ca="1" si="2085"/>
        <v>#NAME?</v>
      </c>
      <c r="AO226" s="66" t="e">
        <f t="shared" ca="1" si="2085"/>
        <v>#NAME?</v>
      </c>
      <c r="AP226" s="66" t="e">
        <f t="shared" ca="1" si="2085"/>
        <v>#NAME?</v>
      </c>
      <c r="AQ226" s="66" t="e">
        <f t="shared" ca="1" si="2085"/>
        <v>#NAME?</v>
      </c>
      <c r="AR226" s="66" t="e">
        <f t="shared" ca="1" si="2085"/>
        <v>#NAME?</v>
      </c>
      <c r="AS226" s="66" t="e">
        <f t="shared" ca="1" si="2085"/>
        <v>#NAME?</v>
      </c>
      <c r="AT226" s="66" t="e">
        <f t="shared" ca="1" si="2085"/>
        <v>#NAME?</v>
      </c>
      <c r="AU226" s="66" t="e">
        <f t="shared" ca="1" si="2085"/>
        <v>#NAME?</v>
      </c>
      <c r="AV226" s="66" t="e">
        <f t="shared" ca="1" si="2085"/>
        <v>#NAME?</v>
      </c>
      <c r="AW226" s="66" t="e">
        <f t="shared" ca="1" si="2085"/>
        <v>#NAME?</v>
      </c>
      <c r="AX226" s="66" t="e">
        <f t="shared" ca="1" si="2085"/>
        <v>#NAME?</v>
      </c>
      <c r="AY226" s="66" t="e">
        <f t="shared" ca="1" si="2085"/>
        <v>#NAME?</v>
      </c>
      <c r="AZ226" s="66" t="e">
        <f t="shared" ca="1" si="2085"/>
        <v>#NAME?</v>
      </c>
      <c r="BA226" s="66" t="e">
        <f t="shared" ca="1" si="2085"/>
        <v>#NAME?</v>
      </c>
      <c r="BB226" s="66" t="e">
        <f t="shared" ca="1" si="2085"/>
        <v>#NAME?</v>
      </c>
      <c r="BC226" s="66" t="e">
        <f t="shared" ca="1" si="2085"/>
        <v>#NAME?</v>
      </c>
      <c r="BD226" s="66" t="e">
        <f t="shared" ca="1" si="2085"/>
        <v>#NAME?</v>
      </c>
      <c r="BE226" s="66" t="e">
        <f t="shared" ca="1" si="2085"/>
        <v>#NAME?</v>
      </c>
      <c r="BF226" s="66" t="e">
        <f t="shared" ca="1" si="2085"/>
        <v>#NAME?</v>
      </c>
      <c r="BG226" s="66" t="e">
        <f t="shared" ca="1" si="2085"/>
        <v>#NAME?</v>
      </c>
      <c r="BH226" s="66" t="e">
        <f t="shared" ca="1" si="2085"/>
        <v>#NAME?</v>
      </c>
      <c r="BI226" s="66" t="e">
        <f t="shared" ca="1" si="2085"/>
        <v>#NAME?</v>
      </c>
      <c r="BJ226" s="66" t="e">
        <f t="shared" ca="1" si="2085"/>
        <v>#NAME?</v>
      </c>
      <c r="BK226" s="66" t="e">
        <f t="shared" ca="1" si="2085"/>
        <v>#NAME?</v>
      </c>
      <c r="BL226" s="66" t="e">
        <f t="shared" ca="1" si="2085"/>
        <v>#NAME?</v>
      </c>
      <c r="BM226" s="66" t="e">
        <f t="shared" ca="1" si="2085"/>
        <v>#NAME?</v>
      </c>
      <c r="BN226" s="66" t="e">
        <f t="shared" ca="1" si="2085"/>
        <v>#NAME?</v>
      </c>
      <c r="BO226" s="66" t="e">
        <f t="shared" ca="1" si="2085"/>
        <v>#NAME?</v>
      </c>
      <c r="BP226" s="66" t="e">
        <f t="shared" ca="1" si="2085"/>
        <v>#NAME?</v>
      </c>
      <c r="BQ226" s="66" t="e">
        <f t="shared" ca="1" si="2085"/>
        <v>#NAME?</v>
      </c>
      <c r="BR226" s="66" t="e">
        <f t="shared" ref="BR226:CW226" ca="1" si="2086">SUM(BO28:BR28)</f>
        <v>#NAME?</v>
      </c>
      <c r="BS226" s="66" t="e">
        <f t="shared" ca="1" si="2086"/>
        <v>#NAME?</v>
      </c>
      <c r="BT226" s="66" t="e">
        <f t="shared" ca="1" si="2086"/>
        <v>#NAME?</v>
      </c>
      <c r="BU226" s="66" t="e">
        <f t="shared" ca="1" si="2086"/>
        <v>#NAME?</v>
      </c>
      <c r="BV226" s="66" t="e">
        <f t="shared" ca="1" si="2086"/>
        <v>#NAME?</v>
      </c>
      <c r="BW226" s="66" t="e">
        <f t="shared" ca="1" si="2086"/>
        <v>#NAME?</v>
      </c>
      <c r="BX226" s="66" t="e">
        <f t="shared" ca="1" si="2086"/>
        <v>#NAME?</v>
      </c>
      <c r="BY226" s="66" t="e">
        <f t="shared" ca="1" si="2086"/>
        <v>#NAME?</v>
      </c>
      <c r="BZ226" s="66" t="e">
        <f t="shared" ca="1" si="2086"/>
        <v>#NAME?</v>
      </c>
      <c r="CA226" s="66" t="e">
        <f t="shared" ca="1" si="2086"/>
        <v>#NAME?</v>
      </c>
      <c r="CB226" s="66" t="e">
        <f t="shared" ca="1" si="2086"/>
        <v>#NAME?</v>
      </c>
      <c r="CC226" s="66" t="e">
        <f t="shared" ca="1" si="2086"/>
        <v>#NAME?</v>
      </c>
      <c r="CD226" s="66" t="e">
        <f t="shared" ca="1" si="2086"/>
        <v>#NAME?</v>
      </c>
      <c r="CE226" s="66" t="e">
        <f t="shared" ca="1" si="2086"/>
        <v>#NAME?</v>
      </c>
      <c r="CF226" s="66" t="e">
        <f t="shared" ca="1" si="2086"/>
        <v>#NAME?</v>
      </c>
      <c r="CG226" s="66" t="e">
        <f t="shared" ca="1" si="2086"/>
        <v>#NAME?</v>
      </c>
      <c r="CH226" s="66" t="e">
        <f t="shared" ca="1" si="2086"/>
        <v>#NAME?</v>
      </c>
      <c r="CI226" s="66" t="e">
        <f t="shared" ca="1" si="2086"/>
        <v>#NAME?</v>
      </c>
      <c r="CJ226" s="66" t="e">
        <f t="shared" ca="1" si="2086"/>
        <v>#NAME?</v>
      </c>
      <c r="CK226" s="66" t="e">
        <f t="shared" ca="1" si="2086"/>
        <v>#NAME?</v>
      </c>
      <c r="CL226" s="66" t="e">
        <f t="shared" ca="1" si="2086"/>
        <v>#NAME?</v>
      </c>
      <c r="CM226" s="50" t="e">
        <f t="shared" ca="1" si="2086"/>
        <v>#NAME?</v>
      </c>
      <c r="CN226" s="50" t="e">
        <f t="shared" ca="1" si="2086"/>
        <v>#NAME?</v>
      </c>
      <c r="CO226" s="50" t="e">
        <f t="shared" ca="1" si="2086"/>
        <v>#NAME?</v>
      </c>
      <c r="CP226" s="50" t="e">
        <f t="shared" ca="1" si="2086"/>
        <v>#NAME?</v>
      </c>
      <c r="CQ226" s="50" t="e">
        <f t="shared" ca="1" si="2086"/>
        <v>#NAME?</v>
      </c>
      <c r="CR226" s="50" t="e">
        <f t="shared" ca="1" si="2086"/>
        <v>#NAME?</v>
      </c>
      <c r="CS226" s="50" t="e">
        <f t="shared" ca="1" si="2086"/>
        <v>#NAME?</v>
      </c>
      <c r="CT226" s="50" t="e">
        <f t="shared" ca="1" si="2086"/>
        <v>#NAME?</v>
      </c>
      <c r="CU226" s="50" t="e">
        <f t="shared" ca="1" si="2086"/>
        <v>#NAME?</v>
      </c>
      <c r="CV226" s="50" t="e">
        <f t="shared" ca="1" si="2086"/>
        <v>#NAME?</v>
      </c>
      <c r="CW226" s="50" t="e">
        <f t="shared" ca="1" si="2086"/>
        <v>#NAME?</v>
      </c>
      <c r="CX226" s="50" t="e">
        <f t="shared" ref="CX226:DB226" ca="1" si="2087">SUM(CU28:CX28)</f>
        <v>#NAME?</v>
      </c>
      <c r="CY226" s="50" t="e">
        <f t="shared" ca="1" si="2087"/>
        <v>#NAME?</v>
      </c>
      <c r="CZ226" s="50" t="e">
        <f t="shared" ca="1" si="2087"/>
        <v>#NAME?</v>
      </c>
      <c r="DA226" s="50" t="e">
        <f t="shared" ca="1" si="2087"/>
        <v>#NAME?</v>
      </c>
      <c r="DB226" s="50" t="e">
        <f t="shared" ca="1" si="2087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8">SUM(AI41:AL41)</f>
        <v>#NAME?</v>
      </c>
      <c r="AM227" s="66" t="e">
        <f t="shared" ca="1" si="2088"/>
        <v>#NAME?</v>
      </c>
      <c r="AN227" s="66" t="e">
        <f t="shared" ca="1" si="2088"/>
        <v>#NAME?</v>
      </c>
      <c r="AO227" s="66" t="e">
        <f t="shared" ca="1" si="2088"/>
        <v>#NAME?</v>
      </c>
      <c r="AP227" s="66" t="e">
        <f t="shared" ca="1" si="2088"/>
        <v>#NAME?</v>
      </c>
      <c r="AQ227" s="66" t="e">
        <f t="shared" ca="1" si="2088"/>
        <v>#NAME?</v>
      </c>
      <c r="AR227" s="66" t="e">
        <f t="shared" ca="1" si="2088"/>
        <v>#NAME?</v>
      </c>
      <c r="AS227" s="66" t="e">
        <f t="shared" ca="1" si="2088"/>
        <v>#NAME?</v>
      </c>
      <c r="AT227" s="66" t="e">
        <f t="shared" ca="1" si="2088"/>
        <v>#NAME?</v>
      </c>
      <c r="AU227" s="66" t="e">
        <f t="shared" ca="1" si="2088"/>
        <v>#NAME?</v>
      </c>
      <c r="AV227" s="66" t="e">
        <f t="shared" ca="1" si="2088"/>
        <v>#NAME?</v>
      </c>
      <c r="AW227" s="66" t="e">
        <f t="shared" ca="1" si="2088"/>
        <v>#NAME?</v>
      </c>
      <c r="AX227" s="66" t="e">
        <f t="shared" ca="1" si="2088"/>
        <v>#NAME?</v>
      </c>
      <c r="AY227" s="66" t="e">
        <f t="shared" ca="1" si="2088"/>
        <v>#NAME?</v>
      </c>
      <c r="AZ227" s="66" t="e">
        <f t="shared" ca="1" si="2088"/>
        <v>#NAME?</v>
      </c>
      <c r="BA227" s="66" t="e">
        <f t="shared" ca="1" si="2088"/>
        <v>#NAME?</v>
      </c>
      <c r="BB227" s="66" t="e">
        <f t="shared" ca="1" si="2088"/>
        <v>#NAME?</v>
      </c>
      <c r="BC227" s="66" t="e">
        <f t="shared" ca="1" si="2088"/>
        <v>#NAME?</v>
      </c>
      <c r="BD227" s="66" t="e">
        <f t="shared" ca="1" si="2088"/>
        <v>#NAME?</v>
      </c>
      <c r="BE227" s="66" t="e">
        <f t="shared" ca="1" si="2088"/>
        <v>#NAME?</v>
      </c>
      <c r="BF227" s="66" t="e">
        <f t="shared" ca="1" si="2088"/>
        <v>#NAME?</v>
      </c>
      <c r="BG227" s="66" t="e">
        <f t="shared" ca="1" si="2088"/>
        <v>#NAME?</v>
      </c>
      <c r="BH227" s="66" t="e">
        <f t="shared" ca="1" si="2088"/>
        <v>#NAME?</v>
      </c>
      <c r="BI227" s="66" t="e">
        <f t="shared" ca="1" si="2088"/>
        <v>#NAME?</v>
      </c>
      <c r="BJ227" s="66" t="e">
        <f t="shared" ca="1" si="2088"/>
        <v>#NAME?</v>
      </c>
      <c r="BK227" s="66" t="e">
        <f t="shared" ca="1" si="2088"/>
        <v>#NAME?</v>
      </c>
      <c r="BL227" s="66" t="e">
        <f t="shared" ca="1" si="2088"/>
        <v>#NAME?</v>
      </c>
      <c r="BM227" s="66" t="e">
        <f t="shared" ca="1" si="2088"/>
        <v>#NAME?</v>
      </c>
      <c r="BN227" s="66" t="e">
        <f t="shared" ca="1" si="2088"/>
        <v>#NAME?</v>
      </c>
      <c r="BO227" s="66" t="e">
        <f t="shared" ca="1" si="2088"/>
        <v>#NAME?</v>
      </c>
      <c r="BP227" s="66" t="e">
        <f t="shared" ca="1" si="2088"/>
        <v>#NAME?</v>
      </c>
      <c r="BQ227" s="66" t="e">
        <f t="shared" ca="1" si="2088"/>
        <v>#NAME?</v>
      </c>
      <c r="BR227" s="66" t="e">
        <f t="shared" ref="BR227:CW227" ca="1" si="2089">SUM(BO41:BR41)</f>
        <v>#NAME?</v>
      </c>
      <c r="BS227" s="66" t="e">
        <f t="shared" ca="1" si="2089"/>
        <v>#NAME?</v>
      </c>
      <c r="BT227" s="66" t="e">
        <f t="shared" ca="1" si="2089"/>
        <v>#NAME?</v>
      </c>
      <c r="BU227" s="66" t="e">
        <f t="shared" ca="1" si="2089"/>
        <v>#NAME?</v>
      </c>
      <c r="BV227" s="66" t="e">
        <f t="shared" ca="1" si="2089"/>
        <v>#NAME?</v>
      </c>
      <c r="BW227" s="66" t="e">
        <f t="shared" ca="1" si="2089"/>
        <v>#NAME?</v>
      </c>
      <c r="BX227" s="66" t="e">
        <f t="shared" ca="1" si="2089"/>
        <v>#NAME?</v>
      </c>
      <c r="BY227" s="66" t="e">
        <f t="shared" ca="1" si="2089"/>
        <v>#NAME?</v>
      </c>
      <c r="BZ227" s="66" t="e">
        <f t="shared" ca="1" si="2089"/>
        <v>#NAME?</v>
      </c>
      <c r="CA227" s="66" t="e">
        <f t="shared" ca="1" si="2089"/>
        <v>#NAME?</v>
      </c>
      <c r="CB227" s="66" t="e">
        <f t="shared" ca="1" si="2089"/>
        <v>#NAME?</v>
      </c>
      <c r="CC227" s="66" t="e">
        <f t="shared" ca="1" si="2089"/>
        <v>#NAME?</v>
      </c>
      <c r="CD227" s="66" t="e">
        <f t="shared" ca="1" si="2089"/>
        <v>#NAME?</v>
      </c>
      <c r="CE227" s="66" t="e">
        <f t="shared" ca="1" si="2089"/>
        <v>#NAME?</v>
      </c>
      <c r="CF227" s="66" t="e">
        <f t="shared" ca="1" si="2089"/>
        <v>#NAME?</v>
      </c>
      <c r="CG227" s="66" t="e">
        <f t="shared" ca="1" si="2089"/>
        <v>#NAME?</v>
      </c>
      <c r="CH227" s="66" t="e">
        <f t="shared" ca="1" si="2089"/>
        <v>#NAME?</v>
      </c>
      <c r="CI227" s="66" t="e">
        <f t="shared" ca="1" si="2089"/>
        <v>#NAME?</v>
      </c>
      <c r="CJ227" s="66" t="e">
        <f t="shared" ca="1" si="2089"/>
        <v>#NAME?</v>
      </c>
      <c r="CK227" s="66" t="e">
        <f t="shared" ca="1" si="2089"/>
        <v>#NAME?</v>
      </c>
      <c r="CL227" s="66" t="e">
        <f t="shared" ca="1" si="2089"/>
        <v>#NAME?</v>
      </c>
      <c r="CM227" s="50" t="e">
        <f t="shared" ca="1" si="2089"/>
        <v>#NAME?</v>
      </c>
      <c r="CN227" s="50" t="e">
        <f t="shared" ca="1" si="2089"/>
        <v>#NAME?</v>
      </c>
      <c r="CO227" s="50" t="e">
        <f t="shared" ca="1" si="2089"/>
        <v>#NAME?</v>
      </c>
      <c r="CP227" s="50" t="e">
        <f t="shared" ca="1" si="2089"/>
        <v>#NAME?</v>
      </c>
      <c r="CQ227" s="50" t="e">
        <f t="shared" ca="1" si="2089"/>
        <v>#NAME?</v>
      </c>
      <c r="CR227" s="50" t="e">
        <f t="shared" ca="1" si="2089"/>
        <v>#NAME?</v>
      </c>
      <c r="CS227" s="50" t="e">
        <f t="shared" ca="1" si="2089"/>
        <v>#NAME?</v>
      </c>
      <c r="CT227" s="50" t="e">
        <f t="shared" ca="1" si="2089"/>
        <v>#NAME?</v>
      </c>
      <c r="CU227" s="50" t="e">
        <f t="shared" ca="1" si="2089"/>
        <v>#NAME?</v>
      </c>
      <c r="CV227" s="50" t="e">
        <f t="shared" ca="1" si="2089"/>
        <v>#NAME?</v>
      </c>
      <c r="CW227" s="50" t="e">
        <f t="shared" ca="1" si="2089"/>
        <v>#NAME?</v>
      </c>
      <c r="CX227" s="50" t="e">
        <f t="shared" ref="CX227:DB227" ca="1" si="2090">SUM(CU41:CX41)</f>
        <v>#NAME?</v>
      </c>
      <c r="CY227" s="50" t="e">
        <f t="shared" ca="1" si="2090"/>
        <v>#NAME?</v>
      </c>
      <c r="CZ227" s="50" t="e">
        <f t="shared" ca="1" si="2090"/>
        <v>#NAME?</v>
      </c>
      <c r="DA227" s="50" t="e">
        <f t="shared" ca="1" si="2090"/>
        <v>#NAME?</v>
      </c>
      <c r="DB227" s="50" t="e">
        <f t="shared" ca="1" si="2090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91">B8-B237</f>
        <v>#NAME?</v>
      </c>
      <c r="C231" s="64" t="e">
        <f t="shared" ca="1" si="2091"/>
        <v>#NAME?</v>
      </c>
      <c r="D231" s="64" t="e">
        <f t="shared" ca="1" si="2091"/>
        <v>#NAME?</v>
      </c>
      <c r="E231" s="64" t="e">
        <f t="shared" ca="1" si="2091"/>
        <v>#NAME?</v>
      </c>
      <c r="F231" s="64" t="e">
        <f t="shared" ca="1" si="2091"/>
        <v>#NAME?</v>
      </c>
      <c r="G231" s="64" t="e">
        <f t="shared" ca="1" si="2091"/>
        <v>#NAME?</v>
      </c>
      <c r="H231" s="64" t="e">
        <f t="shared" ca="1" si="2091"/>
        <v>#NAME?</v>
      </c>
      <c r="I231" s="64" t="e">
        <f t="shared" ca="1" si="2091"/>
        <v>#NAME?</v>
      </c>
      <c r="J231" s="64" t="e">
        <f t="shared" ca="1" si="2091"/>
        <v>#NAME?</v>
      </c>
      <c r="K231" s="64" t="e">
        <f t="shared" ca="1" si="2091"/>
        <v>#NAME?</v>
      </c>
      <c r="L231" s="64" t="e">
        <f t="shared" ca="1" si="2091"/>
        <v>#NAME?</v>
      </c>
      <c r="M231" s="64" t="e">
        <f t="shared" ca="1" si="2091"/>
        <v>#NAME?</v>
      </c>
      <c r="N231" s="64" t="e">
        <f t="shared" ca="1" si="2091"/>
        <v>#NAME?</v>
      </c>
      <c r="O231" s="64" t="e">
        <f t="shared" ca="1" si="2091"/>
        <v>#NAME?</v>
      </c>
      <c r="P231" s="64" t="e">
        <f t="shared" ca="1" si="2091"/>
        <v>#NAME?</v>
      </c>
      <c r="Q231" s="64" t="e">
        <f t="shared" ca="1" si="2091"/>
        <v>#NAME?</v>
      </c>
      <c r="R231" s="64" t="e">
        <f t="shared" ca="1" si="2091"/>
        <v>#NAME?</v>
      </c>
      <c r="S231" s="64" t="e">
        <f t="shared" ca="1" si="2091"/>
        <v>#NAME?</v>
      </c>
      <c r="T231" s="64" t="e">
        <f t="shared" ca="1" si="2091"/>
        <v>#NAME?</v>
      </c>
      <c r="U231" s="64" t="e">
        <f t="shared" ca="1" si="2091"/>
        <v>#NAME?</v>
      </c>
      <c r="V231" s="64" t="e">
        <f t="shared" ca="1" si="2091"/>
        <v>#NAME?</v>
      </c>
      <c r="W231" s="64" t="e">
        <f t="shared" ca="1" si="2091"/>
        <v>#NAME?</v>
      </c>
      <c r="X231" s="64" t="e">
        <f t="shared" ca="1" si="2091"/>
        <v>#NAME?</v>
      </c>
      <c r="Y231" s="64" t="e">
        <f t="shared" ca="1" si="2091"/>
        <v>#NAME?</v>
      </c>
      <c r="Z231" s="64" t="e">
        <f t="shared" ca="1" si="2091"/>
        <v>#NAME?</v>
      </c>
      <c r="AA231" s="64" t="e">
        <f t="shared" ref="AA231" ca="1" si="2092">AA8-AA237</f>
        <v>#NAME?</v>
      </c>
      <c r="AB231" s="30"/>
      <c r="AC231" s="30"/>
      <c r="AD231" s="30"/>
      <c r="AE231" s="30"/>
      <c r="AI231" s="64" t="e">
        <f t="shared" ref="AI231:BN231" ca="1" si="2093">AI8-AI237</f>
        <v>#NAME?</v>
      </c>
      <c r="AJ231" s="64" t="e">
        <f t="shared" ca="1" si="2093"/>
        <v>#NAME?</v>
      </c>
      <c r="AK231" s="64" t="e">
        <f t="shared" ca="1" si="2093"/>
        <v>#NAME?</v>
      </c>
      <c r="AL231" s="64" t="e">
        <f t="shared" ca="1" si="2093"/>
        <v>#NAME?</v>
      </c>
      <c r="AM231" s="64" t="e">
        <f t="shared" ca="1" si="2093"/>
        <v>#NAME?</v>
      </c>
      <c r="AN231" s="64" t="e">
        <f t="shared" ca="1" si="2093"/>
        <v>#NAME?</v>
      </c>
      <c r="AO231" s="64" t="e">
        <f t="shared" ca="1" si="2093"/>
        <v>#NAME?</v>
      </c>
      <c r="AP231" s="64" t="e">
        <f t="shared" ca="1" si="2093"/>
        <v>#NAME?</v>
      </c>
      <c r="AQ231" s="64" t="e">
        <f t="shared" ca="1" si="2093"/>
        <v>#NAME?</v>
      </c>
      <c r="AR231" s="64" t="e">
        <f t="shared" ca="1" si="2093"/>
        <v>#NAME?</v>
      </c>
      <c r="AS231" s="64" t="e">
        <f t="shared" ca="1" si="2093"/>
        <v>#NAME?</v>
      </c>
      <c r="AT231" s="64" t="e">
        <f t="shared" ca="1" si="2093"/>
        <v>#NAME?</v>
      </c>
      <c r="AU231" s="64" t="e">
        <f t="shared" ca="1" si="2093"/>
        <v>#NAME?</v>
      </c>
      <c r="AV231" s="64" t="e">
        <f t="shared" ca="1" si="2093"/>
        <v>#NAME?</v>
      </c>
      <c r="AW231" s="64" t="e">
        <f t="shared" ca="1" si="2093"/>
        <v>#NAME?</v>
      </c>
      <c r="AX231" s="64" t="e">
        <f t="shared" ca="1" si="2093"/>
        <v>#NAME?</v>
      </c>
      <c r="AY231" s="64" t="e">
        <f t="shared" ca="1" si="2093"/>
        <v>#NAME?</v>
      </c>
      <c r="AZ231" s="64" t="e">
        <f t="shared" ca="1" si="2093"/>
        <v>#NAME?</v>
      </c>
      <c r="BA231" s="64" t="e">
        <f t="shared" ca="1" si="2093"/>
        <v>#NAME?</v>
      </c>
      <c r="BB231" s="64" t="e">
        <f t="shared" ca="1" si="2093"/>
        <v>#NAME?</v>
      </c>
      <c r="BC231" s="64" t="e">
        <f t="shared" ca="1" si="2093"/>
        <v>#NAME?</v>
      </c>
      <c r="BD231" s="64" t="e">
        <f t="shared" ca="1" si="2093"/>
        <v>#NAME?</v>
      </c>
      <c r="BE231" s="64" t="e">
        <f t="shared" ca="1" si="2093"/>
        <v>#NAME?</v>
      </c>
      <c r="BF231" s="64" t="e">
        <f t="shared" ca="1" si="2093"/>
        <v>#NAME?</v>
      </c>
      <c r="BG231" s="64" t="e">
        <f t="shared" ca="1" si="2093"/>
        <v>#NAME?</v>
      </c>
      <c r="BH231" s="64" t="e">
        <f t="shared" ca="1" si="2093"/>
        <v>#NAME?</v>
      </c>
      <c r="BI231" s="64" t="e">
        <f t="shared" ca="1" si="2093"/>
        <v>#NAME?</v>
      </c>
      <c r="BJ231" s="64" t="e">
        <f t="shared" ca="1" si="2093"/>
        <v>#NAME?</v>
      </c>
      <c r="BK231" s="64" t="e">
        <f t="shared" ca="1" si="2093"/>
        <v>#NAME?</v>
      </c>
      <c r="BL231" s="64" t="e">
        <f t="shared" ca="1" si="2093"/>
        <v>#NAME?</v>
      </c>
      <c r="BM231" s="64" t="e">
        <f t="shared" ca="1" si="2093"/>
        <v>#NAME?</v>
      </c>
      <c r="BN231" s="64" t="e">
        <f t="shared" ca="1" si="2093"/>
        <v>#NAME?</v>
      </c>
      <c r="BO231" s="64" t="e">
        <f t="shared" ref="BO231:CT231" ca="1" si="2094">BO8-BO237</f>
        <v>#NAME?</v>
      </c>
      <c r="BP231" s="64" t="e">
        <f t="shared" ca="1" si="2094"/>
        <v>#NAME?</v>
      </c>
      <c r="BQ231" s="64" t="e">
        <f t="shared" ca="1" si="2094"/>
        <v>#NAME?</v>
      </c>
      <c r="BR231" s="64" t="e">
        <f t="shared" ca="1" si="2094"/>
        <v>#NAME?</v>
      </c>
      <c r="BS231" s="64" t="e">
        <f t="shared" ca="1" si="2094"/>
        <v>#NAME?</v>
      </c>
      <c r="BT231" s="64" t="e">
        <f t="shared" ca="1" si="2094"/>
        <v>#NAME?</v>
      </c>
      <c r="BU231" s="64" t="e">
        <f t="shared" ca="1" si="2094"/>
        <v>#NAME?</v>
      </c>
      <c r="BV231" s="64" t="e">
        <f t="shared" ca="1" si="2094"/>
        <v>#NAME?</v>
      </c>
      <c r="BW231" s="64" t="e">
        <f t="shared" ca="1" si="2094"/>
        <v>#NAME?</v>
      </c>
      <c r="BX231" s="64" t="e">
        <f t="shared" ca="1" si="2094"/>
        <v>#NAME?</v>
      </c>
      <c r="BY231" s="64" t="e">
        <f t="shared" ca="1" si="2094"/>
        <v>#NAME?</v>
      </c>
      <c r="BZ231" s="64" t="e">
        <f t="shared" ca="1" si="2094"/>
        <v>#NAME?</v>
      </c>
      <c r="CA231" s="64" t="e">
        <f t="shared" ca="1" si="2094"/>
        <v>#NAME?</v>
      </c>
      <c r="CB231" s="64" t="e">
        <f t="shared" ca="1" si="2094"/>
        <v>#NAME?</v>
      </c>
      <c r="CC231" s="64" t="e">
        <f t="shared" ca="1" si="2094"/>
        <v>#NAME?</v>
      </c>
      <c r="CD231" s="64" t="e">
        <f t="shared" ca="1" si="2094"/>
        <v>#NAME?</v>
      </c>
      <c r="CE231" s="64" t="e">
        <f t="shared" ca="1" si="2094"/>
        <v>#NAME?</v>
      </c>
      <c r="CF231" s="64" t="e">
        <f t="shared" ca="1" si="2094"/>
        <v>#NAME?</v>
      </c>
      <c r="CG231" s="64" t="e">
        <f t="shared" ca="1" si="2094"/>
        <v>#NAME?</v>
      </c>
      <c r="CH231" s="64" t="e">
        <f t="shared" ca="1" si="2094"/>
        <v>#NAME?</v>
      </c>
      <c r="CI231" s="64" t="e">
        <f t="shared" ca="1" si="2094"/>
        <v>#NAME?</v>
      </c>
      <c r="CJ231" s="64" t="e">
        <f t="shared" ca="1" si="2094"/>
        <v>#NAME?</v>
      </c>
      <c r="CK231" s="64" t="e">
        <f t="shared" ca="1" si="2094"/>
        <v>#NAME?</v>
      </c>
      <c r="CL231" s="64" t="e">
        <f t="shared" ca="1" si="2094"/>
        <v>#NAME?</v>
      </c>
      <c r="CM231" s="30" t="e">
        <f t="shared" ca="1" si="2094"/>
        <v>#NAME?</v>
      </c>
      <c r="CN231" s="30" t="e">
        <f t="shared" ca="1" si="2094"/>
        <v>#NAME?</v>
      </c>
      <c r="CO231" s="30" t="e">
        <f t="shared" ca="1" si="2094"/>
        <v>#NAME?</v>
      </c>
      <c r="CP231" s="30" t="e">
        <f t="shared" ca="1" si="2094"/>
        <v>#NAME?</v>
      </c>
      <c r="CQ231" s="30" t="e">
        <f t="shared" ca="1" si="2094"/>
        <v>#NAME?</v>
      </c>
      <c r="CR231" s="30" t="e">
        <f t="shared" ca="1" si="2094"/>
        <v>#NAME?</v>
      </c>
      <c r="CS231" s="30" t="e">
        <f t="shared" ca="1" si="2094"/>
        <v>#NAME?</v>
      </c>
      <c r="CT231" s="30" t="e">
        <f t="shared" ca="1" si="2094"/>
        <v>#NAME?</v>
      </c>
      <c r="CU231" s="30" t="e">
        <f t="shared" ref="CU231:DB231" ca="1" si="2095">CU8-CU237</f>
        <v>#NAME?</v>
      </c>
      <c r="CV231" s="30" t="e">
        <f t="shared" ca="1" si="2095"/>
        <v>#NAME?</v>
      </c>
      <c r="CW231" s="30" t="e">
        <f t="shared" ca="1" si="2095"/>
        <v>#NAME?</v>
      </c>
      <c r="CX231" s="30" t="e">
        <f t="shared" ca="1" si="2095"/>
        <v>#NAME?</v>
      </c>
      <c r="CY231" s="30" t="e">
        <f t="shared" ca="1" si="2095"/>
        <v>#NAME?</v>
      </c>
      <c r="CZ231" s="30" t="e">
        <f t="shared" ca="1" si="2095"/>
        <v>#NAME?</v>
      </c>
      <c r="DA231" s="30" t="e">
        <f t="shared" ca="1" si="2095"/>
        <v>#NAME?</v>
      </c>
      <c r="DB231" s="30" t="e">
        <f t="shared" ca="1" si="2095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6">B28-B238</f>
        <v>#NAME?</v>
      </c>
      <c r="C232" s="64" t="e">
        <f t="shared" ca="1" si="2096"/>
        <v>#NAME?</v>
      </c>
      <c r="D232" s="64" t="e">
        <f t="shared" ca="1" si="2096"/>
        <v>#NAME?</v>
      </c>
      <c r="E232" s="64" t="e">
        <f t="shared" ca="1" si="2096"/>
        <v>#NAME?</v>
      </c>
      <c r="F232" s="64" t="e">
        <f t="shared" ca="1" si="2096"/>
        <v>#NAME?</v>
      </c>
      <c r="G232" s="64" t="e">
        <f t="shared" ca="1" si="2096"/>
        <v>#NAME?</v>
      </c>
      <c r="H232" s="64" t="e">
        <f t="shared" ca="1" si="2096"/>
        <v>#NAME?</v>
      </c>
      <c r="I232" s="64" t="e">
        <f t="shared" ca="1" si="2096"/>
        <v>#NAME?</v>
      </c>
      <c r="J232" s="64" t="e">
        <f t="shared" ca="1" si="2096"/>
        <v>#NAME?</v>
      </c>
      <c r="K232" s="64" t="e">
        <f t="shared" ca="1" si="2096"/>
        <v>#NAME?</v>
      </c>
      <c r="L232" s="64" t="e">
        <f t="shared" ca="1" si="2096"/>
        <v>#NAME?</v>
      </c>
      <c r="M232" s="64" t="e">
        <f t="shared" ca="1" si="2096"/>
        <v>#NAME?</v>
      </c>
      <c r="N232" s="64" t="e">
        <f t="shared" ca="1" si="2096"/>
        <v>#NAME?</v>
      </c>
      <c r="O232" s="64" t="e">
        <f t="shared" ca="1" si="2096"/>
        <v>#NAME?</v>
      </c>
      <c r="P232" s="64" t="e">
        <f t="shared" ca="1" si="2096"/>
        <v>#NAME?</v>
      </c>
      <c r="Q232" s="64" t="e">
        <f t="shared" ca="1" si="2096"/>
        <v>#NAME?</v>
      </c>
      <c r="R232" s="64" t="e">
        <f t="shared" ca="1" si="2096"/>
        <v>#NAME?</v>
      </c>
      <c r="S232" s="64" t="e">
        <f t="shared" ca="1" si="2096"/>
        <v>#NAME?</v>
      </c>
      <c r="T232" s="64" t="e">
        <f t="shared" ca="1" si="2096"/>
        <v>#NAME?</v>
      </c>
      <c r="U232" s="64" t="e">
        <f t="shared" ca="1" si="2096"/>
        <v>#NAME?</v>
      </c>
      <c r="V232" s="64" t="e">
        <f t="shared" ca="1" si="2096"/>
        <v>#NAME?</v>
      </c>
      <c r="W232" s="64" t="e">
        <f t="shared" ca="1" si="2096"/>
        <v>#NAME?</v>
      </c>
      <c r="X232" s="64" t="e">
        <f t="shared" ca="1" si="2096"/>
        <v>#NAME?</v>
      </c>
      <c r="Y232" s="64" t="e">
        <f t="shared" ca="1" si="2096"/>
        <v>#NAME?</v>
      </c>
      <c r="Z232" s="64" t="e">
        <f t="shared" ca="1" si="2096"/>
        <v>#NAME?</v>
      </c>
      <c r="AA232" s="64" t="e">
        <f t="shared" ref="AA232" ca="1" si="2097">AA28-AA238</f>
        <v>#NAME?</v>
      </c>
      <c r="AB232" s="30"/>
      <c r="AC232" s="30"/>
      <c r="AD232" s="30"/>
      <c r="AE232" s="30"/>
      <c r="AI232" s="64" t="e">
        <f t="shared" ref="AI232:BN232" ca="1" si="2098">AI28-AI238</f>
        <v>#NAME?</v>
      </c>
      <c r="AJ232" s="64" t="e">
        <f t="shared" ca="1" si="2098"/>
        <v>#NAME?</v>
      </c>
      <c r="AK232" s="64" t="e">
        <f t="shared" ca="1" si="2098"/>
        <v>#NAME?</v>
      </c>
      <c r="AL232" s="64" t="e">
        <f t="shared" ca="1" si="2098"/>
        <v>#NAME?</v>
      </c>
      <c r="AM232" s="64" t="e">
        <f t="shared" ca="1" si="2098"/>
        <v>#NAME?</v>
      </c>
      <c r="AN232" s="64" t="e">
        <f t="shared" ca="1" si="2098"/>
        <v>#NAME?</v>
      </c>
      <c r="AO232" s="64" t="e">
        <f t="shared" ca="1" si="2098"/>
        <v>#NAME?</v>
      </c>
      <c r="AP232" s="64" t="e">
        <f t="shared" ca="1" si="2098"/>
        <v>#NAME?</v>
      </c>
      <c r="AQ232" s="64" t="e">
        <f t="shared" ca="1" si="2098"/>
        <v>#NAME?</v>
      </c>
      <c r="AR232" s="64" t="e">
        <f t="shared" ca="1" si="2098"/>
        <v>#NAME?</v>
      </c>
      <c r="AS232" s="64" t="e">
        <f t="shared" ca="1" si="2098"/>
        <v>#NAME?</v>
      </c>
      <c r="AT232" s="64" t="e">
        <f t="shared" ca="1" si="2098"/>
        <v>#NAME?</v>
      </c>
      <c r="AU232" s="64" t="e">
        <f t="shared" ca="1" si="2098"/>
        <v>#NAME?</v>
      </c>
      <c r="AV232" s="64" t="e">
        <f t="shared" ca="1" si="2098"/>
        <v>#NAME?</v>
      </c>
      <c r="AW232" s="64" t="e">
        <f t="shared" ca="1" si="2098"/>
        <v>#NAME?</v>
      </c>
      <c r="AX232" s="64" t="e">
        <f t="shared" ca="1" si="2098"/>
        <v>#NAME?</v>
      </c>
      <c r="AY232" s="64" t="e">
        <f t="shared" ca="1" si="2098"/>
        <v>#NAME?</v>
      </c>
      <c r="AZ232" s="64" t="e">
        <f t="shared" ca="1" si="2098"/>
        <v>#NAME?</v>
      </c>
      <c r="BA232" s="64" t="e">
        <f t="shared" ca="1" si="2098"/>
        <v>#NAME?</v>
      </c>
      <c r="BB232" s="64" t="e">
        <f t="shared" ca="1" si="2098"/>
        <v>#NAME?</v>
      </c>
      <c r="BC232" s="64" t="e">
        <f t="shared" ca="1" si="2098"/>
        <v>#NAME?</v>
      </c>
      <c r="BD232" s="64" t="e">
        <f t="shared" ca="1" si="2098"/>
        <v>#NAME?</v>
      </c>
      <c r="BE232" s="64" t="e">
        <f t="shared" ca="1" si="2098"/>
        <v>#NAME?</v>
      </c>
      <c r="BF232" s="64" t="e">
        <f t="shared" ca="1" si="2098"/>
        <v>#NAME?</v>
      </c>
      <c r="BG232" s="64" t="e">
        <f t="shared" ca="1" si="2098"/>
        <v>#NAME?</v>
      </c>
      <c r="BH232" s="64" t="e">
        <f t="shared" ca="1" si="2098"/>
        <v>#NAME?</v>
      </c>
      <c r="BI232" s="64" t="e">
        <f t="shared" ca="1" si="2098"/>
        <v>#NAME?</v>
      </c>
      <c r="BJ232" s="64" t="e">
        <f t="shared" ca="1" si="2098"/>
        <v>#NAME?</v>
      </c>
      <c r="BK232" s="64" t="e">
        <f t="shared" ca="1" si="2098"/>
        <v>#NAME?</v>
      </c>
      <c r="BL232" s="64" t="e">
        <f t="shared" ca="1" si="2098"/>
        <v>#NAME?</v>
      </c>
      <c r="BM232" s="64" t="e">
        <f t="shared" ca="1" si="2098"/>
        <v>#NAME?</v>
      </c>
      <c r="BN232" s="64" t="e">
        <f t="shared" ca="1" si="2098"/>
        <v>#NAME?</v>
      </c>
      <c r="BO232" s="64" t="e">
        <f t="shared" ref="BO232:CT232" ca="1" si="2099">BO28-BO238</f>
        <v>#NAME?</v>
      </c>
      <c r="BP232" s="64" t="e">
        <f t="shared" ca="1" si="2099"/>
        <v>#NAME?</v>
      </c>
      <c r="BQ232" s="64" t="e">
        <f t="shared" ca="1" si="2099"/>
        <v>#NAME?</v>
      </c>
      <c r="BR232" s="64" t="e">
        <f t="shared" ca="1" si="2099"/>
        <v>#NAME?</v>
      </c>
      <c r="BS232" s="64" t="e">
        <f t="shared" ca="1" si="2099"/>
        <v>#NAME?</v>
      </c>
      <c r="BT232" s="64" t="e">
        <f t="shared" ca="1" si="2099"/>
        <v>#NAME?</v>
      </c>
      <c r="BU232" s="64" t="e">
        <f t="shared" ca="1" si="2099"/>
        <v>#NAME?</v>
      </c>
      <c r="BV232" s="64" t="e">
        <f t="shared" ca="1" si="2099"/>
        <v>#NAME?</v>
      </c>
      <c r="BW232" s="64" t="e">
        <f t="shared" ca="1" si="2099"/>
        <v>#NAME?</v>
      </c>
      <c r="BX232" s="64" t="e">
        <f t="shared" ca="1" si="2099"/>
        <v>#NAME?</v>
      </c>
      <c r="BY232" s="64" t="e">
        <f t="shared" ca="1" si="2099"/>
        <v>#NAME?</v>
      </c>
      <c r="BZ232" s="64" t="e">
        <f t="shared" ca="1" si="2099"/>
        <v>#NAME?</v>
      </c>
      <c r="CA232" s="64" t="e">
        <f t="shared" ca="1" si="2099"/>
        <v>#NAME?</v>
      </c>
      <c r="CB232" s="64" t="e">
        <f t="shared" ca="1" si="2099"/>
        <v>#NAME?</v>
      </c>
      <c r="CC232" s="64" t="e">
        <f t="shared" ca="1" si="2099"/>
        <v>#NAME?</v>
      </c>
      <c r="CD232" s="64" t="e">
        <f t="shared" ca="1" si="2099"/>
        <v>#NAME?</v>
      </c>
      <c r="CE232" s="64" t="e">
        <f t="shared" ca="1" si="2099"/>
        <v>#NAME?</v>
      </c>
      <c r="CF232" s="64" t="e">
        <f t="shared" ca="1" si="2099"/>
        <v>#NAME?</v>
      </c>
      <c r="CG232" s="64" t="e">
        <f t="shared" ca="1" si="2099"/>
        <v>#NAME?</v>
      </c>
      <c r="CH232" s="64" t="e">
        <f t="shared" ca="1" si="2099"/>
        <v>#NAME?</v>
      </c>
      <c r="CI232" s="64" t="e">
        <f t="shared" ca="1" si="2099"/>
        <v>#NAME?</v>
      </c>
      <c r="CJ232" s="64" t="e">
        <f t="shared" ca="1" si="2099"/>
        <v>#NAME?</v>
      </c>
      <c r="CK232" s="64" t="e">
        <f t="shared" ca="1" si="2099"/>
        <v>#NAME?</v>
      </c>
      <c r="CL232" s="64" t="e">
        <f t="shared" ca="1" si="2099"/>
        <v>#NAME?</v>
      </c>
      <c r="CM232" s="30" t="e">
        <f t="shared" ca="1" si="2099"/>
        <v>#NAME?</v>
      </c>
      <c r="CN232" s="30" t="e">
        <f t="shared" ca="1" si="2099"/>
        <v>#NAME?</v>
      </c>
      <c r="CO232" s="30" t="e">
        <f t="shared" ca="1" si="2099"/>
        <v>#NAME?</v>
      </c>
      <c r="CP232" s="30" t="e">
        <f t="shared" ca="1" si="2099"/>
        <v>#NAME?</v>
      </c>
      <c r="CQ232" s="30" t="e">
        <f t="shared" ca="1" si="2099"/>
        <v>#NAME?</v>
      </c>
      <c r="CR232" s="30" t="e">
        <f t="shared" ca="1" si="2099"/>
        <v>#NAME?</v>
      </c>
      <c r="CS232" s="30" t="e">
        <f t="shared" ca="1" si="2099"/>
        <v>#NAME?</v>
      </c>
      <c r="CT232" s="30" t="e">
        <f t="shared" ca="1" si="2099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86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64" t="e">
        <f t="shared" ca="1" si="2178"/>
        <v>#NAME?</v>
      </c>
      <c r="CL234" s="64" t="e">
        <f t="shared" ca="1" si="2178"/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79">CU41-CU240</f>
        <v>#NAME?</v>
      </c>
      <c r="CV234" s="30" t="e">
        <f t="shared" ca="1" si="2179"/>
        <v>#NAME?</v>
      </c>
      <c r="CW234" s="30" t="e">
        <f t="shared" ca="1" si="2179"/>
        <v>#NAME?</v>
      </c>
      <c r="CX234" s="30" t="e">
        <f t="shared" ca="1" si="2179"/>
        <v>#NAME?</v>
      </c>
      <c r="CY234" s="30" t="e">
        <f t="shared" ca="1" si="2179"/>
        <v>#NAME?</v>
      </c>
      <c r="CZ234" s="30" t="e">
        <f t="shared" ca="1" si="2179"/>
        <v>#NAME?</v>
      </c>
      <c r="DA234" s="30" t="e">
        <f t="shared" ca="1" si="2179"/>
        <v>#NAME?</v>
      </c>
      <c r="DB234" s="30" t="e">
        <f t="shared" ca="1" si="2179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0">+C238/C237</f>
        <v>#DIV/0!</v>
      </c>
      <c r="D239" s="86" t="e">
        <f t="shared" si="2180"/>
        <v>#DIV/0!</v>
      </c>
      <c r="E239" s="86" t="e">
        <f t="shared" si="2180"/>
        <v>#DIV/0!</v>
      </c>
      <c r="F239" s="86" t="e">
        <f t="shared" si="2180"/>
        <v>#DIV/0!</v>
      </c>
      <c r="G239" s="86" t="e">
        <f t="shared" si="2180"/>
        <v>#DIV/0!</v>
      </c>
      <c r="H239" s="86" t="e">
        <f t="shared" si="2180"/>
        <v>#DIV/0!</v>
      </c>
      <c r="I239" s="86" t="e">
        <f t="shared" si="2180"/>
        <v>#DIV/0!</v>
      </c>
      <c r="J239" s="86" t="e">
        <f t="shared" si="2180"/>
        <v>#DIV/0!</v>
      </c>
      <c r="K239" s="86" t="e">
        <f t="shared" si="2180"/>
        <v>#DIV/0!</v>
      </c>
      <c r="L239" s="86" t="e">
        <f t="shared" si="2180"/>
        <v>#DIV/0!</v>
      </c>
      <c r="M239" s="86" t="e">
        <f t="shared" si="2180"/>
        <v>#DIV/0!</v>
      </c>
      <c r="N239" s="86" t="e">
        <f t="shared" si="2180"/>
        <v>#DIV/0!</v>
      </c>
      <c r="O239" s="86" t="e">
        <f t="shared" si="2180"/>
        <v>#DIV/0!</v>
      </c>
      <c r="P239" s="86" t="e">
        <f t="shared" si="2180"/>
        <v>#DIV/0!</v>
      </c>
      <c r="Q239" s="86" t="e">
        <f t="shared" si="2180"/>
        <v>#DIV/0!</v>
      </c>
      <c r="R239" s="86" t="e">
        <f t="shared" si="2180"/>
        <v>#DIV/0!</v>
      </c>
      <c r="S239" s="86" t="e">
        <f t="shared" si="2180"/>
        <v>#DIV/0!</v>
      </c>
      <c r="T239" s="86" t="e">
        <f t="shared" si="2180"/>
        <v>#DIV/0!</v>
      </c>
      <c r="U239" s="86" t="e">
        <f t="shared" si="2180"/>
        <v>#DIV/0!</v>
      </c>
      <c r="V239" s="86" t="e">
        <f t="shared" si="2180"/>
        <v>#DIV/0!</v>
      </c>
      <c r="W239" s="86" t="e">
        <f t="shared" si="2180"/>
        <v>#DIV/0!</v>
      </c>
      <c r="X239" s="86" t="e">
        <f t="shared" si="2180"/>
        <v>#DIV/0!</v>
      </c>
      <c r="Y239" s="86" t="e">
        <f t="shared" ref="Y239:Z239" si="2181">+Y238/Y237</f>
        <v>#DIV/0!</v>
      </c>
      <c r="Z239" s="86" t="e">
        <f t="shared" si="2181"/>
        <v>#DIV/0!</v>
      </c>
      <c r="AA239" s="86" t="e">
        <f t="shared" ref="AA239" si="2182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3">+AI238/AI237</f>
        <v>#DIV/0!</v>
      </c>
      <c r="AJ239" s="86" t="e">
        <f t="shared" ref="AJ239" si="2184">+AJ238/AJ237</f>
        <v>#DIV/0!</v>
      </c>
      <c r="AK239" s="86" t="e">
        <f t="shared" ref="AK239" si="2185">+AK238/AK237</f>
        <v>#DIV/0!</v>
      </c>
      <c r="AL239" s="86" t="e">
        <f t="shared" ref="AL239" si="2186">+AL238/AL237</f>
        <v>#DIV/0!</v>
      </c>
      <c r="AM239" s="86" t="e">
        <f t="shared" ref="AM239" si="2187">+AM238/AM237</f>
        <v>#DIV/0!</v>
      </c>
      <c r="AN239" s="86" t="e">
        <f t="shared" ref="AN239" si="2188">+AN238/AN237</f>
        <v>#DIV/0!</v>
      </c>
      <c r="AO239" s="86" t="e">
        <f t="shared" ref="AO239" si="2189">+AO238/AO237</f>
        <v>#DIV/0!</v>
      </c>
      <c r="AP239" s="86" t="e">
        <f t="shared" ref="AP239" si="2190">+AP238/AP237</f>
        <v>#DIV/0!</v>
      </c>
      <c r="AQ239" s="86" t="e">
        <f t="shared" ref="AQ239" si="2191">+AQ238/AQ237</f>
        <v>#DIV/0!</v>
      </c>
      <c r="AR239" s="86" t="e">
        <f t="shared" ref="AR239" si="2192">+AR238/AR237</f>
        <v>#DIV/0!</v>
      </c>
      <c r="AS239" s="86" t="e">
        <f t="shared" ref="AS239" si="2193">+AS238/AS237</f>
        <v>#DIV/0!</v>
      </c>
      <c r="AT239" s="86" t="e">
        <f t="shared" ref="AT239" si="2194">+AT238/AT237</f>
        <v>#DIV/0!</v>
      </c>
      <c r="AU239" s="86" t="e">
        <f t="shared" ref="AU239" si="2195">+AU238/AU237</f>
        <v>#DIV/0!</v>
      </c>
      <c r="AV239" s="86" t="e">
        <f t="shared" ref="AV239" si="2196">+AV238/AV237</f>
        <v>#DIV/0!</v>
      </c>
      <c r="AW239" s="86" t="e">
        <f t="shared" ref="AW239" si="2197">+AW238/AW237</f>
        <v>#DIV/0!</v>
      </c>
      <c r="AX239" s="86" t="e">
        <f t="shared" ref="AX239" si="2198">+AX238/AX237</f>
        <v>#DIV/0!</v>
      </c>
      <c r="AY239" s="86" t="e">
        <f t="shared" ref="AY239" si="2199">+AY238/AY237</f>
        <v>#DIV/0!</v>
      </c>
      <c r="AZ239" s="86" t="e">
        <f t="shared" ref="AZ239" si="2200">+AZ238/AZ237</f>
        <v>#DIV/0!</v>
      </c>
      <c r="BA239" s="86" t="e">
        <f t="shared" ref="BA239" si="2201">+BA238/BA237</f>
        <v>#DIV/0!</v>
      </c>
      <c r="BB239" s="86" t="e">
        <f t="shared" ref="BB239" si="2202">+BB238/BB237</f>
        <v>#DIV/0!</v>
      </c>
      <c r="BC239" s="86" t="e">
        <f t="shared" ref="BC239" si="2203">+BC238/BC237</f>
        <v>#DIV/0!</v>
      </c>
      <c r="BD239" s="86" t="e">
        <f t="shared" ref="BD239" si="2204">+BD238/BD237</f>
        <v>#DIV/0!</v>
      </c>
      <c r="BE239" s="86" t="e">
        <f t="shared" ref="BE239" si="2205">+BE238/BE237</f>
        <v>#DIV/0!</v>
      </c>
      <c r="BF239" s="86" t="e">
        <f t="shared" ref="BF239" si="2206">+BF238/BF237</f>
        <v>#DIV/0!</v>
      </c>
      <c r="BG239" s="86" t="e">
        <f t="shared" ref="BG239" si="2207">+BG238/BG237</f>
        <v>#DIV/0!</v>
      </c>
      <c r="BH239" s="86" t="e">
        <f t="shared" ref="BH239" si="2208">+BH238/BH237</f>
        <v>#DIV/0!</v>
      </c>
      <c r="BI239" s="86" t="e">
        <f t="shared" ref="BI239" si="2209">+BI238/BI237</f>
        <v>#DIV/0!</v>
      </c>
      <c r="BJ239" s="86" t="e">
        <f t="shared" ref="BJ239" si="2210">+BJ238/BJ237</f>
        <v>#DIV/0!</v>
      </c>
      <c r="BK239" s="86" t="e">
        <f t="shared" ref="BK239" si="2211">+BK238/BK237</f>
        <v>#DIV/0!</v>
      </c>
      <c r="BL239" s="86" t="e">
        <f t="shared" ref="BL239" si="2212">+BL238/BL237</f>
        <v>#DIV/0!</v>
      </c>
      <c r="BM239" s="86" t="e">
        <f t="shared" ref="BM239" si="2213">+BM238/BM237</f>
        <v>#DIV/0!</v>
      </c>
      <c r="BN239" s="86" t="e">
        <f t="shared" ref="BN239" si="2214">+BN238/BN237</f>
        <v>#DIV/0!</v>
      </c>
      <c r="BO239" s="86" t="e">
        <f t="shared" ref="BO239" si="2215">+BO238/BO237</f>
        <v>#DIV/0!</v>
      </c>
      <c r="BP239" s="86" t="e">
        <f t="shared" ref="BP239" si="2216">+BP238/BP237</f>
        <v>#DIV/0!</v>
      </c>
      <c r="BQ239" s="86" t="e">
        <f t="shared" ref="BQ239" si="2217">+BQ238/BQ237</f>
        <v>#DIV/0!</v>
      </c>
      <c r="BR239" s="86" t="e">
        <f t="shared" ref="BR239" si="2218">+BR238/BR237</f>
        <v>#DIV/0!</v>
      </c>
      <c r="BS239" s="86" t="e">
        <f t="shared" ref="BS239" si="2219">+BS238/BS237</f>
        <v>#DIV/0!</v>
      </c>
      <c r="BT239" s="86" t="e">
        <f t="shared" ref="BT239" si="2220">+BT238/BT237</f>
        <v>#DIV/0!</v>
      </c>
      <c r="BU239" s="86" t="e">
        <f t="shared" ref="BU239" si="2221">+BU238/BU237</f>
        <v>#DIV/0!</v>
      </c>
      <c r="BV239" s="86" t="e">
        <f t="shared" ref="BV239" si="2222">+BV238/BV237</f>
        <v>#DIV/0!</v>
      </c>
      <c r="BW239" s="86" t="e">
        <f t="shared" ref="BW239" si="2223">+BW238/BW237</f>
        <v>#DIV/0!</v>
      </c>
      <c r="BX239" s="86" t="e">
        <f t="shared" ref="BX239" si="2224">+BX238/BX237</f>
        <v>#DIV/0!</v>
      </c>
      <c r="BY239" s="86" t="e">
        <f t="shared" ref="BY239" si="2225">+BY238/BY237</f>
        <v>#DIV/0!</v>
      </c>
      <c r="BZ239" s="86" t="e">
        <f t="shared" ref="BZ239" si="2226">+BZ238/BZ237</f>
        <v>#DIV/0!</v>
      </c>
      <c r="CA239" s="86" t="e">
        <f t="shared" ref="CA239" si="2227">+CA238/CA237</f>
        <v>#DIV/0!</v>
      </c>
      <c r="CB239" s="86" t="e">
        <f t="shared" ref="CB239:CC239" si="2228">+CB238/CB237</f>
        <v>#DIV/0!</v>
      </c>
      <c r="CC239" s="86" t="e">
        <f t="shared" si="2228"/>
        <v>#DIV/0!</v>
      </c>
      <c r="CD239" s="86" t="e">
        <f t="shared" ref="CD239" si="2229">+CD238/CD237</f>
        <v>#DIV/0!</v>
      </c>
      <c r="CE239" s="86" t="e">
        <f t="shared" ref="CE239:CF239" si="2230">+CE238/CE237</f>
        <v>#DIV/0!</v>
      </c>
      <c r="CF239" s="86" t="e">
        <f t="shared" si="2230"/>
        <v>#DIV/0!</v>
      </c>
      <c r="CG239" s="86" t="e">
        <f t="shared" ref="CG239:CH239" si="2231">+CG238/CG237</f>
        <v>#DIV/0!</v>
      </c>
      <c r="CH239" s="86" t="e">
        <f t="shared" si="2231"/>
        <v>#DIV/0!</v>
      </c>
      <c r="CI239" s="86" t="e">
        <f t="shared" ref="CI239:CJ239" si="2232">+CI238/CI237</f>
        <v>#DIV/0!</v>
      </c>
      <c r="CJ239" s="86" t="e">
        <f t="shared" si="2232"/>
        <v>#DIV/0!</v>
      </c>
      <c r="CK239" s="86" t="e">
        <f t="shared" ref="CK239:DB239" si="2233">+CK238/CK237</f>
        <v>#DIV/0!</v>
      </c>
      <c r="CL239" s="86" t="e">
        <f t="shared" si="2233"/>
        <v>#DIV/0!</v>
      </c>
      <c r="CM239" s="47" t="e">
        <f t="shared" si="2233"/>
        <v>#DIV/0!</v>
      </c>
      <c r="CN239" s="47" t="e">
        <f t="shared" si="2233"/>
        <v>#DIV/0!</v>
      </c>
      <c r="CO239" s="47" t="e">
        <f t="shared" si="2233"/>
        <v>#DIV/0!</v>
      </c>
      <c r="CP239" s="47" t="e">
        <f t="shared" si="2233"/>
        <v>#DIV/0!</v>
      </c>
      <c r="CQ239" s="47" t="e">
        <f t="shared" si="2233"/>
        <v>#DIV/0!</v>
      </c>
      <c r="CR239" s="47" t="e">
        <f t="shared" si="2233"/>
        <v>#DIV/0!</v>
      </c>
      <c r="CS239" s="47" t="e">
        <f t="shared" si="2233"/>
        <v>#DIV/0!</v>
      </c>
      <c r="CT239" s="47" t="e">
        <f t="shared" si="2233"/>
        <v>#DIV/0!</v>
      </c>
      <c r="CU239" s="47" t="e">
        <f t="shared" si="2233"/>
        <v>#DIV/0!</v>
      </c>
      <c r="CV239" s="47" t="e">
        <f t="shared" si="2233"/>
        <v>#DIV/0!</v>
      </c>
      <c r="CW239" s="47" t="e">
        <f t="shared" si="2233"/>
        <v>#DIV/0!</v>
      </c>
      <c r="CX239" s="47" t="e">
        <f t="shared" si="2233"/>
        <v>#DIV/0!</v>
      </c>
      <c r="CY239" s="47" t="e">
        <f t="shared" si="2233"/>
        <v>#DIV/0!</v>
      </c>
      <c r="CZ239" s="47" t="e">
        <f t="shared" si="2233"/>
        <v>#DIV/0!</v>
      </c>
      <c r="DA239" s="47" t="e">
        <f t="shared" si="2233"/>
        <v>#DIV/0!</v>
      </c>
      <c r="DB239" s="47" t="e">
        <f t="shared" si="2233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4">E10/(E161+E148+E138)</f>
        <v>#NAME?</v>
      </c>
      <c r="F244" s="84" t="e">
        <f t="shared" ca="1" si="2234"/>
        <v>#NAME?</v>
      </c>
      <c r="G244" s="84" t="e">
        <f t="shared" ca="1" si="2234"/>
        <v>#NAME?</v>
      </c>
      <c r="H244" s="84" t="e">
        <f t="shared" ca="1" si="2234"/>
        <v>#NAME?</v>
      </c>
      <c r="I244" s="84" t="e">
        <f t="shared" ca="1" si="2234"/>
        <v>#NAME?</v>
      </c>
      <c r="J244" s="84" t="e">
        <f t="shared" ca="1" si="2234"/>
        <v>#NAME?</v>
      </c>
      <c r="K244" s="84" t="e">
        <f t="shared" ca="1" si="2234"/>
        <v>#NAME?</v>
      </c>
      <c r="L244" s="84" t="e">
        <f t="shared" ca="1" si="2234"/>
        <v>#NAME?</v>
      </c>
      <c r="M244" s="84" t="e">
        <f t="shared" ca="1" si="2234"/>
        <v>#NAME?</v>
      </c>
      <c r="N244" s="84" t="e">
        <f t="shared" ca="1" si="2234"/>
        <v>#NAME?</v>
      </c>
      <c r="O244" s="84" t="e">
        <f t="shared" ca="1" si="2234"/>
        <v>#NAME?</v>
      </c>
      <c r="P244" s="84" t="e">
        <f t="shared" ca="1" si="2234"/>
        <v>#NAME?</v>
      </c>
      <c r="Q244" s="84" t="e">
        <f t="shared" ca="1" si="2234"/>
        <v>#NAME?</v>
      </c>
      <c r="R244" s="84" t="e">
        <f t="shared" ca="1" si="2234"/>
        <v>#NAME?</v>
      </c>
      <c r="S244" s="84" t="e">
        <f t="shared" ca="1" si="2234"/>
        <v>#NAME?</v>
      </c>
      <c r="T244" s="84" t="e">
        <f t="shared" ca="1" si="2234"/>
        <v>#NAME?</v>
      </c>
      <c r="U244" s="84" t="e">
        <f t="shared" ca="1" si="2234"/>
        <v>#NAME?</v>
      </c>
      <c r="V244" s="84" t="e">
        <f t="shared" ca="1" si="2234"/>
        <v>#NAME?</v>
      </c>
      <c r="W244" s="84" t="e">
        <f t="shared" ca="1" si="2234"/>
        <v>#NAME?</v>
      </c>
      <c r="X244" s="84" t="e">
        <f t="shared" ca="1" si="2234"/>
        <v>#NAME?</v>
      </c>
      <c r="Y244" s="84" t="e">
        <f t="shared" ca="1" si="2234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5">AB10/(AB161+AB148+AB138)</f>
        <v>#NAME?</v>
      </c>
      <c r="AC244" s="50" t="e">
        <f t="shared" ca="1" si="2235"/>
        <v>#NAME?</v>
      </c>
      <c r="AD244" s="50" t="e">
        <f t="shared" ca="1" si="2235"/>
        <v>#NAME?</v>
      </c>
      <c r="AE244" s="50" t="e">
        <f t="shared" ca="1" si="2235"/>
        <v>#NAME?</v>
      </c>
      <c r="AL244" s="84" t="e">
        <f ca="1">SUM(AI10:AL10)/(AL161+AL148+AL138)</f>
        <v>#NAME?</v>
      </c>
      <c r="AM244" s="84" t="e">
        <f t="shared" ref="AM244:CJ244" ca="1" si="2236">SUM(AJ10:AM10)/(AM161+AM148+AM138)</f>
        <v>#NAME?</v>
      </c>
      <c r="AN244" s="84" t="e">
        <f t="shared" ca="1" si="2236"/>
        <v>#NAME?</v>
      </c>
      <c r="AO244" s="84" t="e">
        <f t="shared" ca="1" si="2236"/>
        <v>#NAME?</v>
      </c>
      <c r="AP244" s="84" t="e">
        <f t="shared" ca="1" si="2236"/>
        <v>#NAME?</v>
      </c>
      <c r="AQ244" s="84" t="e">
        <f t="shared" ca="1" si="2236"/>
        <v>#NAME?</v>
      </c>
      <c r="AR244" s="84" t="e">
        <f t="shared" ca="1" si="2236"/>
        <v>#NAME?</v>
      </c>
      <c r="AS244" s="84" t="e">
        <f t="shared" ca="1" si="2236"/>
        <v>#NAME?</v>
      </c>
      <c r="AT244" s="84" t="e">
        <f t="shared" ca="1" si="2236"/>
        <v>#NAME?</v>
      </c>
      <c r="AU244" s="84" t="e">
        <f t="shared" ca="1" si="2236"/>
        <v>#NAME?</v>
      </c>
      <c r="AV244" s="84" t="e">
        <f t="shared" ca="1" si="2236"/>
        <v>#NAME?</v>
      </c>
      <c r="AW244" s="84" t="e">
        <f t="shared" ca="1" si="2236"/>
        <v>#NAME?</v>
      </c>
      <c r="AX244" s="84" t="e">
        <f t="shared" ca="1" si="2236"/>
        <v>#NAME?</v>
      </c>
      <c r="AY244" s="84" t="e">
        <f t="shared" ca="1" si="2236"/>
        <v>#NAME?</v>
      </c>
      <c r="AZ244" s="84" t="e">
        <f t="shared" ca="1" si="2236"/>
        <v>#NAME?</v>
      </c>
      <c r="BA244" s="84" t="e">
        <f t="shared" ca="1" si="2236"/>
        <v>#NAME?</v>
      </c>
      <c r="BB244" s="84" t="e">
        <f t="shared" ca="1" si="2236"/>
        <v>#NAME?</v>
      </c>
      <c r="BC244" s="84" t="e">
        <f t="shared" ca="1" si="2236"/>
        <v>#NAME?</v>
      </c>
      <c r="BD244" s="84" t="e">
        <f t="shared" ca="1" si="2236"/>
        <v>#NAME?</v>
      </c>
      <c r="BE244" s="84" t="e">
        <f t="shared" ca="1" si="2236"/>
        <v>#NAME?</v>
      </c>
      <c r="BF244" s="84" t="e">
        <f t="shared" ca="1" si="2236"/>
        <v>#NAME?</v>
      </c>
      <c r="BG244" s="84" t="e">
        <f t="shared" ca="1" si="2236"/>
        <v>#NAME?</v>
      </c>
      <c r="BH244" s="84" t="e">
        <f t="shared" ca="1" si="2236"/>
        <v>#NAME?</v>
      </c>
      <c r="BI244" s="84" t="e">
        <f t="shared" ca="1" si="2236"/>
        <v>#NAME?</v>
      </c>
      <c r="BJ244" s="84" t="e">
        <f t="shared" ca="1" si="2236"/>
        <v>#NAME?</v>
      </c>
      <c r="BK244" s="84" t="e">
        <f t="shared" ca="1" si="2236"/>
        <v>#NAME?</v>
      </c>
      <c r="BL244" s="84" t="e">
        <f t="shared" ca="1" si="2236"/>
        <v>#NAME?</v>
      </c>
      <c r="BM244" s="84" t="e">
        <f t="shared" ca="1" si="2236"/>
        <v>#NAME?</v>
      </c>
      <c r="BN244" s="84" t="e">
        <f t="shared" ca="1" si="2236"/>
        <v>#NAME?</v>
      </c>
      <c r="BO244" s="84" t="e">
        <f t="shared" ca="1" si="2236"/>
        <v>#NAME?</v>
      </c>
      <c r="BP244" s="84" t="e">
        <f t="shared" ca="1" si="2236"/>
        <v>#NAME?</v>
      </c>
      <c r="BQ244" s="84" t="e">
        <f t="shared" ca="1" si="2236"/>
        <v>#NAME?</v>
      </c>
      <c r="BR244" s="84" t="e">
        <f t="shared" ca="1" si="2236"/>
        <v>#NAME?</v>
      </c>
      <c r="BS244" s="84" t="e">
        <f t="shared" ca="1" si="2236"/>
        <v>#NAME?</v>
      </c>
      <c r="BT244" s="84" t="e">
        <f t="shared" ca="1" si="2236"/>
        <v>#NAME?</v>
      </c>
      <c r="BU244" s="84" t="e">
        <f t="shared" ca="1" si="2236"/>
        <v>#NAME?</v>
      </c>
      <c r="BV244" s="84" t="e">
        <f t="shared" ca="1" si="2236"/>
        <v>#NAME?</v>
      </c>
      <c r="BW244" s="84" t="e">
        <f t="shared" ca="1" si="2236"/>
        <v>#NAME?</v>
      </c>
      <c r="BX244" s="84" t="e">
        <f t="shared" ca="1" si="2236"/>
        <v>#NAME?</v>
      </c>
      <c r="BY244" s="84" t="e">
        <f t="shared" ca="1" si="2236"/>
        <v>#NAME?</v>
      </c>
      <c r="BZ244" s="84" t="e">
        <f t="shared" ca="1" si="2236"/>
        <v>#NAME?</v>
      </c>
      <c r="CA244" s="84" t="e">
        <f t="shared" ca="1" si="2236"/>
        <v>#NAME?</v>
      </c>
      <c r="CB244" s="84" t="e">
        <f t="shared" ca="1" si="2236"/>
        <v>#NAME?</v>
      </c>
      <c r="CC244" s="84" t="e">
        <f t="shared" ca="1" si="2236"/>
        <v>#NAME?</v>
      </c>
      <c r="CD244" s="84" t="e">
        <f t="shared" ca="1" si="2236"/>
        <v>#NAME?</v>
      </c>
      <c r="CE244" s="84" t="e">
        <f t="shared" ca="1" si="2236"/>
        <v>#NAME?</v>
      </c>
      <c r="CF244" s="84" t="e">
        <f t="shared" ca="1" si="2236"/>
        <v>#NAME?</v>
      </c>
      <c r="CG244" s="84" t="e">
        <f t="shared" ca="1" si="2236"/>
        <v>#NAME?</v>
      </c>
      <c r="CH244" s="84" t="e">
        <f t="shared" ca="1" si="2236"/>
        <v>#NAME?</v>
      </c>
      <c r="CI244" s="84" t="e">
        <f t="shared" ca="1" si="2236"/>
        <v>#NAME?</v>
      </c>
      <c r="CJ244" s="84" t="e">
        <f t="shared" ca="1" si="2236"/>
        <v>#NAME?</v>
      </c>
      <c r="CK244" s="84" t="e">
        <f t="shared" ref="CK244" ca="1" si="2237">SUM(CH10:CK10)/(CK161+CK148+CK138)</f>
        <v>#NAME?</v>
      </c>
      <c r="CL244" s="84" t="e">
        <f t="shared" ref="CL244:DB244" ca="1" si="2238">SUM(CI10:CL10)/(CL161+CL148+CL138)</f>
        <v>#NAME?</v>
      </c>
      <c r="CM244" s="50" t="e">
        <f t="shared" ca="1" si="2238"/>
        <v>#NAME?</v>
      </c>
      <c r="CN244" s="50" t="e">
        <f t="shared" ca="1" si="2238"/>
        <v>#NAME?</v>
      </c>
      <c r="CO244" s="50" t="e">
        <f t="shared" ca="1" si="2238"/>
        <v>#NAME?</v>
      </c>
      <c r="CP244" s="50" t="e">
        <f t="shared" ca="1" si="2238"/>
        <v>#NAME?</v>
      </c>
      <c r="CQ244" s="50" t="e">
        <f t="shared" ca="1" si="2238"/>
        <v>#NAME?</v>
      </c>
      <c r="CR244" s="50" t="e">
        <f t="shared" ca="1" si="2238"/>
        <v>#NAME?</v>
      </c>
      <c r="CS244" s="50" t="e">
        <f t="shared" ca="1" si="2238"/>
        <v>#NAME?</v>
      </c>
      <c r="CT244" s="50" t="e">
        <f t="shared" ca="1" si="2238"/>
        <v>#NAME?</v>
      </c>
      <c r="CU244" s="50" t="e">
        <f t="shared" ca="1" si="2238"/>
        <v>#NAME?</v>
      </c>
      <c r="CV244" s="50" t="e">
        <f t="shared" ca="1" si="2238"/>
        <v>#NAME?</v>
      </c>
      <c r="CW244" s="50" t="e">
        <f t="shared" ca="1" si="2238"/>
        <v>#NAME?</v>
      </c>
      <c r="CX244" s="50" t="e">
        <f t="shared" ca="1" si="2238"/>
        <v>#NAME?</v>
      </c>
      <c r="CY244" s="50" t="e">
        <f t="shared" ca="1" si="2238"/>
        <v>#NAME?</v>
      </c>
      <c r="CZ244" s="50" t="e">
        <f t="shared" ca="1" si="2238"/>
        <v>#NAME?</v>
      </c>
      <c r="DA244" s="50" t="e">
        <f t="shared" ca="1" si="2238"/>
        <v>#NAME?</v>
      </c>
      <c r="DB244" s="50" t="e">
        <f t="shared" ca="1" si="2238"/>
        <v>#NAME?</v>
      </c>
      <c r="DE244" s="138"/>
      <c r="DF244" s="84">
        <v>1.8301760176800195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39">+F42</f>
        <v>#NAME?</v>
      </c>
      <c r="G245" s="181" t="e">
        <f t="shared" ca="1" si="2239"/>
        <v>#NAME?</v>
      </c>
      <c r="H245" s="181" t="e">
        <f t="shared" ca="1" si="2239"/>
        <v>#NAME?</v>
      </c>
      <c r="I245" s="181" t="e">
        <f t="shared" ca="1" si="2239"/>
        <v>#NAME?</v>
      </c>
      <c r="J245" s="181" t="e">
        <f t="shared" ca="1" si="2239"/>
        <v>#NAME?</v>
      </c>
      <c r="K245" s="181" t="e">
        <f t="shared" ca="1" si="2239"/>
        <v>#NAME?</v>
      </c>
      <c r="L245" s="181" t="e">
        <f t="shared" ca="1" si="2239"/>
        <v>#NAME?</v>
      </c>
      <c r="M245" s="181" t="e">
        <f t="shared" ca="1" si="2239"/>
        <v>#NAME?</v>
      </c>
      <c r="N245" s="181" t="e">
        <f t="shared" ca="1" si="2239"/>
        <v>#NAME?</v>
      </c>
      <c r="O245" s="181" t="e">
        <f t="shared" ca="1" si="2239"/>
        <v>#NAME?</v>
      </c>
      <c r="P245" s="181" t="e">
        <f t="shared" ca="1" si="2239"/>
        <v>#NAME?</v>
      </c>
      <c r="Q245" s="181" t="e">
        <f t="shared" ca="1" si="2239"/>
        <v>#NAME?</v>
      </c>
      <c r="R245" s="181" t="e">
        <f t="shared" ca="1" si="2239"/>
        <v>#NAME?</v>
      </c>
      <c r="S245" s="181" t="e">
        <f t="shared" ca="1" si="2239"/>
        <v>#NAME?</v>
      </c>
      <c r="T245" s="181" t="e">
        <f t="shared" ca="1" si="2239"/>
        <v>#NAME?</v>
      </c>
      <c r="U245" s="181" t="e">
        <f t="shared" ca="1" si="2239"/>
        <v>#NAME?</v>
      </c>
      <c r="V245" s="181" t="e">
        <f t="shared" ca="1" si="2239"/>
        <v>#NAME?</v>
      </c>
      <c r="W245" s="181" t="e">
        <f t="shared" ca="1" si="2239"/>
        <v>#NAME?</v>
      </c>
      <c r="X245" s="181" t="e">
        <f t="shared" ca="1" si="2239"/>
        <v>#NAME?</v>
      </c>
      <c r="Y245" s="181" t="e">
        <f t="shared" ca="1" si="2239"/>
        <v>#NAME?</v>
      </c>
      <c r="Z245" s="181" t="e">
        <f t="shared" ca="1" si="2239"/>
        <v>#NAME?</v>
      </c>
      <c r="AA245" s="181" t="e">
        <f t="shared" ref="AA245" ca="1" si="2240">+AA42</f>
        <v>#NAME?</v>
      </c>
      <c r="AB245" s="182" t="e">
        <f t="shared" ca="1" si="2239"/>
        <v>#NAME?</v>
      </c>
      <c r="AC245" s="182" t="e">
        <f t="shared" ca="1" si="2239"/>
        <v>#NAME?</v>
      </c>
      <c r="AD245" s="182" t="e">
        <f t="shared" ca="1" si="2239"/>
        <v>#NAME?</v>
      </c>
      <c r="AE245" s="182" t="e">
        <f t="shared" ca="1" si="2239"/>
        <v>#NAME?</v>
      </c>
      <c r="AL245" s="181" t="e">
        <f t="shared" ref="AL245:CW245" ca="1" si="2241">+AL42</f>
        <v>#NAME?</v>
      </c>
      <c r="AM245" s="181" t="e">
        <f t="shared" ca="1" si="2241"/>
        <v>#NAME?</v>
      </c>
      <c r="AN245" s="181" t="e">
        <f t="shared" ca="1" si="2241"/>
        <v>#NAME?</v>
      </c>
      <c r="AO245" s="181" t="e">
        <f t="shared" ca="1" si="2241"/>
        <v>#NAME?</v>
      </c>
      <c r="AP245" s="181" t="e">
        <f t="shared" ca="1" si="2241"/>
        <v>#NAME?</v>
      </c>
      <c r="AQ245" s="181" t="e">
        <f t="shared" ca="1" si="2241"/>
        <v>#NAME?</v>
      </c>
      <c r="AR245" s="181" t="e">
        <f t="shared" ca="1" si="2241"/>
        <v>#NAME?</v>
      </c>
      <c r="AS245" s="181" t="e">
        <f t="shared" ca="1" si="2241"/>
        <v>#NAME?</v>
      </c>
      <c r="AT245" s="181" t="e">
        <f t="shared" ca="1" si="2241"/>
        <v>#NAME?</v>
      </c>
      <c r="AU245" s="181" t="e">
        <f t="shared" ca="1" si="2241"/>
        <v>#NAME?</v>
      </c>
      <c r="AV245" s="181" t="e">
        <f t="shared" ca="1" si="2241"/>
        <v>#NAME?</v>
      </c>
      <c r="AW245" s="181" t="e">
        <f t="shared" ca="1" si="2241"/>
        <v>#NAME?</v>
      </c>
      <c r="AX245" s="181" t="e">
        <f t="shared" ca="1" si="2241"/>
        <v>#NAME?</v>
      </c>
      <c r="AY245" s="181" t="e">
        <f t="shared" ca="1" si="2241"/>
        <v>#NAME?</v>
      </c>
      <c r="AZ245" s="181" t="e">
        <f t="shared" ca="1" si="2241"/>
        <v>#NAME?</v>
      </c>
      <c r="BA245" s="181" t="e">
        <f t="shared" ca="1" si="2241"/>
        <v>#NAME?</v>
      </c>
      <c r="BB245" s="181" t="e">
        <f t="shared" ca="1" si="2241"/>
        <v>#NAME?</v>
      </c>
      <c r="BC245" s="181" t="e">
        <f t="shared" ca="1" si="2241"/>
        <v>#NAME?</v>
      </c>
      <c r="BD245" s="181" t="e">
        <f t="shared" ca="1" si="2241"/>
        <v>#NAME?</v>
      </c>
      <c r="BE245" s="181" t="e">
        <f t="shared" ca="1" si="2241"/>
        <v>#NAME?</v>
      </c>
      <c r="BF245" s="181" t="e">
        <f t="shared" ca="1" si="2241"/>
        <v>#NAME?</v>
      </c>
      <c r="BG245" s="181" t="e">
        <f t="shared" ca="1" si="2241"/>
        <v>#NAME?</v>
      </c>
      <c r="BH245" s="181" t="e">
        <f t="shared" ca="1" si="2241"/>
        <v>#NAME?</v>
      </c>
      <c r="BI245" s="181" t="e">
        <f t="shared" ca="1" si="2241"/>
        <v>#NAME?</v>
      </c>
      <c r="BJ245" s="181" t="e">
        <f t="shared" ca="1" si="2241"/>
        <v>#NAME?</v>
      </c>
      <c r="BK245" s="181" t="e">
        <f t="shared" ca="1" si="2241"/>
        <v>#NAME?</v>
      </c>
      <c r="BL245" s="181" t="e">
        <f t="shared" ca="1" si="2241"/>
        <v>#NAME?</v>
      </c>
      <c r="BM245" s="181" t="e">
        <f t="shared" ca="1" si="2241"/>
        <v>#NAME?</v>
      </c>
      <c r="BN245" s="181" t="e">
        <f t="shared" ca="1" si="2241"/>
        <v>#NAME?</v>
      </c>
      <c r="BO245" s="181" t="e">
        <f t="shared" ca="1" si="2241"/>
        <v>#NAME?</v>
      </c>
      <c r="BP245" s="181" t="e">
        <f t="shared" ca="1" si="2241"/>
        <v>#NAME?</v>
      </c>
      <c r="BQ245" s="181" t="e">
        <f t="shared" ca="1" si="2241"/>
        <v>#NAME?</v>
      </c>
      <c r="BR245" s="181" t="e">
        <f t="shared" ca="1" si="2241"/>
        <v>#NAME?</v>
      </c>
      <c r="BS245" s="181" t="e">
        <f t="shared" ca="1" si="2241"/>
        <v>#NAME?</v>
      </c>
      <c r="BT245" s="181" t="e">
        <f t="shared" ca="1" si="2241"/>
        <v>#NAME?</v>
      </c>
      <c r="BU245" s="181" t="e">
        <f t="shared" ca="1" si="2241"/>
        <v>#NAME?</v>
      </c>
      <c r="BV245" s="181" t="e">
        <f t="shared" ca="1" si="2241"/>
        <v>#NAME?</v>
      </c>
      <c r="BW245" s="181" t="e">
        <f t="shared" ca="1" si="2241"/>
        <v>#NAME?</v>
      </c>
      <c r="BX245" s="181" t="e">
        <f t="shared" ca="1" si="2241"/>
        <v>#NAME?</v>
      </c>
      <c r="BY245" s="181" t="e">
        <f t="shared" ca="1" si="2241"/>
        <v>#NAME?</v>
      </c>
      <c r="BZ245" s="181" t="e">
        <f t="shared" ca="1" si="2241"/>
        <v>#NAME?</v>
      </c>
      <c r="CA245" s="181" t="e">
        <f t="shared" ca="1" si="2241"/>
        <v>#NAME?</v>
      </c>
      <c r="CB245" s="181" t="e">
        <f t="shared" ca="1" si="2241"/>
        <v>#NAME?</v>
      </c>
      <c r="CC245" s="181" t="e">
        <f t="shared" ca="1" si="2241"/>
        <v>#NAME?</v>
      </c>
      <c r="CD245" s="181" t="e">
        <f t="shared" ca="1" si="2241"/>
        <v>#NAME?</v>
      </c>
      <c r="CE245" s="181" t="e">
        <f t="shared" ca="1" si="2241"/>
        <v>#NAME?</v>
      </c>
      <c r="CF245" s="181" t="e">
        <f t="shared" ca="1" si="2241"/>
        <v>#NAME?</v>
      </c>
      <c r="CG245" s="181" t="e">
        <f t="shared" ca="1" si="2241"/>
        <v>#NAME?</v>
      </c>
      <c r="CH245" s="181" t="e">
        <f t="shared" ca="1" si="2241"/>
        <v>#NAME?</v>
      </c>
      <c r="CI245" s="181" t="e">
        <f t="shared" ca="1" si="2241"/>
        <v>#NAME?</v>
      </c>
      <c r="CJ245" s="181" t="e">
        <f t="shared" ca="1" si="2241"/>
        <v>#NAME?</v>
      </c>
      <c r="CK245" s="181" t="e">
        <f t="shared" ca="1" si="2241"/>
        <v>#NAME?</v>
      </c>
      <c r="CL245" s="181" t="e">
        <f t="shared" ca="1" si="2241"/>
        <v>#NAME?</v>
      </c>
      <c r="CM245" s="182" t="e">
        <f t="shared" ca="1" si="2241"/>
        <v>#NAME?</v>
      </c>
      <c r="CN245" s="182" t="e">
        <f t="shared" ca="1" si="2241"/>
        <v>#NAME?</v>
      </c>
      <c r="CO245" s="182" t="e">
        <f t="shared" ca="1" si="2241"/>
        <v>#NAME?</v>
      </c>
      <c r="CP245" s="182" t="e">
        <f t="shared" ca="1" si="2241"/>
        <v>#NAME?</v>
      </c>
      <c r="CQ245" s="182" t="e">
        <f t="shared" ca="1" si="2241"/>
        <v>#NAME?</v>
      </c>
      <c r="CR245" s="182" t="e">
        <f t="shared" ca="1" si="2241"/>
        <v>#NAME?</v>
      </c>
      <c r="CS245" s="182" t="e">
        <f t="shared" ca="1" si="2241"/>
        <v>#NAME?</v>
      </c>
      <c r="CT245" s="182" t="e">
        <f t="shared" ca="1" si="2241"/>
        <v>#NAME?</v>
      </c>
      <c r="CU245" s="182" t="e">
        <f t="shared" ca="1" si="2241"/>
        <v>#NAME?</v>
      </c>
      <c r="CV245" s="182" t="e">
        <f t="shared" ca="1" si="2241"/>
        <v>#NAME?</v>
      </c>
      <c r="CW245" s="182" t="e">
        <f t="shared" ca="1" si="2241"/>
        <v>#NAME?</v>
      </c>
      <c r="CX245" s="182" t="e">
        <f t="shared" ref="CX245:DB245" ca="1" si="2242">+CX42</f>
        <v>#NAME?</v>
      </c>
      <c r="CY245" s="182" t="e">
        <f t="shared" ca="1" si="2242"/>
        <v>#NAME?</v>
      </c>
      <c r="CZ245" s="182" t="e">
        <f t="shared" ca="1" si="2242"/>
        <v>#NAME?</v>
      </c>
      <c r="DA245" s="182" t="e">
        <f t="shared" ca="1" si="2242"/>
        <v>#NAME?</v>
      </c>
      <c r="DB245" s="182" t="e">
        <f t="shared" ca="1" si="2242"/>
        <v>#NAME?</v>
      </c>
      <c r="DE245" s="138"/>
      <c r="DF245" s="84">
        <v>0.14786781028391768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3">(F161+F148+F138+F140)/F120</f>
        <v>#NAME?</v>
      </c>
      <c r="G246" s="84" t="e">
        <f t="shared" ca="1" si="2243"/>
        <v>#NAME?</v>
      </c>
      <c r="H246" s="84" t="e">
        <f t="shared" ca="1" si="2243"/>
        <v>#NAME?</v>
      </c>
      <c r="I246" s="84" t="e">
        <f t="shared" ca="1" si="2243"/>
        <v>#NAME?</v>
      </c>
      <c r="J246" s="84" t="e">
        <f t="shared" ca="1" si="2243"/>
        <v>#NAME?</v>
      </c>
      <c r="K246" s="84" t="e">
        <f t="shared" ca="1" si="2243"/>
        <v>#NAME?</v>
      </c>
      <c r="L246" s="84" t="e">
        <f t="shared" ca="1" si="2243"/>
        <v>#NAME?</v>
      </c>
      <c r="M246" s="84" t="e">
        <f t="shared" ca="1" si="2243"/>
        <v>#NAME?</v>
      </c>
      <c r="N246" s="84" t="e">
        <f t="shared" ca="1" si="2243"/>
        <v>#NAME?</v>
      </c>
      <c r="O246" s="84" t="e">
        <f t="shared" ca="1" si="2243"/>
        <v>#NAME?</v>
      </c>
      <c r="P246" s="84" t="e">
        <f t="shared" ca="1" si="2243"/>
        <v>#NAME?</v>
      </c>
      <c r="Q246" s="84" t="e">
        <f t="shared" ca="1" si="2243"/>
        <v>#NAME?</v>
      </c>
      <c r="R246" s="84" t="e">
        <f t="shared" ca="1" si="2243"/>
        <v>#NAME?</v>
      </c>
      <c r="S246" s="84" t="e">
        <f t="shared" ca="1" si="2243"/>
        <v>#NAME?</v>
      </c>
      <c r="T246" s="84" t="e">
        <f t="shared" ca="1" si="2243"/>
        <v>#NAME?</v>
      </c>
      <c r="U246" s="84" t="e">
        <f t="shared" ca="1" si="2243"/>
        <v>#NAME?</v>
      </c>
      <c r="V246" s="84" t="e">
        <f t="shared" ca="1" si="2243"/>
        <v>#NAME?</v>
      </c>
      <c r="W246" s="84" t="e">
        <f t="shared" ca="1" si="2243"/>
        <v>#NAME?</v>
      </c>
      <c r="X246" s="84" t="e">
        <f t="shared" ca="1" si="2243"/>
        <v>#NAME?</v>
      </c>
      <c r="Y246" s="84" t="e">
        <f t="shared" ca="1" si="2243"/>
        <v>#NAME?</v>
      </c>
      <c r="Z246" s="84" t="e">
        <f t="shared" ca="1" si="2243"/>
        <v>#NAME?</v>
      </c>
      <c r="AA246" s="84" t="e">
        <f t="shared" ref="AA246" ca="1" si="2244">(AA161+AA148+AA138+AA140)/AA120</f>
        <v>#NAME?</v>
      </c>
      <c r="AB246" s="50" t="e">
        <f t="shared" ca="1" si="2243"/>
        <v>#NAME?</v>
      </c>
      <c r="AC246" s="50" t="e">
        <f t="shared" ca="1" si="2243"/>
        <v>#NAME?</v>
      </c>
      <c r="AD246" s="50" t="e">
        <f t="shared" ca="1" si="2243"/>
        <v>#NAME?</v>
      </c>
      <c r="AE246" s="50" t="e">
        <f t="shared" ca="1" si="2243"/>
        <v>#NAME?</v>
      </c>
      <c r="AL246" s="84" t="e">
        <f t="shared" ref="AL246:CW246" ca="1" si="2245">(AL161+AL148+AL138+AL140)/AL120</f>
        <v>#NAME?</v>
      </c>
      <c r="AM246" s="84" t="e">
        <f t="shared" ca="1" si="2245"/>
        <v>#NAME?</v>
      </c>
      <c r="AN246" s="84" t="e">
        <f t="shared" ca="1" si="2245"/>
        <v>#NAME?</v>
      </c>
      <c r="AO246" s="84" t="e">
        <f t="shared" ca="1" si="2245"/>
        <v>#NAME?</v>
      </c>
      <c r="AP246" s="84" t="e">
        <f t="shared" ca="1" si="2245"/>
        <v>#NAME?</v>
      </c>
      <c r="AQ246" s="84" t="e">
        <f t="shared" ca="1" si="2245"/>
        <v>#NAME?</v>
      </c>
      <c r="AR246" s="84" t="e">
        <f t="shared" ca="1" si="2245"/>
        <v>#NAME?</v>
      </c>
      <c r="AS246" s="84" t="e">
        <f t="shared" ca="1" si="2245"/>
        <v>#NAME?</v>
      </c>
      <c r="AT246" s="84" t="e">
        <f t="shared" ca="1" si="2245"/>
        <v>#NAME?</v>
      </c>
      <c r="AU246" s="84" t="e">
        <f t="shared" ca="1" si="2245"/>
        <v>#NAME?</v>
      </c>
      <c r="AV246" s="84" t="e">
        <f t="shared" ca="1" si="2245"/>
        <v>#NAME?</v>
      </c>
      <c r="AW246" s="84" t="e">
        <f t="shared" ca="1" si="2245"/>
        <v>#NAME?</v>
      </c>
      <c r="AX246" s="84" t="e">
        <f t="shared" ca="1" si="2245"/>
        <v>#NAME?</v>
      </c>
      <c r="AY246" s="84" t="e">
        <f t="shared" ca="1" si="2245"/>
        <v>#NAME?</v>
      </c>
      <c r="AZ246" s="84" t="e">
        <f t="shared" ca="1" si="2245"/>
        <v>#NAME?</v>
      </c>
      <c r="BA246" s="84" t="e">
        <f t="shared" ca="1" si="2245"/>
        <v>#NAME?</v>
      </c>
      <c r="BB246" s="84" t="e">
        <f t="shared" ca="1" si="2245"/>
        <v>#NAME?</v>
      </c>
      <c r="BC246" s="84" t="e">
        <f t="shared" ca="1" si="2245"/>
        <v>#NAME?</v>
      </c>
      <c r="BD246" s="84" t="e">
        <f t="shared" ca="1" si="2245"/>
        <v>#NAME?</v>
      </c>
      <c r="BE246" s="84" t="e">
        <f t="shared" ca="1" si="2245"/>
        <v>#NAME?</v>
      </c>
      <c r="BF246" s="84" t="e">
        <f t="shared" ca="1" si="2245"/>
        <v>#NAME?</v>
      </c>
      <c r="BG246" s="84" t="e">
        <f t="shared" ca="1" si="2245"/>
        <v>#NAME?</v>
      </c>
      <c r="BH246" s="84" t="e">
        <f t="shared" ca="1" si="2245"/>
        <v>#NAME?</v>
      </c>
      <c r="BI246" s="84" t="e">
        <f t="shared" ca="1" si="2245"/>
        <v>#NAME?</v>
      </c>
      <c r="BJ246" s="84" t="e">
        <f t="shared" ca="1" si="2245"/>
        <v>#NAME?</v>
      </c>
      <c r="BK246" s="84" t="e">
        <f t="shared" ca="1" si="2245"/>
        <v>#NAME?</v>
      </c>
      <c r="BL246" s="84" t="e">
        <f t="shared" ca="1" si="2245"/>
        <v>#NAME?</v>
      </c>
      <c r="BM246" s="84" t="e">
        <f t="shared" ca="1" si="2245"/>
        <v>#NAME?</v>
      </c>
      <c r="BN246" s="84" t="e">
        <f t="shared" ca="1" si="2245"/>
        <v>#NAME?</v>
      </c>
      <c r="BO246" s="84" t="e">
        <f t="shared" ca="1" si="2245"/>
        <v>#NAME?</v>
      </c>
      <c r="BP246" s="84" t="e">
        <f t="shared" ca="1" si="2245"/>
        <v>#NAME?</v>
      </c>
      <c r="BQ246" s="84" t="e">
        <f t="shared" ca="1" si="2245"/>
        <v>#NAME?</v>
      </c>
      <c r="BR246" s="84" t="e">
        <f t="shared" ca="1" si="2245"/>
        <v>#NAME?</v>
      </c>
      <c r="BS246" s="84" t="e">
        <f t="shared" ca="1" si="2245"/>
        <v>#NAME?</v>
      </c>
      <c r="BT246" s="84" t="e">
        <f t="shared" ca="1" si="2245"/>
        <v>#NAME?</v>
      </c>
      <c r="BU246" s="84" t="e">
        <f t="shared" ca="1" si="2245"/>
        <v>#NAME?</v>
      </c>
      <c r="BV246" s="84" t="e">
        <f t="shared" ca="1" si="2245"/>
        <v>#NAME?</v>
      </c>
      <c r="BW246" s="84" t="e">
        <f t="shared" ca="1" si="2245"/>
        <v>#NAME?</v>
      </c>
      <c r="BX246" s="84" t="e">
        <f t="shared" ca="1" si="2245"/>
        <v>#NAME?</v>
      </c>
      <c r="BY246" s="84" t="e">
        <f t="shared" ca="1" si="2245"/>
        <v>#NAME?</v>
      </c>
      <c r="BZ246" s="84" t="e">
        <f t="shared" ca="1" si="2245"/>
        <v>#NAME?</v>
      </c>
      <c r="CA246" s="84" t="e">
        <f t="shared" ca="1" si="2245"/>
        <v>#NAME?</v>
      </c>
      <c r="CB246" s="84" t="e">
        <f t="shared" ca="1" si="2245"/>
        <v>#NAME?</v>
      </c>
      <c r="CC246" s="84" t="e">
        <f t="shared" ca="1" si="2245"/>
        <v>#NAME?</v>
      </c>
      <c r="CD246" s="84" t="e">
        <f t="shared" ca="1" si="2245"/>
        <v>#NAME?</v>
      </c>
      <c r="CE246" s="84" t="e">
        <f t="shared" ca="1" si="2245"/>
        <v>#NAME?</v>
      </c>
      <c r="CF246" s="84" t="e">
        <f t="shared" ca="1" si="2245"/>
        <v>#NAME?</v>
      </c>
      <c r="CG246" s="84" t="e">
        <f t="shared" ca="1" si="2245"/>
        <v>#NAME?</v>
      </c>
      <c r="CH246" s="84" t="e">
        <f t="shared" ca="1" si="2245"/>
        <v>#NAME?</v>
      </c>
      <c r="CI246" s="84" t="e">
        <f t="shared" ca="1" si="2245"/>
        <v>#NAME?</v>
      </c>
      <c r="CJ246" s="84" t="e">
        <f t="shared" ca="1" si="2245"/>
        <v>#NAME?</v>
      </c>
      <c r="CK246" s="84" t="e">
        <f t="shared" ca="1" si="2245"/>
        <v>#NAME?</v>
      </c>
      <c r="CL246" s="84" t="e">
        <f t="shared" ca="1" si="2245"/>
        <v>#NAME?</v>
      </c>
      <c r="CM246" s="50" t="e">
        <f t="shared" ca="1" si="2245"/>
        <v>#NAME?</v>
      </c>
      <c r="CN246" s="50" t="e">
        <f t="shared" ca="1" si="2245"/>
        <v>#NAME?</v>
      </c>
      <c r="CO246" s="50" t="e">
        <f t="shared" ca="1" si="2245"/>
        <v>#NAME?</v>
      </c>
      <c r="CP246" s="50" t="e">
        <f t="shared" ca="1" si="2245"/>
        <v>#NAME?</v>
      </c>
      <c r="CQ246" s="50" t="e">
        <f t="shared" ca="1" si="2245"/>
        <v>#NAME?</v>
      </c>
      <c r="CR246" s="50" t="e">
        <f t="shared" ca="1" si="2245"/>
        <v>#NAME?</v>
      </c>
      <c r="CS246" s="50" t="e">
        <f t="shared" ca="1" si="2245"/>
        <v>#NAME?</v>
      </c>
      <c r="CT246" s="50" t="e">
        <f t="shared" ca="1" si="2245"/>
        <v>#NAME?</v>
      </c>
      <c r="CU246" s="50" t="e">
        <f t="shared" ca="1" si="2245"/>
        <v>#NAME?</v>
      </c>
      <c r="CV246" s="50" t="e">
        <f t="shared" ca="1" si="2245"/>
        <v>#NAME?</v>
      </c>
      <c r="CW246" s="50" t="e">
        <f t="shared" ca="1" si="2245"/>
        <v>#NAME?</v>
      </c>
      <c r="CX246" s="50" t="e">
        <f t="shared" ref="CX246:DB246" ca="1" si="2246">(CX161+CX148+CX138+CX140)/CX120</f>
        <v>#NAME?</v>
      </c>
      <c r="CY246" s="50" t="e">
        <f t="shared" ca="1" si="2246"/>
        <v>#NAME?</v>
      </c>
      <c r="CZ246" s="50" t="e">
        <f t="shared" ca="1" si="2246"/>
        <v>#NAME?</v>
      </c>
      <c r="DA246" s="50" t="e">
        <f t="shared" ca="1" si="2246"/>
        <v>#NAME?</v>
      </c>
      <c r="DB246" s="50" t="e">
        <f t="shared" ca="1" si="2246"/>
        <v>#NAME?</v>
      </c>
      <c r="DE246" s="138"/>
      <c r="DF246" s="84">
        <v>2.5562471761518877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47">B161/B120</f>
        <v>#NAME?</v>
      </c>
      <c r="C248" s="88" t="e">
        <f t="shared" ca="1" si="2247"/>
        <v>#NAME?</v>
      </c>
      <c r="D248" s="88" t="e">
        <f t="shared" ca="1" si="2247"/>
        <v>#NAME?</v>
      </c>
      <c r="F248" s="88" t="e">
        <f t="shared" ca="1" si="2247"/>
        <v>#NAME?</v>
      </c>
      <c r="G248" s="88" t="e">
        <f t="shared" ca="1" si="2247"/>
        <v>#NAME?</v>
      </c>
      <c r="H248" s="88" t="e">
        <f t="shared" ca="1" si="2247"/>
        <v>#NAME?</v>
      </c>
      <c r="I248" s="88" t="e">
        <f t="shared" ca="1" si="2247"/>
        <v>#NAME?</v>
      </c>
      <c r="J248" s="88" t="e">
        <f t="shared" ca="1" si="2247"/>
        <v>#NAME?</v>
      </c>
      <c r="K248" s="88" t="e">
        <f t="shared" ca="1" si="2247"/>
        <v>#NAME?</v>
      </c>
      <c r="L248" s="88" t="e">
        <f t="shared" ca="1" si="2247"/>
        <v>#NAME?</v>
      </c>
      <c r="M248" s="88" t="e">
        <f t="shared" ca="1" si="2247"/>
        <v>#NAME?</v>
      </c>
      <c r="N248" s="88" t="e">
        <f t="shared" ca="1" si="2247"/>
        <v>#NAME?</v>
      </c>
      <c r="O248" s="88" t="e">
        <f t="shared" ca="1" si="2247"/>
        <v>#NAME?</v>
      </c>
      <c r="P248" s="88" t="e">
        <f t="shared" ca="1" si="2247"/>
        <v>#NAME?</v>
      </c>
      <c r="Q248" s="88" t="e">
        <f t="shared" ca="1" si="2247"/>
        <v>#NAME?</v>
      </c>
      <c r="R248" s="88" t="e">
        <f t="shared" ca="1" si="2247"/>
        <v>#NAME?</v>
      </c>
      <c r="S248" s="88" t="e">
        <f t="shared" ca="1" si="2247"/>
        <v>#NAME?</v>
      </c>
      <c r="T248" s="88" t="e">
        <f t="shared" ca="1" si="2247"/>
        <v>#NAME?</v>
      </c>
      <c r="U248" s="88" t="e">
        <f t="shared" ca="1" si="2247"/>
        <v>#NAME?</v>
      </c>
      <c r="V248" s="88" t="e">
        <f t="shared" ca="1" si="2247"/>
        <v>#NAME?</v>
      </c>
      <c r="W248" s="88" t="e">
        <f t="shared" ca="1" si="2247"/>
        <v>#NAME?</v>
      </c>
      <c r="X248" s="88" t="e">
        <f t="shared" ca="1" si="2247"/>
        <v>#NAME?</v>
      </c>
      <c r="Y248" s="88" t="e">
        <f t="shared" ca="1" si="2247"/>
        <v>#NAME?</v>
      </c>
      <c r="Z248" s="88" t="e">
        <f t="shared" ca="1" si="2247"/>
        <v>#NAME?</v>
      </c>
      <c r="AA248" s="88" t="e">
        <f t="shared" ref="AA248" ca="1" si="2248">AA161/AA120</f>
        <v>#NAME?</v>
      </c>
      <c r="AB248" s="42" t="e">
        <f t="shared" ca="1" si="2247"/>
        <v>#NAME?</v>
      </c>
      <c r="AC248" s="42" t="e">
        <f t="shared" ca="1" si="2247"/>
        <v>#NAME?</v>
      </c>
      <c r="AD248" s="42" t="e">
        <f t="shared" ca="1" si="2247"/>
        <v>#NAME?</v>
      </c>
      <c r="AE248" s="42" t="e">
        <f t="shared" ca="1" si="2247"/>
        <v>#NAME?</v>
      </c>
      <c r="AL248" s="88" t="e">
        <f t="shared" ref="AL248:CW248" ca="1" si="2249">AL161/AL120</f>
        <v>#NAME?</v>
      </c>
      <c r="AM248" s="88" t="e">
        <f t="shared" ca="1" si="2249"/>
        <v>#NAME?</v>
      </c>
      <c r="AN248" s="88" t="e">
        <f t="shared" ca="1" si="2249"/>
        <v>#NAME?</v>
      </c>
      <c r="AO248" s="88" t="e">
        <f t="shared" ca="1" si="2249"/>
        <v>#NAME?</v>
      </c>
      <c r="AP248" s="88" t="e">
        <f t="shared" ca="1" si="2249"/>
        <v>#NAME?</v>
      </c>
      <c r="AQ248" s="88" t="e">
        <f t="shared" ca="1" si="2249"/>
        <v>#NAME?</v>
      </c>
      <c r="AR248" s="88" t="e">
        <f t="shared" ca="1" si="2249"/>
        <v>#NAME?</v>
      </c>
      <c r="AS248" s="88" t="e">
        <f t="shared" ca="1" si="2249"/>
        <v>#NAME?</v>
      </c>
      <c r="AT248" s="88" t="e">
        <f t="shared" ca="1" si="2249"/>
        <v>#NAME?</v>
      </c>
      <c r="AU248" s="88" t="e">
        <f t="shared" ca="1" si="2249"/>
        <v>#NAME?</v>
      </c>
      <c r="AV248" s="88" t="e">
        <f t="shared" ca="1" si="2249"/>
        <v>#NAME?</v>
      </c>
      <c r="AW248" s="88" t="e">
        <f t="shared" ca="1" si="2249"/>
        <v>#NAME?</v>
      </c>
      <c r="AX248" s="88" t="e">
        <f t="shared" ca="1" si="2249"/>
        <v>#NAME?</v>
      </c>
      <c r="AY248" s="88" t="e">
        <f t="shared" ca="1" si="2249"/>
        <v>#NAME?</v>
      </c>
      <c r="AZ248" s="88" t="e">
        <f t="shared" ca="1" si="2249"/>
        <v>#NAME?</v>
      </c>
      <c r="BA248" s="88" t="e">
        <f t="shared" ca="1" si="2249"/>
        <v>#NAME?</v>
      </c>
      <c r="BB248" s="88" t="e">
        <f t="shared" ca="1" si="2249"/>
        <v>#NAME?</v>
      </c>
      <c r="BC248" s="88" t="e">
        <f t="shared" ca="1" si="2249"/>
        <v>#NAME?</v>
      </c>
      <c r="BD248" s="88" t="e">
        <f t="shared" ca="1" si="2249"/>
        <v>#NAME?</v>
      </c>
      <c r="BE248" s="88" t="e">
        <f t="shared" ca="1" si="2249"/>
        <v>#NAME?</v>
      </c>
      <c r="BF248" s="88" t="e">
        <f t="shared" ca="1" si="2249"/>
        <v>#NAME?</v>
      </c>
      <c r="BG248" s="88" t="e">
        <f t="shared" ca="1" si="2249"/>
        <v>#NAME?</v>
      </c>
      <c r="BH248" s="88" t="e">
        <f t="shared" ca="1" si="2249"/>
        <v>#NAME?</v>
      </c>
      <c r="BI248" s="88" t="e">
        <f t="shared" ca="1" si="2249"/>
        <v>#NAME?</v>
      </c>
      <c r="BJ248" s="88" t="e">
        <f t="shared" ca="1" si="2249"/>
        <v>#NAME?</v>
      </c>
      <c r="BK248" s="88" t="e">
        <f t="shared" ca="1" si="2249"/>
        <v>#NAME?</v>
      </c>
      <c r="BL248" s="88" t="e">
        <f t="shared" ca="1" si="2249"/>
        <v>#NAME?</v>
      </c>
      <c r="BM248" s="88" t="e">
        <f t="shared" ca="1" si="2249"/>
        <v>#NAME?</v>
      </c>
      <c r="BN248" s="88" t="e">
        <f t="shared" ca="1" si="2249"/>
        <v>#NAME?</v>
      </c>
      <c r="BO248" s="88" t="e">
        <f t="shared" ca="1" si="2249"/>
        <v>#NAME?</v>
      </c>
      <c r="BP248" s="88" t="e">
        <f t="shared" ca="1" si="2249"/>
        <v>#NAME?</v>
      </c>
      <c r="BQ248" s="88" t="e">
        <f t="shared" ca="1" si="2249"/>
        <v>#NAME?</v>
      </c>
      <c r="BR248" s="88" t="e">
        <f t="shared" ca="1" si="2249"/>
        <v>#NAME?</v>
      </c>
      <c r="BS248" s="88" t="e">
        <f t="shared" ca="1" si="2249"/>
        <v>#NAME?</v>
      </c>
      <c r="BT248" s="88" t="e">
        <f t="shared" ca="1" si="2249"/>
        <v>#NAME?</v>
      </c>
      <c r="BU248" s="88" t="e">
        <f t="shared" ca="1" si="2249"/>
        <v>#NAME?</v>
      </c>
      <c r="BV248" s="88" t="e">
        <f t="shared" ca="1" si="2249"/>
        <v>#NAME?</v>
      </c>
      <c r="BW248" s="88" t="e">
        <f t="shared" ca="1" si="2249"/>
        <v>#NAME?</v>
      </c>
      <c r="BX248" s="88" t="e">
        <f t="shared" ca="1" si="2249"/>
        <v>#NAME?</v>
      </c>
      <c r="BY248" s="88" t="e">
        <f t="shared" ca="1" si="2249"/>
        <v>#NAME?</v>
      </c>
      <c r="BZ248" s="88" t="e">
        <f t="shared" ca="1" si="2249"/>
        <v>#NAME?</v>
      </c>
      <c r="CA248" s="88" t="e">
        <f t="shared" ca="1" si="2249"/>
        <v>#NAME?</v>
      </c>
      <c r="CB248" s="88" t="e">
        <f t="shared" ca="1" si="2249"/>
        <v>#NAME?</v>
      </c>
      <c r="CC248" s="88" t="e">
        <f t="shared" ca="1" si="2249"/>
        <v>#NAME?</v>
      </c>
      <c r="CD248" s="88" t="e">
        <f t="shared" ca="1" si="2249"/>
        <v>#NAME?</v>
      </c>
      <c r="CE248" s="88" t="e">
        <f t="shared" ca="1" si="2249"/>
        <v>#NAME?</v>
      </c>
      <c r="CF248" s="88" t="e">
        <f t="shared" ca="1" si="2249"/>
        <v>#NAME?</v>
      </c>
      <c r="CG248" s="88" t="e">
        <f t="shared" ca="1" si="2249"/>
        <v>#NAME?</v>
      </c>
      <c r="CH248" s="88" t="e">
        <f t="shared" ca="1" si="2249"/>
        <v>#NAME?</v>
      </c>
      <c r="CI248" s="88" t="e">
        <f t="shared" ca="1" si="2249"/>
        <v>#NAME?</v>
      </c>
      <c r="CJ248" s="88" t="e">
        <f t="shared" ca="1" si="2249"/>
        <v>#NAME?</v>
      </c>
      <c r="CK248" s="88" t="e">
        <f t="shared" ca="1" si="2249"/>
        <v>#NAME?</v>
      </c>
      <c r="CL248" s="88" t="e">
        <f t="shared" ca="1" si="2249"/>
        <v>#NAME?</v>
      </c>
      <c r="CM248" s="42" t="e">
        <f t="shared" ca="1" si="2249"/>
        <v>#NAME?</v>
      </c>
      <c r="CN248" s="42" t="e">
        <f t="shared" ca="1" si="2249"/>
        <v>#NAME?</v>
      </c>
      <c r="CO248" s="42" t="e">
        <f t="shared" ca="1" si="2249"/>
        <v>#NAME?</v>
      </c>
      <c r="CP248" s="42" t="e">
        <f t="shared" ca="1" si="2249"/>
        <v>#NAME?</v>
      </c>
      <c r="CQ248" s="42" t="e">
        <f t="shared" ca="1" si="2249"/>
        <v>#NAME?</v>
      </c>
      <c r="CR248" s="42" t="e">
        <f t="shared" ca="1" si="2249"/>
        <v>#NAME?</v>
      </c>
      <c r="CS248" s="42" t="e">
        <f t="shared" ca="1" si="2249"/>
        <v>#NAME?</v>
      </c>
      <c r="CT248" s="42" t="e">
        <f t="shared" ca="1" si="2249"/>
        <v>#NAME?</v>
      </c>
      <c r="CU248" s="42" t="e">
        <f t="shared" ca="1" si="2249"/>
        <v>#NAME?</v>
      </c>
      <c r="CV248" s="42" t="e">
        <f t="shared" ca="1" si="2249"/>
        <v>#NAME?</v>
      </c>
      <c r="CW248" s="42" t="e">
        <f t="shared" ca="1" si="2249"/>
        <v>#NAME?</v>
      </c>
      <c r="CX248" s="42" t="e">
        <f t="shared" ref="CX248:DB248" ca="1" si="2250">CX161/CX120</f>
        <v>#NAME?</v>
      </c>
      <c r="CY248" s="42" t="e">
        <f t="shared" ca="1" si="2250"/>
        <v>#NAME?</v>
      </c>
      <c r="CZ248" s="42" t="e">
        <f t="shared" ca="1" si="2250"/>
        <v>#NAME?</v>
      </c>
      <c r="DA248" s="42" t="e">
        <f t="shared" ca="1" si="2250"/>
        <v>#NAME?</v>
      </c>
      <c r="DB248" s="42" t="e">
        <f t="shared" ca="1" si="2250"/>
        <v>#NAME?</v>
      </c>
      <c r="DE248" s="125"/>
      <c r="DF248" s="88">
        <v>0.26001120813190687</v>
      </c>
    </row>
    <row r="249" spans="1:110" s="89" customFormat="1" x14ac:dyDescent="0.2">
      <c r="A249" s="89" t="s">
        <v>103</v>
      </c>
      <c r="C249" s="89" t="e">
        <f t="shared" ref="C249:AE249" ca="1" si="2251">C128/B128-1</f>
        <v>#NAME?</v>
      </c>
      <c r="D249" s="89" t="e">
        <f t="shared" ca="1" si="2251"/>
        <v>#NAME?</v>
      </c>
      <c r="F249" s="89" t="e">
        <f t="shared" ca="1" si="2251"/>
        <v>#NAME?</v>
      </c>
      <c r="G249" s="89" t="e">
        <f t="shared" ca="1" si="2251"/>
        <v>#NAME?</v>
      </c>
      <c r="H249" s="89" t="e">
        <f t="shared" ca="1" si="2251"/>
        <v>#NAME?</v>
      </c>
      <c r="I249" s="89" t="e">
        <f t="shared" ca="1" si="2251"/>
        <v>#NAME?</v>
      </c>
      <c r="J249" s="89" t="e">
        <f t="shared" ca="1" si="2251"/>
        <v>#NAME?</v>
      </c>
      <c r="K249" s="89" t="e">
        <f ca="1">K128/J128-1</f>
        <v>#NAME?</v>
      </c>
      <c r="L249" s="89" t="e">
        <f t="shared" ca="1" si="2251"/>
        <v>#NAME?</v>
      </c>
      <c r="M249" s="89" t="e">
        <f t="shared" ca="1" si="2251"/>
        <v>#NAME?</v>
      </c>
      <c r="N249" s="89" t="e">
        <f t="shared" ca="1" si="2251"/>
        <v>#NAME?</v>
      </c>
      <c r="O249" s="89" t="e">
        <f t="shared" ca="1" si="2251"/>
        <v>#NAME?</v>
      </c>
      <c r="P249" s="89" t="e">
        <f t="shared" ca="1" si="2251"/>
        <v>#NAME?</v>
      </c>
      <c r="Q249" s="89" t="e">
        <f t="shared" ca="1" si="2251"/>
        <v>#NAME?</v>
      </c>
      <c r="R249" s="89" t="e">
        <f t="shared" ca="1" si="2251"/>
        <v>#NAME?</v>
      </c>
      <c r="S249" s="89" t="e">
        <f t="shared" ca="1" si="2251"/>
        <v>#NAME?</v>
      </c>
      <c r="T249" s="89" t="e">
        <f t="shared" ca="1" si="2251"/>
        <v>#NAME?</v>
      </c>
      <c r="U249" s="89" t="e">
        <f t="shared" ca="1" si="2251"/>
        <v>#NAME?</v>
      </c>
      <c r="V249" s="89" t="e">
        <f t="shared" ca="1" si="2251"/>
        <v>#NAME?</v>
      </c>
      <c r="W249" s="89" t="e">
        <f t="shared" ca="1" si="2251"/>
        <v>#NAME?</v>
      </c>
      <c r="X249" s="89" t="e">
        <f t="shared" ca="1" si="2251"/>
        <v>#NAME?</v>
      </c>
      <c r="Y249" s="89" t="e">
        <f t="shared" ca="1" si="2251"/>
        <v>#NAME?</v>
      </c>
      <c r="Z249" s="89" t="e">
        <f t="shared" ca="1" si="2251"/>
        <v>#NAME?</v>
      </c>
      <c r="AA249" s="89" t="e">
        <f t="shared" ca="1" si="2251"/>
        <v>#NAME?</v>
      </c>
      <c r="AB249" s="47" t="e">
        <f t="shared" ca="1" si="2251"/>
        <v>#NAME?</v>
      </c>
      <c r="AC249" s="47" t="e">
        <f t="shared" ca="1" si="2251"/>
        <v>#NAME?</v>
      </c>
      <c r="AD249" s="47" t="e">
        <f t="shared" ca="1" si="2251"/>
        <v>#NAME?</v>
      </c>
      <c r="AE249" s="47" t="e">
        <f t="shared" ca="1" si="2251"/>
        <v>#NAME?</v>
      </c>
      <c r="AL249" s="89" t="e">
        <f t="shared" ref="AL249:CW249" ca="1" si="2252">AL128/AK128-1</f>
        <v>#NAME?</v>
      </c>
      <c r="AM249" s="89" t="e">
        <f t="shared" ca="1" si="2252"/>
        <v>#NAME?</v>
      </c>
      <c r="AN249" s="89" t="e">
        <f t="shared" ca="1" si="2252"/>
        <v>#NAME?</v>
      </c>
      <c r="AO249" s="89" t="e">
        <f t="shared" ca="1" si="2252"/>
        <v>#NAME?</v>
      </c>
      <c r="AP249" s="89" t="e">
        <f t="shared" ca="1" si="2252"/>
        <v>#NAME?</v>
      </c>
      <c r="AQ249" s="89" t="e">
        <f t="shared" ca="1" si="2252"/>
        <v>#NAME?</v>
      </c>
      <c r="AR249" s="89" t="e">
        <f t="shared" ca="1" si="2252"/>
        <v>#NAME?</v>
      </c>
      <c r="AS249" s="89" t="e">
        <f t="shared" ca="1" si="2252"/>
        <v>#NAME?</v>
      </c>
      <c r="AT249" s="89" t="e">
        <f t="shared" ca="1" si="2252"/>
        <v>#NAME?</v>
      </c>
      <c r="AU249" s="89" t="e">
        <f t="shared" ca="1" si="2252"/>
        <v>#NAME?</v>
      </c>
      <c r="AV249" s="89" t="e">
        <f t="shared" ca="1" si="2252"/>
        <v>#NAME?</v>
      </c>
      <c r="AW249" s="89" t="e">
        <f t="shared" ca="1" si="2252"/>
        <v>#NAME?</v>
      </c>
      <c r="AX249" s="89" t="e">
        <f t="shared" ca="1" si="2252"/>
        <v>#NAME?</v>
      </c>
      <c r="AY249" s="89" t="e">
        <f t="shared" ca="1" si="2252"/>
        <v>#NAME?</v>
      </c>
      <c r="AZ249" s="89" t="e">
        <f t="shared" ca="1" si="2252"/>
        <v>#NAME?</v>
      </c>
      <c r="BA249" s="89" t="e">
        <f t="shared" ca="1" si="2252"/>
        <v>#NAME?</v>
      </c>
      <c r="BB249" s="89" t="e">
        <f t="shared" ca="1" si="2252"/>
        <v>#NAME?</v>
      </c>
      <c r="BC249" s="89" t="e">
        <f t="shared" ca="1" si="2252"/>
        <v>#NAME?</v>
      </c>
      <c r="BD249" s="89" t="e">
        <f t="shared" ca="1" si="2252"/>
        <v>#NAME?</v>
      </c>
      <c r="BE249" s="89" t="e">
        <f t="shared" ca="1" si="2252"/>
        <v>#NAME?</v>
      </c>
      <c r="BF249" s="89" t="e">
        <f t="shared" ca="1" si="2252"/>
        <v>#NAME?</v>
      </c>
      <c r="BG249" s="89" t="e">
        <f t="shared" ca="1" si="2252"/>
        <v>#NAME?</v>
      </c>
      <c r="BH249" s="89" t="e">
        <f t="shared" ca="1" si="2252"/>
        <v>#NAME?</v>
      </c>
      <c r="BI249" s="89" t="e">
        <f t="shared" ca="1" si="2252"/>
        <v>#NAME?</v>
      </c>
      <c r="BJ249" s="89" t="e">
        <f t="shared" ca="1" si="2252"/>
        <v>#NAME?</v>
      </c>
      <c r="BK249" s="89" t="e">
        <f t="shared" ca="1" si="2252"/>
        <v>#NAME?</v>
      </c>
      <c r="BL249" s="89" t="e">
        <f t="shared" ca="1" si="2252"/>
        <v>#NAME?</v>
      </c>
      <c r="BM249" s="89" t="e">
        <f t="shared" ca="1" si="2252"/>
        <v>#NAME?</v>
      </c>
      <c r="BN249" s="89" t="e">
        <f t="shared" ca="1" si="2252"/>
        <v>#NAME?</v>
      </c>
      <c r="BO249" s="89" t="e">
        <f t="shared" ca="1" si="2252"/>
        <v>#NAME?</v>
      </c>
      <c r="BP249" s="89" t="e">
        <f t="shared" ca="1" si="2252"/>
        <v>#NAME?</v>
      </c>
      <c r="BQ249" s="89" t="e">
        <f t="shared" ca="1" si="2252"/>
        <v>#NAME?</v>
      </c>
      <c r="BR249" s="89" t="e">
        <f t="shared" ca="1" si="2252"/>
        <v>#NAME?</v>
      </c>
      <c r="BS249" s="89" t="e">
        <f t="shared" ca="1" si="2252"/>
        <v>#NAME?</v>
      </c>
      <c r="BT249" s="89" t="e">
        <f t="shared" ca="1" si="2252"/>
        <v>#NAME?</v>
      </c>
      <c r="BU249" s="89" t="e">
        <f t="shared" ca="1" si="2252"/>
        <v>#NAME?</v>
      </c>
      <c r="BV249" s="89" t="e">
        <f t="shared" ca="1" si="2252"/>
        <v>#NAME?</v>
      </c>
      <c r="BW249" s="89" t="e">
        <f t="shared" ca="1" si="2252"/>
        <v>#NAME?</v>
      </c>
      <c r="BX249" s="89" t="e">
        <f t="shared" ca="1" si="2252"/>
        <v>#NAME?</v>
      </c>
      <c r="BY249" s="89" t="e">
        <f t="shared" ca="1" si="2252"/>
        <v>#NAME?</v>
      </c>
      <c r="BZ249" s="89" t="e">
        <f t="shared" ca="1" si="2252"/>
        <v>#NAME?</v>
      </c>
      <c r="CA249" s="89" t="e">
        <f t="shared" ca="1" si="2252"/>
        <v>#NAME?</v>
      </c>
      <c r="CB249" s="89" t="e">
        <f t="shared" ca="1" si="2252"/>
        <v>#NAME?</v>
      </c>
      <c r="CC249" s="89" t="e">
        <f t="shared" ca="1" si="2252"/>
        <v>#NAME?</v>
      </c>
      <c r="CD249" s="89" t="e">
        <f t="shared" ca="1" si="2252"/>
        <v>#NAME?</v>
      </c>
      <c r="CE249" s="89" t="e">
        <f t="shared" ca="1" si="2252"/>
        <v>#NAME?</v>
      </c>
      <c r="CF249" s="89" t="e">
        <f t="shared" ca="1" si="2252"/>
        <v>#NAME?</v>
      </c>
      <c r="CG249" s="89" t="e">
        <f t="shared" ca="1" si="2252"/>
        <v>#NAME?</v>
      </c>
      <c r="CH249" s="89" t="e">
        <f t="shared" ca="1" si="2252"/>
        <v>#NAME?</v>
      </c>
      <c r="CI249" s="89" t="e">
        <f t="shared" ca="1" si="2252"/>
        <v>#NAME?</v>
      </c>
      <c r="CJ249" s="89" t="e">
        <f t="shared" ca="1" si="2252"/>
        <v>#NAME?</v>
      </c>
      <c r="CK249" s="89" t="e">
        <f t="shared" ca="1" si="2252"/>
        <v>#NAME?</v>
      </c>
      <c r="CL249" s="89" t="e">
        <f t="shared" ca="1" si="2252"/>
        <v>#NAME?</v>
      </c>
      <c r="CM249" s="47" t="e">
        <f t="shared" ca="1" si="2252"/>
        <v>#NAME?</v>
      </c>
      <c r="CN249" s="47" t="e">
        <f t="shared" ca="1" si="2252"/>
        <v>#NAME?</v>
      </c>
      <c r="CO249" s="47" t="e">
        <f t="shared" ca="1" si="2252"/>
        <v>#NAME?</v>
      </c>
      <c r="CP249" s="47" t="e">
        <f t="shared" ca="1" si="2252"/>
        <v>#NAME?</v>
      </c>
      <c r="CQ249" s="47" t="e">
        <f t="shared" ca="1" si="2252"/>
        <v>#NAME?</v>
      </c>
      <c r="CR249" s="47" t="e">
        <f t="shared" ca="1" si="2252"/>
        <v>#NAME?</v>
      </c>
      <c r="CS249" s="47" t="e">
        <f t="shared" ca="1" si="2252"/>
        <v>#NAME?</v>
      </c>
      <c r="CT249" s="47" t="e">
        <f t="shared" ca="1" si="2252"/>
        <v>#NAME?</v>
      </c>
      <c r="CU249" s="47" t="e">
        <f t="shared" ca="1" si="2252"/>
        <v>#NAME?</v>
      </c>
      <c r="CV249" s="47" t="e">
        <f t="shared" ca="1" si="2252"/>
        <v>#NAME?</v>
      </c>
      <c r="CW249" s="47" t="e">
        <f t="shared" ca="1" si="2252"/>
        <v>#NAME?</v>
      </c>
      <c r="CX249" s="47" t="e">
        <f t="shared" ref="CX249:DB249" ca="1" si="2253">CX128/CW128-1</f>
        <v>#NAME?</v>
      </c>
      <c r="CY249" s="47" t="e">
        <f t="shared" ca="1" si="2253"/>
        <v>#NAME?</v>
      </c>
      <c r="CZ249" s="47" t="e">
        <f t="shared" ca="1" si="2253"/>
        <v>#NAME?</v>
      </c>
      <c r="DA249" s="47" t="e">
        <f t="shared" ca="1" si="2253"/>
        <v>#NAME?</v>
      </c>
      <c r="DB249" s="47" t="e">
        <f t="shared" ca="1" si="2253"/>
        <v>#NAME?</v>
      </c>
      <c r="DE249" s="130"/>
      <c r="DF249" s="89">
        <v>-0.96755780922292722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4">F28/E28-1</f>
        <v>#NAME?</v>
      </c>
      <c r="G250" s="89" t="e">
        <f t="shared" ca="1" si="2254"/>
        <v>#NAME?</v>
      </c>
      <c r="H250" s="89" t="e">
        <f t="shared" ca="1" si="2254"/>
        <v>#NAME?</v>
      </c>
      <c r="I250" s="89" t="e">
        <f t="shared" ca="1" si="2254"/>
        <v>#NAME?</v>
      </c>
      <c r="J250" s="89" t="e">
        <f t="shared" ca="1" si="2254"/>
        <v>#NAME?</v>
      </c>
      <c r="K250" s="89" t="e">
        <f t="shared" ca="1" si="2254"/>
        <v>#NAME?</v>
      </c>
      <c r="L250" s="89" t="e">
        <f t="shared" ca="1" si="2254"/>
        <v>#NAME?</v>
      </c>
      <c r="M250" s="89" t="e">
        <f t="shared" ca="1" si="2254"/>
        <v>#NAME?</v>
      </c>
      <c r="N250" s="89" t="e">
        <f t="shared" ca="1" si="2254"/>
        <v>#NAME?</v>
      </c>
      <c r="O250" s="89" t="e">
        <f t="shared" ca="1" si="2254"/>
        <v>#NAME?</v>
      </c>
      <c r="P250" s="89" t="e">
        <f t="shared" ca="1" si="2254"/>
        <v>#NAME?</v>
      </c>
      <c r="Q250" s="89" t="e">
        <f t="shared" ca="1" si="2254"/>
        <v>#NAME?</v>
      </c>
      <c r="R250" s="89" t="e">
        <f t="shared" ca="1" si="2254"/>
        <v>#NAME?</v>
      </c>
      <c r="S250" s="89" t="e">
        <f t="shared" ca="1" si="2254"/>
        <v>#NAME?</v>
      </c>
      <c r="T250" s="89" t="e">
        <f t="shared" ca="1" si="2254"/>
        <v>#NAME?</v>
      </c>
      <c r="U250" s="89" t="e">
        <f t="shared" ca="1" si="2254"/>
        <v>#NAME?</v>
      </c>
      <c r="V250" s="89" t="e">
        <f t="shared" ca="1" si="2254"/>
        <v>#NAME?</v>
      </c>
      <c r="W250" s="89" t="e">
        <f t="shared" ca="1" si="2254"/>
        <v>#NAME?</v>
      </c>
      <c r="X250" s="89" t="e">
        <f t="shared" ca="1" si="2254"/>
        <v>#NAME?</v>
      </c>
      <c r="Y250" s="89" t="e">
        <f t="shared" ca="1" si="2254"/>
        <v>#NAME?</v>
      </c>
      <c r="Z250" s="89" t="e">
        <f t="shared" ca="1" si="2254"/>
        <v>#NAME?</v>
      </c>
      <c r="AA250" s="89" t="e">
        <f t="shared" ca="1" si="2254"/>
        <v>#NAME?</v>
      </c>
      <c r="AB250" s="47" t="e">
        <f t="shared" ca="1" si="2254"/>
        <v>#NAME?</v>
      </c>
      <c r="AC250" s="47" t="e">
        <f t="shared" ca="1" si="2254"/>
        <v>#NAME?</v>
      </c>
      <c r="AD250" s="47" t="e">
        <f t="shared" ca="1" si="2254"/>
        <v>#NAME?</v>
      </c>
      <c r="AE250" s="47" t="e">
        <f t="shared" ca="1" si="2254"/>
        <v>#NAME?</v>
      </c>
      <c r="AL250" s="89" t="e">
        <f t="shared" ref="AL250:CW250" ca="1" si="2255">AL28/AK28-1</f>
        <v>#NAME?</v>
      </c>
      <c r="AM250" s="89" t="e">
        <f t="shared" ca="1" si="2255"/>
        <v>#NAME?</v>
      </c>
      <c r="AN250" s="89" t="e">
        <f t="shared" ca="1" si="2255"/>
        <v>#NAME?</v>
      </c>
      <c r="AO250" s="89" t="e">
        <f t="shared" ca="1" si="2255"/>
        <v>#NAME?</v>
      </c>
      <c r="AP250" s="89" t="e">
        <f t="shared" ca="1" si="2255"/>
        <v>#NAME?</v>
      </c>
      <c r="AQ250" s="89" t="e">
        <f t="shared" ca="1" si="2255"/>
        <v>#NAME?</v>
      </c>
      <c r="AR250" s="89" t="e">
        <f t="shared" ca="1" si="2255"/>
        <v>#NAME?</v>
      </c>
      <c r="AS250" s="89" t="e">
        <f t="shared" ca="1" si="2255"/>
        <v>#NAME?</v>
      </c>
      <c r="AT250" s="89" t="e">
        <f t="shared" ca="1" si="2255"/>
        <v>#NAME?</v>
      </c>
      <c r="AU250" s="89" t="e">
        <f t="shared" ca="1" si="2255"/>
        <v>#NAME?</v>
      </c>
      <c r="AV250" s="89" t="e">
        <f t="shared" ca="1" si="2255"/>
        <v>#NAME?</v>
      </c>
      <c r="AW250" s="89" t="e">
        <f t="shared" ca="1" si="2255"/>
        <v>#NAME?</v>
      </c>
      <c r="AX250" s="89" t="e">
        <f t="shared" ca="1" si="2255"/>
        <v>#NAME?</v>
      </c>
      <c r="AY250" s="89" t="e">
        <f t="shared" ca="1" si="2255"/>
        <v>#NAME?</v>
      </c>
      <c r="AZ250" s="89" t="e">
        <f t="shared" ca="1" si="2255"/>
        <v>#NAME?</v>
      </c>
      <c r="BA250" s="89" t="e">
        <f t="shared" ca="1" si="2255"/>
        <v>#NAME?</v>
      </c>
      <c r="BB250" s="89" t="e">
        <f t="shared" ca="1" si="2255"/>
        <v>#NAME?</v>
      </c>
      <c r="BC250" s="89" t="e">
        <f t="shared" ca="1" si="2255"/>
        <v>#NAME?</v>
      </c>
      <c r="BD250" s="89" t="e">
        <f t="shared" ca="1" si="2255"/>
        <v>#NAME?</v>
      </c>
      <c r="BE250" s="89" t="e">
        <f t="shared" ca="1" si="2255"/>
        <v>#NAME?</v>
      </c>
      <c r="BF250" s="89" t="e">
        <f t="shared" ca="1" si="2255"/>
        <v>#NAME?</v>
      </c>
      <c r="BG250" s="89" t="e">
        <f t="shared" ca="1" si="2255"/>
        <v>#NAME?</v>
      </c>
      <c r="BH250" s="89" t="e">
        <f t="shared" ca="1" si="2255"/>
        <v>#NAME?</v>
      </c>
      <c r="BI250" s="89" t="e">
        <f t="shared" ca="1" si="2255"/>
        <v>#NAME?</v>
      </c>
      <c r="BJ250" s="89" t="e">
        <f t="shared" ca="1" si="2255"/>
        <v>#NAME?</v>
      </c>
      <c r="BK250" s="89" t="e">
        <f t="shared" ca="1" si="2255"/>
        <v>#NAME?</v>
      </c>
      <c r="BL250" s="89" t="e">
        <f t="shared" ca="1" si="2255"/>
        <v>#NAME?</v>
      </c>
      <c r="BM250" s="89" t="e">
        <f t="shared" ca="1" si="2255"/>
        <v>#NAME?</v>
      </c>
      <c r="BN250" s="89" t="e">
        <f t="shared" ca="1" si="2255"/>
        <v>#NAME?</v>
      </c>
      <c r="BO250" s="89" t="e">
        <f t="shared" ca="1" si="2255"/>
        <v>#NAME?</v>
      </c>
      <c r="BP250" s="89" t="e">
        <f t="shared" ca="1" si="2255"/>
        <v>#NAME?</v>
      </c>
      <c r="BQ250" s="89" t="e">
        <f t="shared" ca="1" si="2255"/>
        <v>#NAME?</v>
      </c>
      <c r="BR250" s="89" t="e">
        <f t="shared" ca="1" si="2255"/>
        <v>#NAME?</v>
      </c>
      <c r="BS250" s="89" t="e">
        <f t="shared" ca="1" si="2255"/>
        <v>#NAME?</v>
      </c>
      <c r="BT250" s="89" t="e">
        <f t="shared" ca="1" si="2255"/>
        <v>#NAME?</v>
      </c>
      <c r="BU250" s="89" t="e">
        <f t="shared" ca="1" si="2255"/>
        <v>#NAME?</v>
      </c>
      <c r="BV250" s="89" t="e">
        <f t="shared" ca="1" si="2255"/>
        <v>#NAME?</v>
      </c>
      <c r="BW250" s="89" t="e">
        <f t="shared" ca="1" si="2255"/>
        <v>#NAME?</v>
      </c>
      <c r="BX250" s="89" t="e">
        <f t="shared" ca="1" si="2255"/>
        <v>#NAME?</v>
      </c>
      <c r="BY250" s="89" t="e">
        <f t="shared" ca="1" si="2255"/>
        <v>#NAME?</v>
      </c>
      <c r="BZ250" s="89" t="e">
        <f t="shared" ca="1" si="2255"/>
        <v>#NAME?</v>
      </c>
      <c r="CA250" s="89" t="e">
        <f t="shared" ca="1" si="2255"/>
        <v>#NAME?</v>
      </c>
      <c r="CB250" s="89" t="e">
        <f t="shared" ca="1" si="2255"/>
        <v>#NAME?</v>
      </c>
      <c r="CC250" s="89" t="e">
        <f t="shared" ca="1" si="2255"/>
        <v>#NAME?</v>
      </c>
      <c r="CD250" s="89" t="e">
        <f t="shared" ca="1" si="2255"/>
        <v>#NAME?</v>
      </c>
      <c r="CE250" s="89" t="e">
        <f t="shared" ca="1" si="2255"/>
        <v>#NAME?</v>
      </c>
      <c r="CF250" s="89" t="e">
        <f t="shared" ca="1" si="2255"/>
        <v>#NAME?</v>
      </c>
      <c r="CG250" s="89" t="e">
        <f t="shared" ca="1" si="2255"/>
        <v>#NAME?</v>
      </c>
      <c r="CH250" s="89" t="e">
        <f t="shared" ca="1" si="2255"/>
        <v>#NAME?</v>
      </c>
      <c r="CI250" s="89" t="e">
        <f t="shared" ca="1" si="2255"/>
        <v>#NAME?</v>
      </c>
      <c r="CJ250" s="89" t="e">
        <f t="shared" ca="1" si="2255"/>
        <v>#NAME?</v>
      </c>
      <c r="CK250" s="89" t="e">
        <f t="shared" ca="1" si="2255"/>
        <v>#NAME?</v>
      </c>
      <c r="CL250" s="89" t="e">
        <f t="shared" ca="1" si="2255"/>
        <v>#NAME?</v>
      </c>
      <c r="CM250" s="47" t="e">
        <f t="shared" ca="1" si="2255"/>
        <v>#NAME?</v>
      </c>
      <c r="CN250" s="47" t="e">
        <f t="shared" ca="1" si="2255"/>
        <v>#NAME?</v>
      </c>
      <c r="CO250" s="47" t="e">
        <f t="shared" ca="1" si="2255"/>
        <v>#NAME?</v>
      </c>
      <c r="CP250" s="47" t="e">
        <f t="shared" ca="1" si="2255"/>
        <v>#NAME?</v>
      </c>
      <c r="CQ250" s="47" t="e">
        <f t="shared" ca="1" si="2255"/>
        <v>#NAME?</v>
      </c>
      <c r="CR250" s="47" t="e">
        <f t="shared" ca="1" si="2255"/>
        <v>#NAME?</v>
      </c>
      <c r="CS250" s="47" t="e">
        <f t="shared" ca="1" si="2255"/>
        <v>#NAME?</v>
      </c>
      <c r="CT250" s="47" t="e">
        <f t="shared" ca="1" si="2255"/>
        <v>#NAME?</v>
      </c>
      <c r="CU250" s="47" t="e">
        <f t="shared" ca="1" si="2255"/>
        <v>#NAME?</v>
      </c>
      <c r="CV250" s="47" t="e">
        <f t="shared" ca="1" si="2255"/>
        <v>#NAME?</v>
      </c>
      <c r="CW250" s="47" t="e">
        <f t="shared" ca="1" si="2255"/>
        <v>#NAME?</v>
      </c>
      <c r="CX250" s="47" t="e">
        <f t="shared" ref="CX250:DB250" ca="1" si="2256">CX28/CW28-1</f>
        <v>#NAME?</v>
      </c>
      <c r="CY250" s="47" t="e">
        <f t="shared" ca="1" si="2256"/>
        <v>#NAME?</v>
      </c>
      <c r="CZ250" s="47" t="e">
        <f t="shared" ca="1" si="2256"/>
        <v>#NAME?</v>
      </c>
      <c r="DA250" s="47" t="e">
        <f t="shared" ca="1" si="2256"/>
        <v>#NAME?</v>
      </c>
      <c r="DB250" s="47" t="e">
        <f t="shared" ca="1" si="2256"/>
        <v>#NAME?</v>
      </c>
      <c r="DE250" s="130"/>
      <c r="DF250" s="89">
        <v>9.7369077385131675E-2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57">IF(D249&gt;D250,"RF",0)</f>
        <v>#NAME?</v>
      </c>
      <c r="F251" s="103" t="e">
        <f t="shared" ca="1" si="2257"/>
        <v>#NAME?</v>
      </c>
      <c r="G251" s="103" t="e">
        <f t="shared" ca="1" si="2257"/>
        <v>#NAME?</v>
      </c>
      <c r="H251" s="103" t="e">
        <f t="shared" ca="1" si="2257"/>
        <v>#NAME?</v>
      </c>
      <c r="I251" s="103" t="e">
        <f t="shared" ca="1" si="2257"/>
        <v>#NAME?</v>
      </c>
      <c r="J251" s="103" t="e">
        <f t="shared" ca="1" si="2257"/>
        <v>#NAME?</v>
      </c>
      <c r="K251" s="103" t="e">
        <f t="shared" ca="1" si="2257"/>
        <v>#NAME?</v>
      </c>
      <c r="L251" s="103" t="e">
        <f t="shared" ca="1" si="2257"/>
        <v>#NAME?</v>
      </c>
      <c r="M251" s="103" t="e">
        <f t="shared" ca="1" si="2257"/>
        <v>#NAME?</v>
      </c>
      <c r="N251" s="103" t="e">
        <f t="shared" ca="1" si="2257"/>
        <v>#NAME?</v>
      </c>
      <c r="O251" s="103" t="e">
        <f t="shared" ca="1" si="2257"/>
        <v>#NAME?</v>
      </c>
      <c r="P251" s="103" t="e">
        <f t="shared" ca="1" si="2257"/>
        <v>#NAME?</v>
      </c>
      <c r="Q251" s="103" t="e">
        <f t="shared" ca="1" si="2257"/>
        <v>#NAME?</v>
      </c>
      <c r="R251" s="103" t="e">
        <f t="shared" ca="1" si="2257"/>
        <v>#NAME?</v>
      </c>
      <c r="S251" s="103" t="e">
        <f t="shared" ca="1" si="2257"/>
        <v>#NAME?</v>
      </c>
      <c r="T251" s="103" t="e">
        <f t="shared" ca="1" si="2257"/>
        <v>#NAME?</v>
      </c>
      <c r="U251" s="103" t="e">
        <f t="shared" ca="1" si="2257"/>
        <v>#NAME?</v>
      </c>
      <c r="V251" s="103" t="e">
        <f ca="1">IF(V249&gt;V250,"RF",0)</f>
        <v>#NAME?</v>
      </c>
      <c r="W251" s="103" t="e">
        <f t="shared" ref="W251:AE251" ca="1" si="2258">IF(W249&gt;W250,"RF",0)</f>
        <v>#NAME?</v>
      </c>
      <c r="X251" s="103" t="e">
        <f t="shared" ca="1" si="2258"/>
        <v>#NAME?</v>
      </c>
      <c r="Y251" s="103" t="e">
        <f t="shared" ca="1" si="2258"/>
        <v>#NAME?</v>
      </c>
      <c r="Z251" s="103" t="e">
        <f t="shared" ca="1" si="2258"/>
        <v>#NAME?</v>
      </c>
      <c r="AA251" s="103" t="e">
        <f t="shared" ref="AA251" ca="1" si="2259">IF(AA249&gt;AA250,"RF",0)</f>
        <v>#NAME?</v>
      </c>
      <c r="AB251" s="73" t="e">
        <f t="shared" ca="1" si="2258"/>
        <v>#NAME?</v>
      </c>
      <c r="AC251" s="73" t="e">
        <f t="shared" ca="1" si="2258"/>
        <v>#NAME?</v>
      </c>
      <c r="AD251" s="73" t="e">
        <f t="shared" ca="1" si="2258"/>
        <v>#NAME?</v>
      </c>
      <c r="AE251" s="73" t="e">
        <f t="shared" ca="1" si="2258"/>
        <v>#NAME?</v>
      </c>
      <c r="AL251" s="103" t="e">
        <f t="shared" ref="AL251:CW251" ca="1" si="2260">IF(AL249&gt;AL250,"RF",0)</f>
        <v>#NAME?</v>
      </c>
      <c r="AM251" s="103" t="e">
        <f t="shared" ca="1" si="2260"/>
        <v>#NAME?</v>
      </c>
      <c r="AN251" s="103" t="e">
        <f t="shared" ca="1" si="2260"/>
        <v>#NAME?</v>
      </c>
      <c r="AO251" s="103" t="e">
        <f t="shared" ca="1" si="2260"/>
        <v>#NAME?</v>
      </c>
      <c r="AP251" s="103" t="e">
        <f t="shared" ca="1" si="2260"/>
        <v>#NAME?</v>
      </c>
      <c r="AQ251" s="103" t="e">
        <f t="shared" ca="1" si="2260"/>
        <v>#NAME?</v>
      </c>
      <c r="AR251" s="103" t="e">
        <f t="shared" ca="1" si="2260"/>
        <v>#NAME?</v>
      </c>
      <c r="AS251" s="103" t="e">
        <f t="shared" ca="1" si="2260"/>
        <v>#NAME?</v>
      </c>
      <c r="AT251" s="103" t="e">
        <f t="shared" ca="1" si="2260"/>
        <v>#NAME?</v>
      </c>
      <c r="AU251" s="103" t="e">
        <f t="shared" ca="1" si="2260"/>
        <v>#NAME?</v>
      </c>
      <c r="AV251" s="103" t="e">
        <f t="shared" ca="1" si="2260"/>
        <v>#NAME?</v>
      </c>
      <c r="AW251" s="103" t="e">
        <f t="shared" ca="1" si="2260"/>
        <v>#NAME?</v>
      </c>
      <c r="AX251" s="103" t="e">
        <f t="shared" ca="1" si="2260"/>
        <v>#NAME?</v>
      </c>
      <c r="AY251" s="103" t="e">
        <f t="shared" ca="1" si="2260"/>
        <v>#NAME?</v>
      </c>
      <c r="AZ251" s="103" t="e">
        <f t="shared" ca="1" si="2260"/>
        <v>#NAME?</v>
      </c>
      <c r="BA251" s="103" t="e">
        <f t="shared" ca="1" si="2260"/>
        <v>#NAME?</v>
      </c>
      <c r="BB251" s="103" t="e">
        <f t="shared" ca="1" si="2260"/>
        <v>#NAME?</v>
      </c>
      <c r="BC251" s="103" t="e">
        <f t="shared" ca="1" si="2260"/>
        <v>#NAME?</v>
      </c>
      <c r="BD251" s="103" t="e">
        <f t="shared" ca="1" si="2260"/>
        <v>#NAME?</v>
      </c>
      <c r="BE251" s="103" t="e">
        <f t="shared" ca="1" si="2260"/>
        <v>#NAME?</v>
      </c>
      <c r="BF251" s="103" t="e">
        <f t="shared" ca="1" si="2260"/>
        <v>#NAME?</v>
      </c>
      <c r="BG251" s="103" t="e">
        <f t="shared" ca="1" si="2260"/>
        <v>#NAME?</v>
      </c>
      <c r="BH251" s="103" t="e">
        <f t="shared" ca="1" si="2260"/>
        <v>#NAME?</v>
      </c>
      <c r="BI251" s="103" t="e">
        <f t="shared" ca="1" si="2260"/>
        <v>#NAME?</v>
      </c>
      <c r="BJ251" s="103" t="e">
        <f t="shared" ca="1" si="2260"/>
        <v>#NAME?</v>
      </c>
      <c r="BK251" s="103" t="e">
        <f t="shared" ca="1" si="2260"/>
        <v>#NAME?</v>
      </c>
      <c r="BL251" s="103" t="e">
        <f t="shared" ca="1" si="2260"/>
        <v>#NAME?</v>
      </c>
      <c r="BM251" s="103" t="e">
        <f t="shared" ca="1" si="2260"/>
        <v>#NAME?</v>
      </c>
      <c r="BN251" s="103" t="e">
        <f t="shared" ca="1" si="2260"/>
        <v>#NAME?</v>
      </c>
      <c r="BO251" s="103" t="e">
        <f t="shared" ca="1" si="2260"/>
        <v>#NAME?</v>
      </c>
      <c r="BP251" s="103" t="e">
        <f t="shared" ca="1" si="2260"/>
        <v>#NAME?</v>
      </c>
      <c r="BQ251" s="103" t="e">
        <f t="shared" ca="1" si="2260"/>
        <v>#NAME?</v>
      </c>
      <c r="BR251" s="103" t="e">
        <f t="shared" ca="1" si="2260"/>
        <v>#NAME?</v>
      </c>
      <c r="BS251" s="103" t="e">
        <f t="shared" ca="1" si="2260"/>
        <v>#NAME?</v>
      </c>
      <c r="BT251" s="103" t="e">
        <f t="shared" ca="1" si="2260"/>
        <v>#NAME?</v>
      </c>
      <c r="BU251" s="103" t="e">
        <f t="shared" ca="1" si="2260"/>
        <v>#NAME?</v>
      </c>
      <c r="BV251" s="103" t="e">
        <f t="shared" ca="1" si="2260"/>
        <v>#NAME?</v>
      </c>
      <c r="BW251" s="103" t="e">
        <f t="shared" ca="1" si="2260"/>
        <v>#NAME?</v>
      </c>
      <c r="BX251" s="103" t="e">
        <f t="shared" ca="1" si="2260"/>
        <v>#NAME?</v>
      </c>
      <c r="BY251" s="103" t="e">
        <f t="shared" ca="1" si="2260"/>
        <v>#NAME?</v>
      </c>
      <c r="BZ251" s="103" t="e">
        <f t="shared" ca="1" si="2260"/>
        <v>#NAME?</v>
      </c>
      <c r="CA251" s="103" t="e">
        <f t="shared" ca="1" si="2260"/>
        <v>#NAME?</v>
      </c>
      <c r="CB251" s="103" t="e">
        <f t="shared" ca="1" si="2260"/>
        <v>#NAME?</v>
      </c>
      <c r="CC251" s="103" t="e">
        <f t="shared" ca="1" si="2260"/>
        <v>#NAME?</v>
      </c>
      <c r="CD251" s="103" t="e">
        <f t="shared" ca="1" si="2260"/>
        <v>#NAME?</v>
      </c>
      <c r="CE251" s="103" t="e">
        <f t="shared" ca="1" si="2260"/>
        <v>#NAME?</v>
      </c>
      <c r="CF251" s="103" t="e">
        <f t="shared" ca="1" si="2260"/>
        <v>#NAME?</v>
      </c>
      <c r="CG251" s="103" t="e">
        <f t="shared" ca="1" si="2260"/>
        <v>#NAME?</v>
      </c>
      <c r="CH251" s="103" t="e">
        <f t="shared" ca="1" si="2260"/>
        <v>#NAME?</v>
      </c>
      <c r="CI251" s="103" t="e">
        <f t="shared" ca="1" si="2260"/>
        <v>#NAME?</v>
      </c>
      <c r="CJ251" s="103" t="e">
        <f t="shared" ca="1" si="2260"/>
        <v>#NAME?</v>
      </c>
      <c r="CK251" s="103" t="e">
        <f t="shared" ca="1" si="2260"/>
        <v>#NAME?</v>
      </c>
      <c r="CL251" s="103" t="e">
        <f t="shared" ca="1" si="2260"/>
        <v>#NAME?</v>
      </c>
      <c r="CM251" s="73" t="e">
        <f t="shared" ca="1" si="2260"/>
        <v>#NAME?</v>
      </c>
      <c r="CN251" s="73" t="e">
        <f t="shared" ca="1" si="2260"/>
        <v>#NAME?</v>
      </c>
      <c r="CO251" s="73" t="e">
        <f t="shared" ca="1" si="2260"/>
        <v>#NAME?</v>
      </c>
      <c r="CP251" s="73" t="e">
        <f t="shared" ca="1" si="2260"/>
        <v>#NAME?</v>
      </c>
      <c r="CQ251" s="73" t="e">
        <f t="shared" ca="1" si="2260"/>
        <v>#NAME?</v>
      </c>
      <c r="CR251" s="73" t="e">
        <f t="shared" ca="1" si="2260"/>
        <v>#NAME?</v>
      </c>
      <c r="CS251" s="73" t="e">
        <f t="shared" ca="1" si="2260"/>
        <v>#NAME?</v>
      </c>
      <c r="CT251" s="73" t="e">
        <f t="shared" ca="1" si="2260"/>
        <v>#NAME?</v>
      </c>
      <c r="CU251" s="73" t="e">
        <f t="shared" ca="1" si="2260"/>
        <v>#NAME?</v>
      </c>
      <c r="CV251" s="73" t="e">
        <f t="shared" ca="1" si="2260"/>
        <v>#NAME?</v>
      </c>
      <c r="CW251" s="73" t="e">
        <f t="shared" ca="1" si="2260"/>
        <v>#NAME?</v>
      </c>
      <c r="CX251" s="73" t="e">
        <f t="shared" ref="CX251:DB251" ca="1" si="2261">IF(CX249&gt;CX250,"RF",0)</f>
        <v>#NAME?</v>
      </c>
      <c r="CY251" s="73" t="e">
        <f t="shared" ca="1" si="2261"/>
        <v>#NAME?</v>
      </c>
      <c r="CZ251" s="73" t="e">
        <f t="shared" ca="1" si="2261"/>
        <v>#NAME?</v>
      </c>
      <c r="DA251" s="73" t="e">
        <f t="shared" ca="1" si="2261"/>
        <v>#NAME?</v>
      </c>
      <c r="DB251" s="73" t="e">
        <f t="shared" ca="1" si="2261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2">F36/F8</f>
        <v>#NAME?</v>
      </c>
      <c r="G252" s="86" t="e">
        <f t="shared" ca="1" si="2262"/>
        <v>#NAME?</v>
      </c>
      <c r="H252" s="86" t="e">
        <f t="shared" ca="1" si="2262"/>
        <v>#NAME?</v>
      </c>
      <c r="I252" s="86" t="e">
        <f t="shared" ca="1" si="2262"/>
        <v>#NAME?</v>
      </c>
      <c r="J252" s="86" t="e">
        <f t="shared" ca="1" si="2262"/>
        <v>#NAME?</v>
      </c>
      <c r="K252" s="86" t="e">
        <f t="shared" ca="1" si="2262"/>
        <v>#NAME?</v>
      </c>
      <c r="L252" s="86" t="e">
        <f t="shared" ca="1" si="2262"/>
        <v>#NAME?</v>
      </c>
      <c r="M252" s="86" t="e">
        <f t="shared" ca="1" si="2262"/>
        <v>#NAME?</v>
      </c>
      <c r="N252" s="86" t="e">
        <f t="shared" ca="1" si="2262"/>
        <v>#NAME?</v>
      </c>
      <c r="O252" s="86" t="e">
        <f t="shared" ca="1" si="2262"/>
        <v>#NAME?</v>
      </c>
      <c r="P252" s="86" t="e">
        <f t="shared" ca="1" si="2262"/>
        <v>#NAME?</v>
      </c>
      <c r="Q252" s="86" t="e">
        <f t="shared" ca="1" si="2262"/>
        <v>#NAME?</v>
      </c>
      <c r="R252" s="86" t="e">
        <f t="shared" ca="1" si="2262"/>
        <v>#NAME?</v>
      </c>
      <c r="S252" s="86" t="e">
        <f t="shared" ca="1" si="2262"/>
        <v>#NAME?</v>
      </c>
      <c r="T252" s="86" t="e">
        <f t="shared" ca="1" si="2262"/>
        <v>#NAME?</v>
      </c>
      <c r="U252" s="86" t="e">
        <f t="shared" ca="1" si="2262"/>
        <v>#NAME?</v>
      </c>
      <c r="V252" s="86" t="e">
        <f t="shared" ca="1" si="2262"/>
        <v>#NAME?</v>
      </c>
      <c r="W252" s="86" t="e">
        <f t="shared" ca="1" si="2262"/>
        <v>#NAME?</v>
      </c>
      <c r="X252" s="86" t="e">
        <f t="shared" ca="1" si="2262"/>
        <v>#NAME?</v>
      </c>
      <c r="Y252" s="86" t="e">
        <f t="shared" ca="1" si="2262"/>
        <v>#NAME?</v>
      </c>
      <c r="Z252" s="86" t="e">
        <f t="shared" ca="1" si="2262"/>
        <v>#NAME?</v>
      </c>
      <c r="AA252" s="86" t="e">
        <f t="shared" ref="AA252" ca="1" si="2263">AA36/AA8</f>
        <v>#NAME?</v>
      </c>
      <c r="AB252" s="87" t="e">
        <f t="shared" ca="1" si="2262"/>
        <v>#NAME?</v>
      </c>
      <c r="AC252" s="87" t="e">
        <f t="shared" ca="1" si="2262"/>
        <v>#NAME?</v>
      </c>
      <c r="AD252" s="87" t="e">
        <f t="shared" ca="1" si="2262"/>
        <v>#NAME?</v>
      </c>
      <c r="AE252" s="87" t="e">
        <f t="shared" ca="1" si="2262"/>
        <v>#NAME?</v>
      </c>
      <c r="AL252" s="86" t="e">
        <f t="shared" ref="AL252:CW252" ca="1" si="2264">AL36/AL8</f>
        <v>#NAME?</v>
      </c>
      <c r="AM252" s="86" t="e">
        <f t="shared" ca="1" si="2264"/>
        <v>#NAME?</v>
      </c>
      <c r="AN252" s="86" t="e">
        <f t="shared" ca="1" si="2264"/>
        <v>#NAME?</v>
      </c>
      <c r="AO252" s="86" t="e">
        <f t="shared" ca="1" si="2264"/>
        <v>#NAME?</v>
      </c>
      <c r="AP252" s="86" t="e">
        <f t="shared" ca="1" si="2264"/>
        <v>#NAME?</v>
      </c>
      <c r="AQ252" s="86" t="e">
        <f t="shared" ca="1" si="2264"/>
        <v>#NAME?</v>
      </c>
      <c r="AR252" s="86" t="e">
        <f t="shared" ca="1" si="2264"/>
        <v>#NAME?</v>
      </c>
      <c r="AS252" s="86" t="e">
        <f t="shared" ca="1" si="2264"/>
        <v>#NAME?</v>
      </c>
      <c r="AT252" s="86" t="e">
        <f t="shared" ca="1" si="2264"/>
        <v>#NAME?</v>
      </c>
      <c r="AU252" s="86" t="e">
        <f t="shared" ca="1" si="2264"/>
        <v>#NAME?</v>
      </c>
      <c r="AV252" s="86" t="e">
        <f t="shared" ca="1" si="2264"/>
        <v>#NAME?</v>
      </c>
      <c r="AW252" s="86" t="e">
        <f t="shared" ca="1" si="2264"/>
        <v>#NAME?</v>
      </c>
      <c r="AX252" s="86" t="e">
        <f t="shared" ca="1" si="2264"/>
        <v>#NAME?</v>
      </c>
      <c r="AY252" s="86" t="e">
        <f t="shared" ca="1" si="2264"/>
        <v>#NAME?</v>
      </c>
      <c r="AZ252" s="86" t="e">
        <f t="shared" ca="1" si="2264"/>
        <v>#NAME?</v>
      </c>
      <c r="BA252" s="86" t="e">
        <f t="shared" ca="1" si="2264"/>
        <v>#NAME?</v>
      </c>
      <c r="BB252" s="86" t="e">
        <f t="shared" ca="1" si="2264"/>
        <v>#NAME?</v>
      </c>
      <c r="BC252" s="86" t="e">
        <f t="shared" ca="1" si="2264"/>
        <v>#NAME?</v>
      </c>
      <c r="BD252" s="86" t="e">
        <f t="shared" ca="1" si="2264"/>
        <v>#NAME?</v>
      </c>
      <c r="BE252" s="86" t="e">
        <f t="shared" ca="1" si="2264"/>
        <v>#NAME?</v>
      </c>
      <c r="BF252" s="86" t="e">
        <f t="shared" ca="1" si="2264"/>
        <v>#NAME?</v>
      </c>
      <c r="BG252" s="86" t="e">
        <f t="shared" ca="1" si="2264"/>
        <v>#NAME?</v>
      </c>
      <c r="BH252" s="86" t="e">
        <f t="shared" ca="1" si="2264"/>
        <v>#NAME?</v>
      </c>
      <c r="BI252" s="86" t="e">
        <f t="shared" ca="1" si="2264"/>
        <v>#NAME?</v>
      </c>
      <c r="BJ252" s="86" t="e">
        <f t="shared" ca="1" si="2264"/>
        <v>#NAME?</v>
      </c>
      <c r="BK252" s="86" t="e">
        <f t="shared" ca="1" si="2264"/>
        <v>#NAME?</v>
      </c>
      <c r="BL252" s="86" t="e">
        <f t="shared" ca="1" si="2264"/>
        <v>#NAME?</v>
      </c>
      <c r="BM252" s="86" t="e">
        <f t="shared" ca="1" si="2264"/>
        <v>#NAME?</v>
      </c>
      <c r="BN252" s="86" t="e">
        <f t="shared" ca="1" si="2264"/>
        <v>#NAME?</v>
      </c>
      <c r="BO252" s="86" t="e">
        <f t="shared" ca="1" si="2264"/>
        <v>#NAME?</v>
      </c>
      <c r="BP252" s="86" t="e">
        <f t="shared" ca="1" si="2264"/>
        <v>#NAME?</v>
      </c>
      <c r="BQ252" s="86" t="e">
        <f t="shared" ca="1" si="2264"/>
        <v>#NAME?</v>
      </c>
      <c r="BR252" s="86" t="e">
        <f t="shared" ca="1" si="2264"/>
        <v>#NAME?</v>
      </c>
      <c r="BS252" s="86" t="e">
        <f t="shared" ca="1" si="2264"/>
        <v>#NAME?</v>
      </c>
      <c r="BT252" s="86" t="e">
        <f t="shared" ca="1" si="2264"/>
        <v>#NAME?</v>
      </c>
      <c r="BU252" s="86" t="e">
        <f t="shared" ca="1" si="2264"/>
        <v>#NAME?</v>
      </c>
      <c r="BV252" s="86" t="e">
        <f t="shared" ca="1" si="2264"/>
        <v>#NAME?</v>
      </c>
      <c r="BW252" s="86" t="e">
        <f t="shared" ca="1" si="2264"/>
        <v>#NAME?</v>
      </c>
      <c r="BX252" s="86" t="e">
        <f t="shared" ca="1" si="2264"/>
        <v>#NAME?</v>
      </c>
      <c r="BY252" s="86" t="e">
        <f t="shared" ca="1" si="2264"/>
        <v>#NAME?</v>
      </c>
      <c r="BZ252" s="86" t="e">
        <f t="shared" ca="1" si="2264"/>
        <v>#NAME?</v>
      </c>
      <c r="CA252" s="86" t="e">
        <f t="shared" ca="1" si="2264"/>
        <v>#NAME?</v>
      </c>
      <c r="CB252" s="86" t="e">
        <f t="shared" ca="1" si="2264"/>
        <v>#NAME?</v>
      </c>
      <c r="CC252" s="86" t="e">
        <f t="shared" ca="1" si="2264"/>
        <v>#NAME?</v>
      </c>
      <c r="CD252" s="86" t="e">
        <f t="shared" ca="1" si="2264"/>
        <v>#NAME?</v>
      </c>
      <c r="CE252" s="86" t="e">
        <f t="shared" ca="1" si="2264"/>
        <v>#NAME?</v>
      </c>
      <c r="CF252" s="86" t="e">
        <f t="shared" ca="1" si="2264"/>
        <v>#NAME?</v>
      </c>
      <c r="CG252" s="86" t="e">
        <f t="shared" ca="1" si="2264"/>
        <v>#NAME?</v>
      </c>
      <c r="CH252" s="86" t="e">
        <f t="shared" ca="1" si="2264"/>
        <v>#NAME?</v>
      </c>
      <c r="CI252" s="86" t="e">
        <f t="shared" ca="1" si="2264"/>
        <v>#NAME?</v>
      </c>
      <c r="CJ252" s="86" t="e">
        <f t="shared" ca="1" si="2264"/>
        <v>#NAME?</v>
      </c>
      <c r="CK252" s="86" t="e">
        <f t="shared" ca="1" si="2264"/>
        <v>#NAME?</v>
      </c>
      <c r="CL252" s="86" t="e">
        <f t="shared" ca="1" si="2264"/>
        <v>#NAME?</v>
      </c>
      <c r="CM252" s="87" t="e">
        <f t="shared" ca="1" si="2264"/>
        <v>#NAME?</v>
      </c>
      <c r="CN252" s="87" t="e">
        <f t="shared" ca="1" si="2264"/>
        <v>#NAME?</v>
      </c>
      <c r="CO252" s="87" t="e">
        <f t="shared" ca="1" si="2264"/>
        <v>#NAME?</v>
      </c>
      <c r="CP252" s="87" t="e">
        <f t="shared" ca="1" si="2264"/>
        <v>#NAME?</v>
      </c>
      <c r="CQ252" s="87" t="e">
        <f t="shared" ca="1" si="2264"/>
        <v>#NAME?</v>
      </c>
      <c r="CR252" s="87" t="e">
        <f t="shared" ca="1" si="2264"/>
        <v>#NAME?</v>
      </c>
      <c r="CS252" s="87" t="e">
        <f t="shared" ca="1" si="2264"/>
        <v>#NAME?</v>
      </c>
      <c r="CT252" s="87" t="e">
        <f t="shared" ca="1" si="2264"/>
        <v>#NAME?</v>
      </c>
      <c r="CU252" s="87" t="e">
        <f t="shared" ca="1" si="2264"/>
        <v>#NAME?</v>
      </c>
      <c r="CV252" s="87" t="e">
        <f t="shared" ca="1" si="2264"/>
        <v>#NAME?</v>
      </c>
      <c r="CW252" s="87" t="e">
        <f t="shared" ca="1" si="2264"/>
        <v>#NAME?</v>
      </c>
      <c r="CX252" s="87" t="e">
        <f t="shared" ref="CX252:DB252" ca="1" si="2265">CX36/CX8</f>
        <v>#NAME?</v>
      </c>
      <c r="CY252" s="87" t="e">
        <f t="shared" ca="1" si="2265"/>
        <v>#NAME?</v>
      </c>
      <c r="CZ252" s="87" t="e">
        <f t="shared" ca="1" si="2265"/>
        <v>#NAME?</v>
      </c>
      <c r="DA252" s="87" t="e">
        <f t="shared" ca="1" si="2265"/>
        <v>#NAME?</v>
      </c>
      <c r="DB252" s="87" t="e">
        <f t="shared" ca="1" si="2265"/>
        <v>#NAME?</v>
      </c>
      <c r="DE252" s="141"/>
      <c r="DF252" s="86">
        <v>3.6126730757603241E-3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66">F32/F8</f>
        <v>#NAME?</v>
      </c>
      <c r="G253" s="86" t="e">
        <f t="shared" ca="1" si="2266"/>
        <v>#NAME?</v>
      </c>
      <c r="H253" s="86" t="e">
        <f t="shared" ca="1" si="2266"/>
        <v>#NAME?</v>
      </c>
      <c r="I253" s="86" t="e">
        <f t="shared" ca="1" si="2266"/>
        <v>#NAME?</v>
      </c>
      <c r="J253" s="86" t="e">
        <f t="shared" ca="1" si="2266"/>
        <v>#NAME?</v>
      </c>
      <c r="K253" s="86" t="e">
        <f t="shared" ca="1" si="2266"/>
        <v>#NAME?</v>
      </c>
      <c r="L253" s="86" t="e">
        <f t="shared" ca="1" si="2266"/>
        <v>#NAME?</v>
      </c>
      <c r="M253" s="86" t="e">
        <f t="shared" ca="1" si="2266"/>
        <v>#NAME?</v>
      </c>
      <c r="N253" s="86" t="e">
        <f t="shared" ca="1" si="2266"/>
        <v>#NAME?</v>
      </c>
      <c r="O253" s="86" t="e">
        <f t="shared" ca="1" si="2266"/>
        <v>#NAME?</v>
      </c>
      <c r="P253" s="86" t="e">
        <f t="shared" ca="1" si="2266"/>
        <v>#NAME?</v>
      </c>
      <c r="Q253" s="86" t="e">
        <f t="shared" ca="1" si="2266"/>
        <v>#NAME?</v>
      </c>
      <c r="R253" s="86" t="e">
        <f t="shared" ca="1" si="2266"/>
        <v>#NAME?</v>
      </c>
      <c r="S253" s="86" t="e">
        <f t="shared" ca="1" si="2266"/>
        <v>#NAME?</v>
      </c>
      <c r="T253" s="86" t="e">
        <f t="shared" ca="1" si="2266"/>
        <v>#NAME?</v>
      </c>
      <c r="U253" s="86" t="e">
        <f t="shared" ca="1" si="2266"/>
        <v>#NAME?</v>
      </c>
      <c r="V253" s="86" t="e">
        <f t="shared" ca="1" si="2266"/>
        <v>#NAME?</v>
      </c>
      <c r="W253" s="86" t="e">
        <f t="shared" ca="1" si="2266"/>
        <v>#NAME?</v>
      </c>
      <c r="X253" s="86" t="e">
        <f t="shared" ca="1" si="2266"/>
        <v>#NAME?</v>
      </c>
      <c r="Y253" s="86" t="e">
        <f t="shared" ca="1" si="2266"/>
        <v>#NAME?</v>
      </c>
      <c r="Z253" s="86" t="e">
        <f t="shared" ca="1" si="2266"/>
        <v>#NAME?</v>
      </c>
      <c r="AA253" s="86" t="e">
        <f t="shared" ref="AA253" ca="1" si="2267">AA32/AA8</f>
        <v>#NAME?</v>
      </c>
      <c r="AB253" s="87" t="e">
        <f t="shared" ca="1" si="2266"/>
        <v>#NAME?</v>
      </c>
      <c r="AC253" s="87" t="e">
        <f t="shared" ca="1" si="2266"/>
        <v>#NAME?</v>
      </c>
      <c r="AD253" s="87" t="e">
        <f t="shared" ca="1" si="2266"/>
        <v>#NAME?</v>
      </c>
      <c r="AE253" s="87" t="e">
        <f t="shared" ca="1" si="2266"/>
        <v>#NAME?</v>
      </c>
      <c r="AL253" s="86" t="e">
        <f t="shared" ref="AL253:CW253" ca="1" si="2268">AL32/AL8</f>
        <v>#NAME?</v>
      </c>
      <c r="AM253" s="86" t="e">
        <f t="shared" ca="1" si="2268"/>
        <v>#NAME?</v>
      </c>
      <c r="AN253" s="86" t="e">
        <f t="shared" ca="1" si="2268"/>
        <v>#NAME?</v>
      </c>
      <c r="AO253" s="86" t="e">
        <f t="shared" ca="1" si="2268"/>
        <v>#NAME?</v>
      </c>
      <c r="AP253" s="86" t="e">
        <f t="shared" ca="1" si="2268"/>
        <v>#NAME?</v>
      </c>
      <c r="AQ253" s="86" t="e">
        <f t="shared" ca="1" si="2268"/>
        <v>#NAME?</v>
      </c>
      <c r="AR253" s="86" t="e">
        <f t="shared" ca="1" si="2268"/>
        <v>#NAME?</v>
      </c>
      <c r="AS253" s="86" t="e">
        <f t="shared" ca="1" si="2268"/>
        <v>#NAME?</v>
      </c>
      <c r="AT253" s="86" t="e">
        <f t="shared" ca="1" si="2268"/>
        <v>#NAME?</v>
      </c>
      <c r="AU253" s="86" t="e">
        <f t="shared" ca="1" si="2268"/>
        <v>#NAME?</v>
      </c>
      <c r="AV253" s="86" t="e">
        <f t="shared" ca="1" si="2268"/>
        <v>#NAME?</v>
      </c>
      <c r="AW253" s="86" t="e">
        <f t="shared" ca="1" si="2268"/>
        <v>#NAME?</v>
      </c>
      <c r="AX253" s="86" t="e">
        <f t="shared" ca="1" si="2268"/>
        <v>#NAME?</v>
      </c>
      <c r="AY253" s="86" t="e">
        <f t="shared" ca="1" si="2268"/>
        <v>#NAME?</v>
      </c>
      <c r="AZ253" s="86" t="e">
        <f t="shared" ca="1" si="2268"/>
        <v>#NAME?</v>
      </c>
      <c r="BA253" s="86" t="e">
        <f t="shared" ca="1" si="2268"/>
        <v>#NAME?</v>
      </c>
      <c r="BB253" s="86" t="e">
        <f t="shared" ca="1" si="2268"/>
        <v>#NAME?</v>
      </c>
      <c r="BC253" s="86" t="e">
        <f t="shared" ca="1" si="2268"/>
        <v>#NAME?</v>
      </c>
      <c r="BD253" s="86" t="e">
        <f t="shared" ca="1" si="2268"/>
        <v>#NAME?</v>
      </c>
      <c r="BE253" s="86" t="e">
        <f t="shared" ca="1" si="2268"/>
        <v>#NAME?</v>
      </c>
      <c r="BF253" s="86" t="e">
        <f t="shared" ca="1" si="2268"/>
        <v>#NAME?</v>
      </c>
      <c r="BG253" s="86" t="e">
        <f t="shared" ca="1" si="2268"/>
        <v>#NAME?</v>
      </c>
      <c r="BH253" s="86" t="e">
        <f t="shared" ca="1" si="2268"/>
        <v>#NAME?</v>
      </c>
      <c r="BI253" s="86" t="e">
        <f t="shared" ca="1" si="2268"/>
        <v>#NAME?</v>
      </c>
      <c r="BJ253" s="86" t="e">
        <f t="shared" ca="1" si="2268"/>
        <v>#NAME?</v>
      </c>
      <c r="BK253" s="86" t="e">
        <f t="shared" ca="1" si="2268"/>
        <v>#NAME?</v>
      </c>
      <c r="BL253" s="86" t="e">
        <f t="shared" ca="1" si="2268"/>
        <v>#NAME?</v>
      </c>
      <c r="BM253" s="86" t="e">
        <f t="shared" ca="1" si="2268"/>
        <v>#NAME?</v>
      </c>
      <c r="BN253" s="86" t="e">
        <f t="shared" ca="1" si="2268"/>
        <v>#NAME?</v>
      </c>
      <c r="BO253" s="86" t="e">
        <f t="shared" ca="1" si="2268"/>
        <v>#NAME?</v>
      </c>
      <c r="BP253" s="86" t="e">
        <f t="shared" ca="1" si="2268"/>
        <v>#NAME?</v>
      </c>
      <c r="BQ253" s="86" t="e">
        <f t="shared" ca="1" si="2268"/>
        <v>#NAME?</v>
      </c>
      <c r="BR253" s="86" t="e">
        <f t="shared" ca="1" si="2268"/>
        <v>#NAME?</v>
      </c>
      <c r="BS253" s="86" t="e">
        <f t="shared" ca="1" si="2268"/>
        <v>#NAME?</v>
      </c>
      <c r="BT253" s="86" t="e">
        <f t="shared" ca="1" si="2268"/>
        <v>#NAME?</v>
      </c>
      <c r="BU253" s="86" t="e">
        <f t="shared" ca="1" si="2268"/>
        <v>#NAME?</v>
      </c>
      <c r="BV253" s="86" t="e">
        <f t="shared" ca="1" si="2268"/>
        <v>#NAME?</v>
      </c>
      <c r="BW253" s="86" t="e">
        <f t="shared" ca="1" si="2268"/>
        <v>#NAME?</v>
      </c>
      <c r="BX253" s="86" t="e">
        <f t="shared" ca="1" si="2268"/>
        <v>#NAME?</v>
      </c>
      <c r="BY253" s="86" t="e">
        <f t="shared" ca="1" si="2268"/>
        <v>#NAME?</v>
      </c>
      <c r="BZ253" s="86" t="e">
        <f t="shared" ca="1" si="2268"/>
        <v>#NAME?</v>
      </c>
      <c r="CA253" s="86" t="e">
        <f t="shared" ca="1" si="2268"/>
        <v>#NAME?</v>
      </c>
      <c r="CB253" s="86" t="e">
        <f t="shared" ca="1" si="2268"/>
        <v>#NAME?</v>
      </c>
      <c r="CC253" s="86" t="e">
        <f t="shared" ca="1" si="2268"/>
        <v>#NAME?</v>
      </c>
      <c r="CD253" s="86" t="e">
        <f t="shared" ca="1" si="2268"/>
        <v>#NAME?</v>
      </c>
      <c r="CE253" s="86" t="e">
        <f t="shared" ca="1" si="2268"/>
        <v>#NAME?</v>
      </c>
      <c r="CF253" s="86" t="e">
        <f t="shared" ca="1" si="2268"/>
        <v>#NAME?</v>
      </c>
      <c r="CG253" s="86" t="e">
        <f t="shared" ca="1" si="2268"/>
        <v>#NAME?</v>
      </c>
      <c r="CH253" s="86" t="e">
        <f t="shared" ca="1" si="2268"/>
        <v>#NAME?</v>
      </c>
      <c r="CI253" s="86" t="e">
        <f t="shared" ca="1" si="2268"/>
        <v>#NAME?</v>
      </c>
      <c r="CJ253" s="86" t="e">
        <f t="shared" ca="1" si="2268"/>
        <v>#NAME?</v>
      </c>
      <c r="CK253" s="86" t="e">
        <f t="shared" ca="1" si="2268"/>
        <v>#NAME?</v>
      </c>
      <c r="CL253" s="86" t="e">
        <f t="shared" ca="1" si="2268"/>
        <v>#NAME?</v>
      </c>
      <c r="CM253" s="87" t="e">
        <f t="shared" ca="1" si="2268"/>
        <v>#NAME?</v>
      </c>
      <c r="CN253" s="87" t="e">
        <f t="shared" ca="1" si="2268"/>
        <v>#NAME?</v>
      </c>
      <c r="CO253" s="87" t="e">
        <f t="shared" ca="1" si="2268"/>
        <v>#NAME?</v>
      </c>
      <c r="CP253" s="87" t="e">
        <f t="shared" ca="1" si="2268"/>
        <v>#NAME?</v>
      </c>
      <c r="CQ253" s="87" t="e">
        <f t="shared" ca="1" si="2268"/>
        <v>#NAME?</v>
      </c>
      <c r="CR253" s="87" t="e">
        <f t="shared" ca="1" si="2268"/>
        <v>#NAME?</v>
      </c>
      <c r="CS253" s="87" t="e">
        <f t="shared" ca="1" si="2268"/>
        <v>#NAME?</v>
      </c>
      <c r="CT253" s="87" t="e">
        <f t="shared" ca="1" si="2268"/>
        <v>#NAME?</v>
      </c>
      <c r="CU253" s="87" t="e">
        <f t="shared" ca="1" si="2268"/>
        <v>#NAME?</v>
      </c>
      <c r="CV253" s="87" t="e">
        <f t="shared" ca="1" si="2268"/>
        <v>#NAME?</v>
      </c>
      <c r="CW253" s="87" t="e">
        <f t="shared" ca="1" si="2268"/>
        <v>#NAME?</v>
      </c>
      <c r="CX253" s="87" t="e">
        <f t="shared" ref="CX253:DB253" ca="1" si="2269">CX32/CX8</f>
        <v>#NAME?</v>
      </c>
      <c r="CY253" s="87" t="e">
        <f t="shared" ca="1" si="2269"/>
        <v>#NAME?</v>
      </c>
      <c r="CZ253" s="87" t="e">
        <f t="shared" ca="1" si="2269"/>
        <v>#NAME?</v>
      </c>
      <c r="DA253" s="87" t="e">
        <f t="shared" ca="1" si="2269"/>
        <v>#NAME?</v>
      </c>
      <c r="DB253" s="87" t="e">
        <f t="shared" ca="1" si="2269"/>
        <v>#NAME?</v>
      </c>
      <c r="DE253" s="141"/>
      <c r="DF253" s="86">
        <v>3.0198319124493615E-2</v>
      </c>
    </row>
    <row r="254" spans="1:110" s="85" customFormat="1" x14ac:dyDescent="0.2"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100790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4"/>
  <sheetViews>
    <sheetView workbookViewId="0">
      <pane xSplit="2" ySplit="5" topLeftCell="U6" activePane="bottomRight" state="frozen"/>
      <selection pane="topRight" activeCell="C1" sqref="C1"/>
      <selection pane="bottomLeft" activeCell="A6" sqref="A6"/>
      <selection pane="bottomRight" activeCell="Z9" sqref="Z9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100790</v>
      </c>
      <c r="B1" t="s">
        <v>222</v>
      </c>
      <c r="C1">
        <v>200012</v>
      </c>
      <c r="D1">
        <v>200112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40" spans="1:32" x14ac:dyDescent="0.25">
      <c r="A40" t="s">
        <v>110</v>
      </c>
      <c r="B40" t="s">
        <v>111</v>
      </c>
    </row>
    <row r="41" spans="1:32" x14ac:dyDescent="0.25">
      <c r="A41" t="s">
        <v>113</v>
      </c>
      <c r="B41" t="s">
        <v>175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</row>
    <row r="42" spans="1:32" x14ac:dyDescent="0.25">
      <c r="A42" t="s">
        <v>41</v>
      </c>
      <c r="B42" t="s">
        <v>176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42</v>
      </c>
      <c r="B43" t="s">
        <v>177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43</v>
      </c>
      <c r="B44" t="s">
        <v>178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44</v>
      </c>
      <c r="B45" t="s">
        <v>179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23</v>
      </c>
      <c r="B46" t="s">
        <v>180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160</v>
      </c>
      <c r="B47" t="s">
        <v>181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45</v>
      </c>
      <c r="B48" t="s">
        <v>182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46</v>
      </c>
      <c r="B49" t="s">
        <v>183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78</v>
      </c>
      <c r="B50" t="s">
        <v>184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66</v>
      </c>
      <c r="B51" t="s">
        <v>185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161</v>
      </c>
      <c r="B52" t="s">
        <v>186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68</v>
      </c>
      <c r="B53" t="s">
        <v>187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162</v>
      </c>
      <c r="B54" t="s">
        <v>188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70</v>
      </c>
      <c r="B55" t="s">
        <v>189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71</v>
      </c>
      <c r="B56" t="s">
        <v>190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48</v>
      </c>
      <c r="B57" t="s">
        <v>191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72</v>
      </c>
      <c r="B58" t="s">
        <v>192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163</v>
      </c>
      <c r="B59" t="s">
        <v>193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164</v>
      </c>
      <c r="B60" t="s">
        <v>194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165</v>
      </c>
      <c r="B61" t="s">
        <v>195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166</v>
      </c>
      <c r="B62" t="s">
        <v>196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50</v>
      </c>
      <c r="B63" t="s">
        <v>197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51</v>
      </c>
      <c r="B64" t="s">
        <v>198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52</v>
      </c>
      <c r="B65" t="s">
        <v>199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53</v>
      </c>
      <c r="B66" t="s">
        <v>200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167</v>
      </c>
      <c r="B67" t="s">
        <v>201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56</v>
      </c>
      <c r="B68" t="s">
        <v>202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168</v>
      </c>
      <c r="B69" t="s">
        <v>203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169</v>
      </c>
      <c r="B70" t="s">
        <v>204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170</v>
      </c>
      <c r="B71" t="s">
        <v>205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58</v>
      </c>
      <c r="B72" t="s">
        <v>206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59</v>
      </c>
      <c r="B73" t="s">
        <v>207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60</v>
      </c>
      <c r="B74" t="s">
        <v>208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171</v>
      </c>
      <c r="B75" t="s">
        <v>209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75</v>
      </c>
      <c r="B76" t="s">
        <v>210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61</v>
      </c>
      <c r="B77" t="s">
        <v>211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62</v>
      </c>
      <c r="B78" t="s">
        <v>212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76</v>
      </c>
      <c r="B79" t="s">
        <v>213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63</v>
      </c>
      <c r="B80" t="s">
        <v>214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64</v>
      </c>
      <c r="B81" t="s">
        <v>215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172</v>
      </c>
      <c r="B82" t="s">
        <v>216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173</v>
      </c>
      <c r="B83" t="s">
        <v>217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79</v>
      </c>
      <c r="B84" t="s">
        <v>218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174</v>
      </c>
      <c r="B85" t="s">
        <v>219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81</v>
      </c>
      <c r="B86" t="s">
        <v>220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239</v>
      </c>
      <c r="B87" t="s">
        <v>221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227</v>
      </c>
      <c r="B88" t="s">
        <v>231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228</v>
      </c>
      <c r="B89" t="s">
        <v>232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229</v>
      </c>
      <c r="B90" t="s">
        <v>233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230</v>
      </c>
      <c r="B91" t="s">
        <v>234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238</v>
      </c>
      <c r="B92" t="s">
        <v>235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237</v>
      </c>
      <c r="B93" t="s">
        <v>236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83</v>
      </c>
      <c r="B94" t="s">
        <v>245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240</v>
      </c>
      <c r="B95" t="s">
        <v>246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82</v>
      </c>
      <c r="B96" t="s">
        <v>247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241</v>
      </c>
      <c r="B97" t="s">
        <v>248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242</v>
      </c>
      <c r="B98" t="s">
        <v>249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243</v>
      </c>
      <c r="B99" t="s">
        <v>250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A100" t="s">
        <v>244</v>
      </c>
      <c r="B100" t="s">
        <v>251</v>
      </c>
      <c r="C100" s="55" t="e">
        <f ca="1">_xll.EQNXTDZ($A$1,$B100,C$1,$B$1)</f>
        <v>#NAME?</v>
      </c>
      <c r="D100" s="55" t="e">
        <f ca="1">_xll.EQNXTDZ($A$1,$B100,D$1,$B$1)</f>
        <v>#NAME?</v>
      </c>
      <c r="E100" s="55" t="e">
        <f ca="1">_xll.EQNXTDZ($A$1,$B100,E$1,$B$1)</f>
        <v>#NAME?</v>
      </c>
      <c r="F100" s="55" t="e">
        <f ca="1">_xll.EQNXTDZ($A$1,$B100,F$1,$B$1)</f>
        <v>#NAME?</v>
      </c>
      <c r="G100" s="55" t="e">
        <f ca="1">_xll.EQNXTDZ($A$1,$B100,G$1,$B$1)</f>
        <v>#NAME?</v>
      </c>
      <c r="H100" s="55" t="e">
        <f ca="1">_xll.EQNXTDZ($A$1,$B100,H$1,$B$1)</f>
        <v>#NAME?</v>
      </c>
      <c r="I100" s="55" t="e">
        <f ca="1">_xll.EQNXTDZ($A$1,$B100,I$1,$B$1)</f>
        <v>#NAME?</v>
      </c>
      <c r="J100" s="55" t="e">
        <f ca="1">_xll.EQNXTDZ($A$1,$B100,J$1,$B$1)</f>
        <v>#NAME?</v>
      </c>
      <c r="K100" s="55" t="e">
        <f ca="1">_xll.EQNXTDZ($A$1,$B100,K$1,$B$1)</f>
        <v>#NAME?</v>
      </c>
      <c r="L100" s="55" t="e">
        <f ca="1">_xll.EQNXTDZ($A$1,$B100,L$1,$B$1)</f>
        <v>#NAME?</v>
      </c>
      <c r="M100" s="55" t="e">
        <f ca="1">_xll.EQNXTDZ($A$1,$B100,M$1,$B$1)</f>
        <v>#NAME?</v>
      </c>
      <c r="N100" s="55" t="e">
        <f ca="1">_xll.EQNXTDZ($A$1,$B100,N$1,$B$1)</f>
        <v>#NAME?</v>
      </c>
      <c r="O100" s="55" t="e">
        <f ca="1">_xll.EQNXTDZ($A$1,$B100,O$1,$B$1)</f>
        <v>#NAME?</v>
      </c>
      <c r="P100" s="55" t="e">
        <f ca="1">_xll.EQNXTDZ($A$1,$B100,P$1,$B$1)</f>
        <v>#NAME?</v>
      </c>
      <c r="Q100" s="55" t="e">
        <f ca="1">_xll.EQNXTDZ($A$1,$B100,Q$1,$B$1)</f>
        <v>#NAME?</v>
      </c>
      <c r="R100" s="55" t="e">
        <f ca="1">_xll.EQNXTDZ($A$1,$B100,R$1,$B$1)</f>
        <v>#NAME?</v>
      </c>
      <c r="S100" s="55" t="e">
        <f ca="1">_xll.EQNXTDZ($A$1,$B100,S$1,$B$1)</f>
        <v>#NAME?</v>
      </c>
      <c r="T100" s="55" t="e">
        <f ca="1">_xll.EQNXTDZ($A$1,$B100,T$1,$B$1)</f>
        <v>#NAME?</v>
      </c>
      <c r="U100" s="55" t="e">
        <f ca="1">_xll.EQNXTDZ($A$1,$B100,U$1,$B$1)</f>
        <v>#NAME?</v>
      </c>
      <c r="V100" s="55" t="e">
        <f ca="1">_xll.EQNXTDZ($A$1,$B100,V$1,$B$1)</f>
        <v>#NAME?</v>
      </c>
      <c r="W100" s="55" t="e">
        <f ca="1">_xll.EQNXTDZ($A$1,$B100,W$1,$B$1)</f>
        <v>#NAME?</v>
      </c>
      <c r="X100" s="55" t="e">
        <f ca="1">_xll.EQNXTDZ($A$1,$B100,X$1,$B$1)</f>
        <v>#NAME?</v>
      </c>
      <c r="Y100" s="55" t="e">
        <f ca="1">_xll.EQNXTDZ($A$1,$B100,Y$1,$B$1)</f>
        <v>#NAME?</v>
      </c>
      <c r="Z100" s="55" t="e">
        <f ca="1">_xll.EQNXTDZ($A$1,$B100,Z$1,$B$1)</f>
        <v>#NAME?</v>
      </c>
      <c r="AA100" s="55" t="e">
        <f ca="1">_xll.EQNXTDZ($A$1,$B100,AA$1,$B$1)</f>
        <v>#NAME?</v>
      </c>
      <c r="AB100" s="55" t="e">
        <f ca="1">_xll.EQNXTDZ($A$1,$B100,AB$1,$B$1)</f>
        <v>#NAME?</v>
      </c>
      <c r="AC100" s="55" t="e">
        <f ca="1">_xll.EQNXTDZ($A$1,$B100,AC$1,$B$1)</f>
        <v>#NAME?</v>
      </c>
      <c r="AD100" s="55" t="e">
        <f ca="1">_xll.EQNXTDZ($A$1,$B100,AD$1,$B$1)</f>
        <v>#NAME?</v>
      </c>
      <c r="AE100" s="55" t="e">
        <f ca="1">_xll.EQNXTDZ($A$1,$B100,AE$1,$B$1)</f>
        <v>#NAME?</v>
      </c>
      <c r="AF100" s="55" t="e">
        <f ca="1">_xll.EQNXTDZ($A$1,$B100,AF$1,$B$1)</f>
        <v>#NAME?</v>
      </c>
    </row>
    <row r="101" spans="1:32" x14ac:dyDescent="0.25">
      <c r="C101" s="55"/>
    </row>
    <row r="102" spans="1:32" x14ac:dyDescent="0.25">
      <c r="C102" s="55"/>
    </row>
    <row r="103" spans="1:32" x14ac:dyDescent="0.25">
      <c r="C103" s="55"/>
    </row>
    <row r="104" spans="1:32" x14ac:dyDescent="0.25">
      <c r="A104" t="s">
        <v>110</v>
      </c>
      <c r="B104" t="s">
        <v>111</v>
      </c>
      <c r="C104" s="55"/>
    </row>
    <row r="105" spans="1:32" x14ac:dyDescent="0.25">
      <c r="A105" t="s">
        <v>314</v>
      </c>
      <c r="B105" t="s">
        <v>320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315</v>
      </c>
      <c r="B106" t="s">
        <v>321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316</v>
      </c>
      <c r="B107" t="s">
        <v>322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317</v>
      </c>
      <c r="B108" t="s">
        <v>323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318</v>
      </c>
      <c r="B109" t="s">
        <v>324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319</v>
      </c>
      <c r="B110" t="s">
        <v>325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326</v>
      </c>
      <c r="B111" t="s">
        <v>328</v>
      </c>
      <c r="C111" s="55" t="e">
        <f ca="1">_xll.EQNXTDZ($A$1,$B111,C$1,$B$1)</f>
        <v>#NAME?</v>
      </c>
      <c r="D111" s="55" t="e">
        <f ca="1">_xll.EQNXTDZ($A$1,$B111,D$1,$B$1)</f>
        <v>#NAME?</v>
      </c>
      <c r="E111" s="55" t="e">
        <f ca="1">_xll.EQNXTDZ($A$1,$B111,E$1,$B$1)</f>
        <v>#NAME?</v>
      </c>
      <c r="F111" s="55" t="e">
        <f ca="1">_xll.EQNXTDZ($A$1,$B111,F$1,$B$1)</f>
        <v>#NAME?</v>
      </c>
      <c r="G111" s="55" t="e">
        <f ca="1">_xll.EQNXTDZ($A$1,$B111,G$1,$B$1)</f>
        <v>#NAME?</v>
      </c>
      <c r="H111" s="55" t="e">
        <f ca="1">_xll.EQNXTDZ($A$1,$B111,H$1,$B$1)</f>
        <v>#NAME?</v>
      </c>
      <c r="I111" s="55" t="e">
        <f ca="1">_xll.EQNXTDZ($A$1,$B111,I$1,$B$1)</f>
        <v>#NAME?</v>
      </c>
      <c r="J111" s="55" t="e">
        <f ca="1">_xll.EQNXTDZ($A$1,$B111,J$1,$B$1)</f>
        <v>#NAME?</v>
      </c>
      <c r="K111" s="55" t="e">
        <f ca="1">_xll.EQNXTDZ($A$1,$B111,K$1,$B$1)</f>
        <v>#NAME?</v>
      </c>
      <c r="L111" s="55" t="e">
        <f ca="1">_xll.EQNXTDZ($A$1,$B111,L$1,$B$1)</f>
        <v>#NAME?</v>
      </c>
      <c r="M111" s="55" t="e">
        <f ca="1">_xll.EQNXTDZ($A$1,$B111,M$1,$B$1)</f>
        <v>#NAME?</v>
      </c>
      <c r="N111" s="55" t="e">
        <f ca="1">_xll.EQNXTDZ($A$1,$B111,N$1,$B$1)</f>
        <v>#NAME?</v>
      </c>
      <c r="O111" s="55" t="e">
        <f ca="1">_xll.EQNXTDZ($A$1,$B111,O$1,$B$1)</f>
        <v>#NAME?</v>
      </c>
      <c r="P111" s="55" t="e">
        <f ca="1">_xll.EQNXTDZ($A$1,$B111,P$1,$B$1)</f>
        <v>#NAME?</v>
      </c>
      <c r="Q111" s="55" t="e">
        <f ca="1">_xll.EQNXTDZ($A$1,$B111,Q$1,$B$1)</f>
        <v>#NAME?</v>
      </c>
      <c r="R111" s="55" t="e">
        <f ca="1">_xll.EQNXTDZ($A$1,$B111,R$1,$B$1)</f>
        <v>#NAME?</v>
      </c>
      <c r="S111" s="55" t="e">
        <f ca="1">_xll.EQNXTDZ($A$1,$B111,S$1,$B$1)</f>
        <v>#NAME?</v>
      </c>
      <c r="T111" s="55" t="e">
        <f ca="1">_xll.EQNXTDZ($A$1,$B111,T$1,$B$1)</f>
        <v>#NAME?</v>
      </c>
      <c r="U111" s="55" t="e">
        <f ca="1">_xll.EQNXTDZ($A$1,$B111,U$1,$B$1)</f>
        <v>#NAME?</v>
      </c>
      <c r="V111" s="55" t="e">
        <f ca="1">_xll.EQNXTDZ($A$1,$B111,V$1,$B$1)</f>
        <v>#NAME?</v>
      </c>
      <c r="W111" s="55" t="e">
        <f ca="1">_xll.EQNXTDZ($A$1,$B111,W$1,$B$1)</f>
        <v>#NAME?</v>
      </c>
      <c r="X111" s="55" t="e">
        <f ca="1">_xll.EQNXTDZ($A$1,$B111,X$1,$B$1)</f>
        <v>#NAME?</v>
      </c>
      <c r="Y111" s="55" t="e">
        <f ca="1">_xll.EQNXTDZ($A$1,$B111,Y$1,$B$1)</f>
        <v>#NAME?</v>
      </c>
      <c r="Z111" s="55" t="e">
        <f ca="1">_xll.EQNXTDZ($A$1,$B111,Z$1,$B$1)</f>
        <v>#NAME?</v>
      </c>
      <c r="AA111" s="55" t="e">
        <f ca="1">_xll.EQNXTDZ($A$1,$B111,AA$1,$B$1)</f>
        <v>#NAME?</v>
      </c>
      <c r="AB111" s="55" t="e">
        <f ca="1">_xll.EQNXTDZ($A$1,$B111,AB$1,$B$1)</f>
        <v>#NAME?</v>
      </c>
      <c r="AC111" s="55" t="e">
        <f ca="1">_xll.EQNXTDZ($A$1,$B111,AC$1,$B$1)</f>
        <v>#NAME?</v>
      </c>
      <c r="AD111" s="55" t="e">
        <f ca="1">_xll.EQNXTDZ($A$1,$B111,AD$1,$B$1)</f>
        <v>#NAME?</v>
      </c>
      <c r="AE111" s="55" t="e">
        <f ca="1">_xll.EQNXTDZ($A$1,$B111,AE$1,$B$1)</f>
        <v>#NAME?</v>
      </c>
      <c r="AF111" s="55" t="e">
        <f ca="1">_xll.EQNXTDZ($A$1,$B111,AF$1,$B$1)</f>
        <v>#NAME?</v>
      </c>
    </row>
    <row r="112" spans="1:32" x14ac:dyDescent="0.25">
      <c r="A112" t="s">
        <v>252</v>
      </c>
      <c r="B112" t="s">
        <v>329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327</v>
      </c>
      <c r="B113" t="s">
        <v>330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  <row r="114" spans="1:32" x14ac:dyDescent="0.25">
      <c r="A114" t="s">
        <v>332</v>
      </c>
      <c r="B114" t="s">
        <v>331</v>
      </c>
      <c r="C114" s="56" t="e">
        <f ca="1">_xll.EQNXTDZ($A$1,$B114,C$5)</f>
        <v>#NAME?</v>
      </c>
      <c r="D114" s="56" t="e">
        <f ca="1">_xll.EQNXTDZ($A$1,$B114,D$5)</f>
        <v>#NAME?</v>
      </c>
      <c r="E114" s="56" t="e">
        <f ca="1">_xll.EQNXTDZ($A$1,$B114,E$5)</f>
        <v>#NAME?</v>
      </c>
      <c r="F114" s="56" t="e">
        <f ca="1">_xll.EQNXTDZ($A$1,$B114,F$5)</f>
        <v>#NAME?</v>
      </c>
      <c r="G114" s="56" t="e">
        <f ca="1">_xll.EQNXTDZ($A$1,$B114,G$5)</f>
        <v>#NAME?</v>
      </c>
      <c r="H114" s="56" t="e">
        <f ca="1">_xll.EQNXTDZ($A$1,$B114,H$5)</f>
        <v>#NAME?</v>
      </c>
      <c r="I114" s="56" t="e">
        <f ca="1">_xll.EQNXTDZ($A$1,$B114,I$5)</f>
        <v>#NAME?</v>
      </c>
      <c r="J114" s="56" t="e">
        <f ca="1">_xll.EQNXTDZ($A$1,$B114,J$5)</f>
        <v>#NAME?</v>
      </c>
      <c r="K114" s="56" t="e">
        <f ca="1">_xll.EQNXTDZ($A$1,$B114,K$5)</f>
        <v>#NAME?</v>
      </c>
      <c r="L114" s="56" t="e">
        <f ca="1">_xll.EQNXTDZ($A$1,$B114,L$5)</f>
        <v>#NAME?</v>
      </c>
      <c r="M114" s="56" t="e">
        <f ca="1">_xll.EQNXTDZ($A$1,$B114,M$5)</f>
        <v>#NAME?</v>
      </c>
      <c r="N114" s="56" t="e">
        <f ca="1">_xll.EQNXTDZ($A$1,$B114,N$5)</f>
        <v>#NAME?</v>
      </c>
      <c r="O114" s="56" t="e">
        <f ca="1">_xll.EQNXTDZ($A$1,$B114,O$5)</f>
        <v>#NAME?</v>
      </c>
      <c r="P114" s="56" t="e">
        <f ca="1">_xll.EQNXTDZ($A$1,$B114,P$5)</f>
        <v>#NAME?</v>
      </c>
      <c r="Q114" s="56" t="e">
        <f ca="1">_xll.EQNXTDZ($A$1,$B114,Q$5)</f>
        <v>#NAME?</v>
      </c>
      <c r="R114" s="56" t="e">
        <f ca="1">_xll.EQNXTDZ($A$1,$B114,R$5)</f>
        <v>#NAME?</v>
      </c>
      <c r="S114" s="56" t="e">
        <f ca="1">_xll.EQNXTDZ($A$1,$B114,S$5)</f>
        <v>#NAME?</v>
      </c>
      <c r="T114" s="56" t="e">
        <f ca="1">_xll.EQNXTDZ($A$1,$B114,T$5)</f>
        <v>#NAME?</v>
      </c>
      <c r="U114" s="56" t="e">
        <f ca="1">_xll.EQNXTDZ($A$1,$B114,U$5)</f>
        <v>#NAME?</v>
      </c>
      <c r="V114" s="56" t="e">
        <f ca="1">_xll.EQNXTDZ($A$1,$B114,V$5)</f>
        <v>#NAME?</v>
      </c>
      <c r="W114" s="56" t="e">
        <f ca="1">_xll.EQNXTDZ($A$1,$B114,W$5)</f>
        <v>#NAME?</v>
      </c>
      <c r="X114" s="56" t="e">
        <f ca="1">_xll.EQNXTDZ($A$1,$B114,X$5)</f>
        <v>#NAME?</v>
      </c>
      <c r="Y114" s="56" t="e">
        <f ca="1">_xll.EQNXTDZ($A$1,$B114,Y$5)</f>
        <v>#NAME?</v>
      </c>
      <c r="Z114" s="56" t="e">
        <f ca="1">_xll.EQNXTDZ($A$1,$B114,Z$5)</f>
        <v>#NAME?</v>
      </c>
      <c r="AA114" s="56" t="e">
        <f ca="1">_xll.EQNXTDZ($A$1,$B114,AA$5)</f>
        <v>#NAME?</v>
      </c>
      <c r="AB114" s="56" t="e">
        <f ca="1">_xll.EQNXTDZ($A$1,$B114,AB$5)</f>
        <v>#NAME?</v>
      </c>
      <c r="AC114" s="56" t="e">
        <f ca="1">_xll.EQNXTDZ($A$1,$B114,AC$5)</f>
        <v>#NAME?</v>
      </c>
      <c r="AD114" s="56" t="e">
        <f ca="1">_xll.EQNXTDZ($A$1,$B114,AD$5)</f>
        <v>#NAME?</v>
      </c>
      <c r="AE114" s="56" t="e">
        <f ca="1">_xll.EQNXTDZ($A$1,$B114,AE$5)</f>
        <v>#NAME?</v>
      </c>
      <c r="AF114" s="56" t="e">
        <f ca="1">_xll.EQNXTDZ($A$1,$B114,AF$5)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100790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100790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100790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319.33749999999998</v>
      </c>
      <c r="C4" s="116">
        <v>315.1925</v>
      </c>
      <c r="D4" s="116">
        <v>315</v>
      </c>
      <c r="E4" s="116">
        <v>317.75</v>
      </c>
      <c r="F4" s="116">
        <v>6303.85</v>
      </c>
      <c r="G4">
        <v>1242</v>
      </c>
      <c r="H4" s="116"/>
      <c r="I4" s="116"/>
      <c r="L4" s="170">
        <v>42005</v>
      </c>
      <c r="M4" s="116">
        <v>315.89749999999998</v>
      </c>
      <c r="N4" s="116">
        <v>320</v>
      </c>
      <c r="O4" s="116">
        <v>315</v>
      </c>
      <c r="P4" s="116">
        <v>319.25</v>
      </c>
      <c r="Q4" s="116">
        <v>6317.95</v>
      </c>
      <c r="R4">
        <v>3025</v>
      </c>
    </row>
    <row r="5" spans="1:18" x14ac:dyDescent="0.25">
      <c r="A5" s="170">
        <v>42006</v>
      </c>
      <c r="B5" s="116">
        <v>318.23250000000002</v>
      </c>
      <c r="C5" s="116">
        <v>316.60500000000002</v>
      </c>
      <c r="D5" s="116">
        <v>315.25</v>
      </c>
      <c r="E5" s="116">
        <v>317.45</v>
      </c>
      <c r="F5" s="116">
        <v>6332.1</v>
      </c>
      <c r="G5">
        <v>605</v>
      </c>
      <c r="H5" s="116"/>
      <c r="I5" s="116"/>
      <c r="L5" s="170">
        <v>42006</v>
      </c>
      <c r="M5" s="116">
        <v>316.57499999999999</v>
      </c>
      <c r="N5" s="116">
        <v>318.32499999999999</v>
      </c>
      <c r="O5" s="116">
        <v>312.80250000000001</v>
      </c>
      <c r="P5" s="116">
        <v>312.80250000000001</v>
      </c>
      <c r="Q5" s="116">
        <v>6331.5</v>
      </c>
      <c r="R5">
        <v>6843</v>
      </c>
    </row>
    <row r="6" spans="1:18" x14ac:dyDescent="0.25">
      <c r="A6" s="170">
        <v>42009</v>
      </c>
      <c r="B6" s="116">
        <v>317.5</v>
      </c>
      <c r="C6" s="116">
        <v>316.39749999999998</v>
      </c>
      <c r="D6" s="116">
        <v>314</v>
      </c>
      <c r="E6" s="116">
        <v>317.35000000000002</v>
      </c>
      <c r="F6" s="116">
        <v>6327.95</v>
      </c>
      <c r="G6">
        <v>598</v>
      </c>
      <c r="H6" s="116"/>
      <c r="I6" s="116"/>
      <c r="L6" s="170">
        <v>42009</v>
      </c>
      <c r="M6" s="116">
        <v>316.745</v>
      </c>
      <c r="N6" s="116">
        <v>318.5</v>
      </c>
      <c r="O6" s="116">
        <v>314.5</v>
      </c>
      <c r="P6" s="116">
        <v>318.5</v>
      </c>
      <c r="Q6" s="116">
        <v>6334.9</v>
      </c>
      <c r="R6">
        <v>10690</v>
      </c>
    </row>
    <row r="7" spans="1:18" x14ac:dyDescent="0.25">
      <c r="A7" s="170">
        <v>42010</v>
      </c>
      <c r="B7" s="116">
        <v>318.25</v>
      </c>
      <c r="C7" s="116">
        <v>311.53750000000002</v>
      </c>
      <c r="D7" s="116">
        <v>310.77249999999998</v>
      </c>
      <c r="E7" s="116">
        <v>312.5</v>
      </c>
      <c r="F7" s="116">
        <v>6230.75</v>
      </c>
      <c r="G7">
        <v>11634</v>
      </c>
      <c r="H7" s="116"/>
      <c r="I7" s="116"/>
      <c r="L7" s="170">
        <v>42010</v>
      </c>
      <c r="M7" s="116">
        <v>312.33999999999997</v>
      </c>
      <c r="N7" s="116">
        <v>315.65249999999997</v>
      </c>
      <c r="O7" s="116">
        <v>311</v>
      </c>
      <c r="P7" s="116">
        <v>314.8</v>
      </c>
      <c r="Q7" s="116">
        <v>6246.8</v>
      </c>
      <c r="R7">
        <v>13159</v>
      </c>
    </row>
    <row r="8" spans="1:18" x14ac:dyDescent="0.25">
      <c r="A8" s="170">
        <v>42011</v>
      </c>
      <c r="B8" s="116">
        <v>315</v>
      </c>
      <c r="C8" s="116">
        <v>313.79500000000002</v>
      </c>
      <c r="D8" s="116">
        <v>311.75</v>
      </c>
      <c r="E8" s="116">
        <v>314.15499999999997</v>
      </c>
      <c r="F8" s="116">
        <v>6275.9</v>
      </c>
      <c r="G8">
        <v>10656</v>
      </c>
      <c r="H8" s="116"/>
      <c r="I8" s="116"/>
      <c r="L8" s="170">
        <v>42011</v>
      </c>
      <c r="M8" s="116">
        <v>313.64749999999998</v>
      </c>
      <c r="N8" s="116">
        <v>315.44749999999999</v>
      </c>
      <c r="O8" s="116">
        <v>312.3775</v>
      </c>
      <c r="P8" s="116">
        <v>313.25</v>
      </c>
      <c r="Q8" s="116">
        <v>6272.95</v>
      </c>
      <c r="R8">
        <v>35673</v>
      </c>
    </row>
    <row r="9" spans="1:18" x14ac:dyDescent="0.25">
      <c r="A9" s="170">
        <v>42012</v>
      </c>
      <c r="B9" s="116">
        <v>317.5</v>
      </c>
      <c r="C9" s="116">
        <v>315.58</v>
      </c>
      <c r="D9" s="116">
        <v>314.5</v>
      </c>
      <c r="E9" s="116">
        <v>315</v>
      </c>
      <c r="F9" s="116">
        <v>6311.6</v>
      </c>
      <c r="G9">
        <v>3099</v>
      </c>
      <c r="H9" s="116"/>
      <c r="I9" s="116"/>
      <c r="L9" s="170">
        <v>42012</v>
      </c>
      <c r="M9" s="116">
        <v>315.02249999999998</v>
      </c>
      <c r="N9" s="116">
        <v>317.25</v>
      </c>
      <c r="O9" s="116">
        <v>313.75</v>
      </c>
      <c r="P9" s="116">
        <v>313.75</v>
      </c>
      <c r="Q9" s="116">
        <v>6300.45</v>
      </c>
      <c r="R9">
        <v>7524</v>
      </c>
    </row>
    <row r="10" spans="1:18" x14ac:dyDescent="0.25">
      <c r="A10" s="170">
        <v>42013</v>
      </c>
      <c r="B10" s="116">
        <v>323.55500000000001</v>
      </c>
      <c r="C10" s="116">
        <v>319.97500000000002</v>
      </c>
      <c r="D10" s="116">
        <v>313.51</v>
      </c>
      <c r="E10" s="116">
        <v>315.58</v>
      </c>
      <c r="F10" s="116">
        <v>6399.5</v>
      </c>
      <c r="G10">
        <v>3294</v>
      </c>
      <c r="H10" s="116"/>
      <c r="I10" s="116"/>
      <c r="L10" s="170">
        <v>42013</v>
      </c>
      <c r="M10" s="116">
        <v>319.3175</v>
      </c>
      <c r="N10" s="116">
        <v>323.9975</v>
      </c>
      <c r="O10" s="116">
        <v>313.67500000000001</v>
      </c>
      <c r="P10" s="116">
        <v>318.5</v>
      </c>
      <c r="Q10" s="116">
        <v>6386.35</v>
      </c>
      <c r="R10">
        <v>20492</v>
      </c>
    </row>
    <row r="11" spans="1:18" x14ac:dyDescent="0.25">
      <c r="A11" s="170">
        <v>42016</v>
      </c>
      <c r="B11" s="116">
        <v>325.47000000000003</v>
      </c>
      <c r="C11" s="116">
        <v>322.67750000000001</v>
      </c>
      <c r="D11" s="116">
        <v>320</v>
      </c>
      <c r="E11" s="116">
        <v>320</v>
      </c>
      <c r="F11" s="116">
        <v>6453.55</v>
      </c>
      <c r="G11">
        <v>14071</v>
      </c>
      <c r="H11" s="116"/>
      <c r="I11" s="116"/>
      <c r="L11" s="170">
        <v>42016</v>
      </c>
      <c r="M11" s="116">
        <v>323.13749999999999</v>
      </c>
      <c r="N11" s="116">
        <v>326</v>
      </c>
      <c r="O11" s="116">
        <v>319.27499999999998</v>
      </c>
      <c r="P11" s="116">
        <v>321</v>
      </c>
      <c r="Q11" s="116">
        <v>6462.75</v>
      </c>
      <c r="R11">
        <v>47557</v>
      </c>
    </row>
    <row r="12" spans="1:18" x14ac:dyDescent="0.25">
      <c r="A12" s="170">
        <v>42017</v>
      </c>
      <c r="B12" s="116">
        <v>336</v>
      </c>
      <c r="C12" s="116">
        <v>335.3175</v>
      </c>
      <c r="D12" s="116">
        <v>322.5</v>
      </c>
      <c r="E12" s="116">
        <v>322.5</v>
      </c>
      <c r="F12" s="116">
        <v>6706.35</v>
      </c>
      <c r="G12">
        <v>43360</v>
      </c>
      <c r="H12" s="116"/>
      <c r="I12" s="116"/>
      <c r="L12" s="170">
        <v>42017</v>
      </c>
      <c r="M12" s="116">
        <v>335.73250000000002</v>
      </c>
      <c r="N12" s="116">
        <v>337.05</v>
      </c>
      <c r="O12" s="116">
        <v>323.5</v>
      </c>
      <c r="P12" s="116">
        <v>323.5</v>
      </c>
      <c r="Q12" s="116">
        <v>6714.65</v>
      </c>
      <c r="R12">
        <v>55108</v>
      </c>
    </row>
    <row r="13" spans="1:18" x14ac:dyDescent="0.25">
      <c r="A13" s="170">
        <v>42018</v>
      </c>
      <c r="B13" s="116">
        <v>345.97250000000003</v>
      </c>
      <c r="C13" s="116">
        <v>338.10750000000002</v>
      </c>
      <c r="D13" s="116">
        <v>334.38249999999999</v>
      </c>
      <c r="E13" s="116">
        <v>335</v>
      </c>
      <c r="F13" s="116">
        <v>6762.15</v>
      </c>
      <c r="G13">
        <v>6599</v>
      </c>
      <c r="H13" s="116"/>
      <c r="I13" s="116"/>
      <c r="L13" s="170">
        <v>42018</v>
      </c>
      <c r="M13" s="116">
        <v>339.09249999999997</v>
      </c>
      <c r="N13" s="116">
        <v>346.5</v>
      </c>
      <c r="O13" s="116">
        <v>334.2475</v>
      </c>
      <c r="P13" s="116">
        <v>336.75</v>
      </c>
      <c r="Q13" s="116">
        <v>6781.85</v>
      </c>
      <c r="R13">
        <v>37403</v>
      </c>
    </row>
    <row r="14" spans="1:18" x14ac:dyDescent="0.25">
      <c r="A14" s="170">
        <v>42019</v>
      </c>
      <c r="B14" s="116">
        <v>345.83499999999998</v>
      </c>
      <c r="C14" s="116">
        <v>340.0575</v>
      </c>
      <c r="D14" s="116">
        <v>337.03500000000003</v>
      </c>
      <c r="E14" s="116">
        <v>342.2</v>
      </c>
      <c r="F14" s="116">
        <v>6801.15</v>
      </c>
      <c r="G14">
        <v>16882</v>
      </c>
      <c r="H14" s="116"/>
      <c r="I14" s="116"/>
      <c r="L14" s="170">
        <v>42019</v>
      </c>
      <c r="M14" s="116">
        <v>340.45499999999998</v>
      </c>
      <c r="N14" s="116">
        <v>347</v>
      </c>
      <c r="O14" s="116">
        <v>338.05250000000001</v>
      </c>
      <c r="P14" s="116">
        <v>343.46</v>
      </c>
      <c r="Q14" s="116">
        <v>6809.1</v>
      </c>
      <c r="R14">
        <v>59753</v>
      </c>
    </row>
    <row r="15" spans="1:18" x14ac:dyDescent="0.25">
      <c r="A15" s="170">
        <v>42020</v>
      </c>
      <c r="B15" s="116">
        <v>350</v>
      </c>
      <c r="C15" s="116">
        <v>347.99250000000001</v>
      </c>
      <c r="D15" s="116">
        <v>337.5</v>
      </c>
      <c r="E15" s="116">
        <v>337.5</v>
      </c>
      <c r="F15" s="116">
        <v>6959.85</v>
      </c>
      <c r="G15">
        <v>8700</v>
      </c>
      <c r="H15" s="116"/>
      <c r="I15" s="116"/>
      <c r="L15" s="170">
        <v>42020</v>
      </c>
      <c r="M15" s="116">
        <v>349.26</v>
      </c>
      <c r="N15" s="116">
        <v>350.25</v>
      </c>
      <c r="O15" s="116">
        <v>337.0025</v>
      </c>
      <c r="P15" s="116">
        <v>338.1</v>
      </c>
      <c r="Q15" s="116">
        <v>6985.2</v>
      </c>
      <c r="R15">
        <v>49852</v>
      </c>
    </row>
    <row r="16" spans="1:18" x14ac:dyDescent="0.25">
      <c r="A16" s="170">
        <v>42023</v>
      </c>
      <c r="B16" s="116">
        <v>354.5</v>
      </c>
      <c r="C16" s="116">
        <v>352.66</v>
      </c>
      <c r="D16" s="116">
        <v>350</v>
      </c>
      <c r="E16" s="116">
        <v>350</v>
      </c>
      <c r="F16" s="116">
        <v>7053.2</v>
      </c>
      <c r="G16">
        <v>3549</v>
      </c>
      <c r="H16" s="116"/>
      <c r="I16" s="116"/>
      <c r="L16" s="170">
        <v>42023</v>
      </c>
      <c r="M16" s="116">
        <v>353.69749999999999</v>
      </c>
      <c r="N16" s="116">
        <v>355</v>
      </c>
      <c r="O16" s="116">
        <v>349.22750000000002</v>
      </c>
      <c r="P16" s="116">
        <v>350.25</v>
      </c>
      <c r="Q16" s="116">
        <v>7073.95</v>
      </c>
      <c r="R16">
        <v>35414</v>
      </c>
    </row>
    <row r="17" spans="1:18" x14ac:dyDescent="0.25">
      <c r="A17" s="170">
        <v>42024</v>
      </c>
      <c r="B17" s="116">
        <v>355.59</v>
      </c>
      <c r="C17" s="116">
        <v>353.09750000000003</v>
      </c>
      <c r="D17" s="116">
        <v>349.65</v>
      </c>
      <c r="E17" s="116">
        <v>354.95</v>
      </c>
      <c r="F17" s="116">
        <v>7061.95</v>
      </c>
      <c r="G17">
        <v>1974</v>
      </c>
      <c r="H17" s="116"/>
      <c r="I17" s="116"/>
      <c r="L17" s="170">
        <v>42024</v>
      </c>
      <c r="M17" s="116">
        <v>353.72500000000002</v>
      </c>
      <c r="N17" s="116">
        <v>355.5</v>
      </c>
      <c r="O17" s="116">
        <v>350</v>
      </c>
      <c r="P17" s="116">
        <v>353.65</v>
      </c>
      <c r="Q17" s="116">
        <v>7074.5</v>
      </c>
      <c r="R17">
        <v>28431</v>
      </c>
    </row>
    <row r="18" spans="1:18" x14ac:dyDescent="0.25">
      <c r="A18" s="170">
        <v>42025</v>
      </c>
      <c r="B18" s="116">
        <v>355.89</v>
      </c>
      <c r="C18" s="116">
        <v>352.8725</v>
      </c>
      <c r="D18" s="116">
        <v>351.61500000000001</v>
      </c>
      <c r="E18" s="116">
        <v>354.27249999999998</v>
      </c>
      <c r="F18" s="116">
        <v>7057.45</v>
      </c>
      <c r="G18">
        <v>2508</v>
      </c>
      <c r="H18" s="116"/>
      <c r="I18" s="116"/>
      <c r="L18" s="170">
        <v>42025</v>
      </c>
      <c r="M18" s="116">
        <v>354</v>
      </c>
      <c r="N18" s="116">
        <v>356</v>
      </c>
      <c r="O18" s="116">
        <v>351.90499999999997</v>
      </c>
      <c r="P18" s="116">
        <v>354.38749999999999</v>
      </c>
      <c r="Q18" s="116">
        <v>7080</v>
      </c>
      <c r="R18">
        <v>31104</v>
      </c>
    </row>
    <row r="19" spans="1:18" x14ac:dyDescent="0.25">
      <c r="A19" s="170">
        <v>42026</v>
      </c>
      <c r="B19" s="116">
        <v>358.15</v>
      </c>
      <c r="C19" s="116">
        <v>354.35250000000002</v>
      </c>
      <c r="D19" s="116">
        <v>352.75</v>
      </c>
      <c r="E19" s="116">
        <v>355</v>
      </c>
      <c r="F19" s="116">
        <v>7087.05</v>
      </c>
      <c r="G19">
        <v>2784</v>
      </c>
      <c r="H19" s="116"/>
      <c r="I19" s="116"/>
      <c r="L19" s="170">
        <v>42026</v>
      </c>
      <c r="M19" s="116">
        <v>354.85250000000002</v>
      </c>
      <c r="N19" s="116">
        <v>358.5</v>
      </c>
      <c r="O19" s="116">
        <v>352.6</v>
      </c>
      <c r="P19" s="116">
        <v>353.75</v>
      </c>
      <c r="Q19" s="116">
        <v>7097.05</v>
      </c>
      <c r="R19">
        <v>54149</v>
      </c>
    </row>
    <row r="20" spans="1:18" x14ac:dyDescent="0.25">
      <c r="A20" s="170">
        <v>42027</v>
      </c>
      <c r="B20" s="116">
        <v>366.25</v>
      </c>
      <c r="C20" s="116">
        <v>361.74250000000001</v>
      </c>
      <c r="D20" s="116">
        <v>357.5</v>
      </c>
      <c r="E20" s="116">
        <v>366.25</v>
      </c>
      <c r="F20" s="116">
        <v>7234.85</v>
      </c>
      <c r="G20">
        <v>3364</v>
      </c>
      <c r="H20" s="116"/>
      <c r="I20" s="116"/>
      <c r="L20" s="170">
        <v>42027</v>
      </c>
      <c r="M20" s="116">
        <v>362.91750000000002</v>
      </c>
      <c r="N20" s="116">
        <v>364.5</v>
      </c>
      <c r="O20" s="116">
        <v>357.4</v>
      </c>
      <c r="P20" s="116">
        <v>357.4</v>
      </c>
      <c r="Q20" s="116">
        <v>7258.35</v>
      </c>
      <c r="R20">
        <v>45866</v>
      </c>
    </row>
    <row r="21" spans="1:18" x14ac:dyDescent="0.25">
      <c r="A21" s="170">
        <v>42031</v>
      </c>
      <c r="B21" s="116">
        <v>371.25</v>
      </c>
      <c r="C21" s="116">
        <v>367.19</v>
      </c>
      <c r="D21" s="116">
        <v>363.75</v>
      </c>
      <c r="E21" s="116">
        <v>363.77749999999997</v>
      </c>
      <c r="F21" s="116">
        <v>7343.8</v>
      </c>
      <c r="G21">
        <v>82166</v>
      </c>
      <c r="H21" s="116"/>
      <c r="I21" s="116"/>
      <c r="L21" s="170">
        <v>42031</v>
      </c>
      <c r="M21" s="116">
        <v>367.5025</v>
      </c>
      <c r="N21" s="116">
        <v>371.5</v>
      </c>
      <c r="O21" s="116">
        <v>362.79750000000001</v>
      </c>
      <c r="P21" s="116">
        <v>362.91500000000002</v>
      </c>
      <c r="Q21" s="116">
        <v>7350.05</v>
      </c>
      <c r="R21">
        <v>45350</v>
      </c>
    </row>
    <row r="22" spans="1:18" x14ac:dyDescent="0.25">
      <c r="A22" s="170">
        <v>42032</v>
      </c>
      <c r="B22" s="116">
        <v>370</v>
      </c>
      <c r="C22" s="116">
        <v>365.17</v>
      </c>
      <c r="D22" s="116">
        <v>360</v>
      </c>
      <c r="E22" s="116">
        <v>366.83749999999998</v>
      </c>
      <c r="F22" s="116">
        <v>7303.4</v>
      </c>
      <c r="G22">
        <v>2860</v>
      </c>
      <c r="H22" s="116"/>
      <c r="I22" s="116"/>
      <c r="L22" s="170">
        <v>42032</v>
      </c>
      <c r="M22" s="116">
        <v>365.20249999999999</v>
      </c>
      <c r="N22" s="116">
        <v>371.05</v>
      </c>
      <c r="O22" s="116">
        <v>360.7525</v>
      </c>
      <c r="P22" s="116">
        <v>367.25</v>
      </c>
      <c r="Q22" s="116">
        <v>7304.05</v>
      </c>
      <c r="R22">
        <v>23762</v>
      </c>
    </row>
    <row r="23" spans="1:18" x14ac:dyDescent="0.25">
      <c r="A23" s="170">
        <v>42033</v>
      </c>
      <c r="B23" s="116">
        <v>367.15</v>
      </c>
      <c r="C23" s="116">
        <v>359.97500000000002</v>
      </c>
      <c r="D23" s="116">
        <v>357.565</v>
      </c>
      <c r="E23" s="116">
        <v>364.5</v>
      </c>
      <c r="F23" s="116">
        <v>7199.5</v>
      </c>
      <c r="G23">
        <v>1956</v>
      </c>
      <c r="H23" s="116"/>
      <c r="I23" s="116"/>
      <c r="L23" s="170">
        <v>42033</v>
      </c>
      <c r="M23" s="116">
        <v>360.72250000000003</v>
      </c>
      <c r="N23" s="116">
        <v>368.245</v>
      </c>
      <c r="O23" s="116">
        <v>357.4</v>
      </c>
      <c r="P23" s="116">
        <v>365</v>
      </c>
      <c r="Q23" s="116">
        <v>7214.45</v>
      </c>
      <c r="R23">
        <v>22040</v>
      </c>
    </row>
    <row r="24" spans="1:18" x14ac:dyDescent="0.25">
      <c r="A24" s="170">
        <v>42034</v>
      </c>
      <c r="B24" s="116">
        <v>360.94</v>
      </c>
      <c r="C24" s="116">
        <v>355.45499999999998</v>
      </c>
      <c r="D24" s="116">
        <v>354.2</v>
      </c>
      <c r="E24" s="116">
        <v>360.94</v>
      </c>
      <c r="F24" s="116">
        <v>7109.1</v>
      </c>
      <c r="G24">
        <v>2048</v>
      </c>
      <c r="H24" s="116"/>
      <c r="I24" s="116"/>
      <c r="L24" s="170">
        <v>42034</v>
      </c>
      <c r="M24" s="116">
        <v>355.65249999999997</v>
      </c>
      <c r="N24" s="116">
        <v>361</v>
      </c>
      <c r="O24" s="116">
        <v>355</v>
      </c>
      <c r="P24" s="116">
        <v>361</v>
      </c>
      <c r="Q24" s="116">
        <v>7113.05</v>
      </c>
      <c r="R24">
        <v>30387</v>
      </c>
    </row>
    <row r="25" spans="1:18" x14ac:dyDescent="0.25">
      <c r="A25" s="170">
        <v>42037</v>
      </c>
      <c r="B25" s="116">
        <v>358</v>
      </c>
      <c r="C25" s="116">
        <v>352.53500000000003</v>
      </c>
      <c r="D25" s="116">
        <v>349</v>
      </c>
      <c r="E25" s="116">
        <v>355.60500000000002</v>
      </c>
      <c r="F25" s="116">
        <v>7050.7</v>
      </c>
      <c r="G25">
        <v>2199</v>
      </c>
      <c r="H25" s="116"/>
      <c r="I25" s="116"/>
      <c r="L25" s="170">
        <v>42037</v>
      </c>
      <c r="M25" s="116">
        <v>352.98250000000002</v>
      </c>
      <c r="N25" s="116">
        <v>358.07749999999999</v>
      </c>
      <c r="O25" s="116">
        <v>348.8175</v>
      </c>
      <c r="P25" s="116">
        <v>355.69</v>
      </c>
      <c r="Q25" s="116">
        <v>7059.65</v>
      </c>
      <c r="R25">
        <v>24716</v>
      </c>
    </row>
    <row r="26" spans="1:18" x14ac:dyDescent="0.25">
      <c r="A26" s="170">
        <v>42038</v>
      </c>
      <c r="B26" s="116">
        <v>358.85</v>
      </c>
      <c r="C26" s="116">
        <v>353.18</v>
      </c>
      <c r="D26" s="116">
        <v>347.8</v>
      </c>
      <c r="E26" s="116">
        <v>353.5</v>
      </c>
      <c r="F26" s="116">
        <v>7063.6</v>
      </c>
      <c r="G26">
        <v>2852</v>
      </c>
      <c r="H26" s="116"/>
      <c r="I26" s="116"/>
      <c r="L26" s="170">
        <v>42038</v>
      </c>
      <c r="M26" s="116">
        <v>353.92500000000001</v>
      </c>
      <c r="N26" s="116">
        <v>359.5</v>
      </c>
      <c r="O26" s="116">
        <v>347.5</v>
      </c>
      <c r="P26" s="116">
        <v>355.55</v>
      </c>
      <c r="Q26" s="116">
        <v>7078.5</v>
      </c>
      <c r="R26">
        <v>18909</v>
      </c>
    </row>
    <row r="27" spans="1:18" x14ac:dyDescent="0.25">
      <c r="A27" s="170">
        <v>42039</v>
      </c>
      <c r="B27" s="116">
        <v>356.3</v>
      </c>
      <c r="C27" s="116">
        <v>348.49250000000001</v>
      </c>
      <c r="D27" s="116">
        <v>346.505</v>
      </c>
      <c r="E27" s="116">
        <v>356.3</v>
      </c>
      <c r="F27" s="116">
        <v>6969.85</v>
      </c>
      <c r="G27">
        <v>1098</v>
      </c>
      <c r="H27" s="116"/>
      <c r="I27" s="116"/>
      <c r="L27" s="170">
        <v>42039</v>
      </c>
      <c r="M27" s="116">
        <v>348.88749999999999</v>
      </c>
      <c r="N27" s="116">
        <v>356.95749999999998</v>
      </c>
      <c r="O27" s="116">
        <v>347.8</v>
      </c>
      <c r="P27" s="116">
        <v>353.9</v>
      </c>
      <c r="Q27" s="116">
        <v>6977.75</v>
      </c>
      <c r="R27">
        <v>6588</v>
      </c>
    </row>
    <row r="28" spans="1:18" x14ac:dyDescent="0.25">
      <c r="A28" s="170">
        <v>42040</v>
      </c>
      <c r="B28" s="116">
        <v>351.5</v>
      </c>
      <c r="C28" s="116">
        <v>344.31</v>
      </c>
      <c r="D28" s="116">
        <v>342.53250000000003</v>
      </c>
      <c r="E28" s="116">
        <v>350.09249999999997</v>
      </c>
      <c r="F28" s="116">
        <v>6886.2</v>
      </c>
      <c r="G28">
        <v>1502</v>
      </c>
      <c r="H28" s="116"/>
      <c r="I28" s="116"/>
      <c r="L28" s="170">
        <v>42040</v>
      </c>
      <c r="M28" s="116">
        <v>344.95749999999998</v>
      </c>
      <c r="N28" s="116">
        <v>352.5</v>
      </c>
      <c r="O28" s="116">
        <v>340.5</v>
      </c>
      <c r="P28" s="116">
        <v>352.5</v>
      </c>
      <c r="Q28" s="116">
        <v>6899.15</v>
      </c>
      <c r="R28">
        <v>17043</v>
      </c>
    </row>
    <row r="29" spans="1:18" x14ac:dyDescent="0.25">
      <c r="A29" s="170">
        <v>42041</v>
      </c>
      <c r="B29" s="116">
        <v>348</v>
      </c>
      <c r="C29" s="116">
        <v>343.33</v>
      </c>
      <c r="D29" s="116">
        <v>337.75</v>
      </c>
      <c r="E29" s="116">
        <v>347.41750000000002</v>
      </c>
      <c r="F29" s="116">
        <v>6866.6</v>
      </c>
      <c r="G29">
        <v>1120</v>
      </c>
      <c r="H29" s="116"/>
      <c r="I29" s="116"/>
      <c r="L29" s="170">
        <v>42041</v>
      </c>
      <c r="M29" s="116">
        <v>344.22750000000002</v>
      </c>
      <c r="N29" s="116">
        <v>348.5</v>
      </c>
      <c r="O29" s="116">
        <v>342.5</v>
      </c>
      <c r="P29" s="116">
        <v>345</v>
      </c>
      <c r="Q29" s="116">
        <v>6884.55</v>
      </c>
      <c r="R29">
        <v>8881</v>
      </c>
    </row>
    <row r="30" spans="1:18" x14ac:dyDescent="0.25">
      <c r="A30" s="170">
        <v>42044</v>
      </c>
      <c r="B30" s="116">
        <v>345.98750000000001</v>
      </c>
      <c r="C30" s="116">
        <v>341.12</v>
      </c>
      <c r="D30" s="116">
        <v>338.75</v>
      </c>
      <c r="E30" s="116">
        <v>343.5</v>
      </c>
      <c r="F30" s="116">
        <v>6822.4</v>
      </c>
      <c r="G30">
        <v>1873</v>
      </c>
      <c r="H30" s="116"/>
      <c r="I30" s="116"/>
      <c r="L30" s="170">
        <v>42044</v>
      </c>
      <c r="M30" s="116">
        <v>341.77</v>
      </c>
      <c r="N30" s="116">
        <v>346.5</v>
      </c>
      <c r="O30" s="116">
        <v>338.0025</v>
      </c>
      <c r="P30" s="116">
        <v>344.5</v>
      </c>
      <c r="Q30" s="116">
        <v>6835.4</v>
      </c>
      <c r="R30">
        <v>15551</v>
      </c>
    </row>
    <row r="31" spans="1:18" x14ac:dyDescent="0.25">
      <c r="A31" s="170">
        <v>42045</v>
      </c>
      <c r="B31" s="116">
        <v>350.22</v>
      </c>
      <c r="C31" s="116">
        <v>340.89749999999998</v>
      </c>
      <c r="D31" s="116">
        <v>338.75</v>
      </c>
      <c r="E31" s="116">
        <v>342.16500000000002</v>
      </c>
      <c r="F31" s="116">
        <v>6817.95</v>
      </c>
      <c r="G31">
        <v>1922</v>
      </c>
      <c r="H31" s="116"/>
      <c r="I31" s="116"/>
      <c r="L31" s="170">
        <v>42045</v>
      </c>
      <c r="M31" s="116">
        <v>339.70749999999998</v>
      </c>
      <c r="N31" s="116">
        <v>350.9</v>
      </c>
      <c r="O31" s="116">
        <v>338.35</v>
      </c>
      <c r="P31" s="116">
        <v>345</v>
      </c>
      <c r="Q31" s="116">
        <v>6794.15</v>
      </c>
      <c r="R31">
        <v>15902</v>
      </c>
    </row>
    <row r="32" spans="1:18" x14ac:dyDescent="0.25">
      <c r="A32" s="170">
        <v>42046</v>
      </c>
      <c r="B32" s="116">
        <v>349.5</v>
      </c>
      <c r="C32" s="116">
        <v>344.9</v>
      </c>
      <c r="D32" s="116">
        <v>341.77</v>
      </c>
      <c r="E32" s="116">
        <v>343.17250000000001</v>
      </c>
      <c r="F32" s="116">
        <v>6898</v>
      </c>
      <c r="G32">
        <v>869</v>
      </c>
      <c r="H32" s="116"/>
      <c r="I32" s="116"/>
      <c r="L32" s="170">
        <v>42046</v>
      </c>
      <c r="M32" s="116">
        <v>344.05250000000001</v>
      </c>
      <c r="N32" s="116">
        <v>350</v>
      </c>
      <c r="O32" s="116">
        <v>340.25</v>
      </c>
      <c r="P32" s="116">
        <v>344.95</v>
      </c>
      <c r="Q32" s="116">
        <v>6881.05</v>
      </c>
      <c r="R32">
        <v>13708</v>
      </c>
    </row>
    <row r="33" spans="1:18" x14ac:dyDescent="0.25">
      <c r="A33" s="170">
        <v>42047</v>
      </c>
      <c r="B33" s="116">
        <v>348.5</v>
      </c>
      <c r="C33" s="116">
        <v>340.84500000000003</v>
      </c>
      <c r="D33" s="116">
        <v>338.50749999999999</v>
      </c>
      <c r="E33" s="116">
        <v>345.25</v>
      </c>
      <c r="F33" s="116">
        <v>6816.9</v>
      </c>
      <c r="G33">
        <v>2066</v>
      </c>
      <c r="H33" s="116"/>
      <c r="I33" s="116"/>
      <c r="L33" s="170">
        <v>42047</v>
      </c>
      <c r="M33" s="116">
        <v>341.23</v>
      </c>
      <c r="N33" s="116">
        <v>348.5</v>
      </c>
      <c r="O33" s="116">
        <v>339.01499999999999</v>
      </c>
      <c r="P33" s="116">
        <v>344.25</v>
      </c>
      <c r="Q33" s="116">
        <v>6824.6</v>
      </c>
      <c r="R33">
        <v>12887</v>
      </c>
    </row>
    <row r="34" spans="1:18" x14ac:dyDescent="0.25">
      <c r="A34" s="170">
        <v>42048</v>
      </c>
      <c r="B34" s="116">
        <v>355.5</v>
      </c>
      <c r="C34" s="116">
        <v>351.77</v>
      </c>
      <c r="D34" s="116">
        <v>342.11500000000001</v>
      </c>
      <c r="E34" s="116">
        <v>342.17</v>
      </c>
      <c r="F34" s="116">
        <v>7035.4</v>
      </c>
      <c r="G34">
        <v>3510</v>
      </c>
      <c r="H34" s="116"/>
      <c r="I34" s="116"/>
      <c r="L34" s="170">
        <v>42048</v>
      </c>
      <c r="M34" s="116">
        <v>351.6825</v>
      </c>
      <c r="N34" s="116">
        <v>354.89</v>
      </c>
      <c r="O34" s="116">
        <v>341.5</v>
      </c>
      <c r="P34" s="116">
        <v>341.995</v>
      </c>
      <c r="Q34" s="116">
        <v>7033.65</v>
      </c>
      <c r="R34">
        <v>28685</v>
      </c>
    </row>
    <row r="35" spans="1:18" x14ac:dyDescent="0.25">
      <c r="A35" s="170">
        <v>42051</v>
      </c>
      <c r="B35" s="116">
        <v>363.73750000000001</v>
      </c>
      <c r="C35" s="116">
        <v>357.92500000000001</v>
      </c>
      <c r="D35" s="116">
        <v>355.97500000000002</v>
      </c>
      <c r="E35" s="116">
        <v>361.74</v>
      </c>
      <c r="F35" s="116">
        <v>7158.5</v>
      </c>
      <c r="G35">
        <v>3404</v>
      </c>
      <c r="H35" s="116"/>
      <c r="I35" s="116"/>
      <c r="L35" s="170">
        <v>42051</v>
      </c>
      <c r="M35" s="116">
        <v>357.36750000000001</v>
      </c>
      <c r="N35" s="116">
        <v>363.6</v>
      </c>
      <c r="O35" s="116">
        <v>355.11500000000001</v>
      </c>
      <c r="P35" s="116">
        <v>361.3</v>
      </c>
      <c r="Q35" s="116">
        <v>7147.35</v>
      </c>
      <c r="R35">
        <v>23895</v>
      </c>
    </row>
    <row r="36" spans="1:18" x14ac:dyDescent="0.25">
      <c r="A36" s="170">
        <v>42053</v>
      </c>
      <c r="B36" s="116">
        <v>360.81</v>
      </c>
      <c r="C36" s="116">
        <v>358.79</v>
      </c>
      <c r="D36" s="116">
        <v>353.25</v>
      </c>
      <c r="E36" s="116">
        <v>353.25</v>
      </c>
      <c r="F36" s="116">
        <v>7175.8</v>
      </c>
      <c r="G36">
        <v>1938</v>
      </c>
      <c r="H36" s="116"/>
      <c r="I36" s="116"/>
      <c r="L36" s="170">
        <v>42053</v>
      </c>
      <c r="M36" s="116">
        <v>358.46499999999997</v>
      </c>
      <c r="N36" s="116">
        <v>361.25</v>
      </c>
      <c r="O36" s="116">
        <v>353.0025</v>
      </c>
      <c r="P36" s="116">
        <v>357.5</v>
      </c>
      <c r="Q36" s="116">
        <v>7169.3</v>
      </c>
      <c r="R36">
        <v>32189</v>
      </c>
    </row>
    <row r="37" spans="1:18" x14ac:dyDescent="0.25">
      <c r="A37" s="170">
        <v>42054</v>
      </c>
      <c r="B37" s="116">
        <v>356.89499999999998</v>
      </c>
      <c r="C37" s="116">
        <v>352.81</v>
      </c>
      <c r="D37" s="116">
        <v>351.66250000000002</v>
      </c>
      <c r="E37" s="116">
        <v>355.875</v>
      </c>
      <c r="F37" s="116">
        <v>7056.2</v>
      </c>
      <c r="G37">
        <v>1212</v>
      </c>
      <c r="H37" s="116"/>
      <c r="I37" s="116"/>
      <c r="L37" s="170">
        <v>42054</v>
      </c>
      <c r="M37" s="116">
        <v>352.08499999999998</v>
      </c>
      <c r="N37" s="116">
        <v>358.75</v>
      </c>
      <c r="O37" s="116">
        <v>350.685</v>
      </c>
      <c r="P37" s="116">
        <v>358.75</v>
      </c>
      <c r="Q37" s="116">
        <v>7041.7</v>
      </c>
      <c r="R37">
        <v>11509</v>
      </c>
    </row>
    <row r="38" spans="1:18" x14ac:dyDescent="0.25">
      <c r="A38" s="170">
        <v>42055</v>
      </c>
      <c r="B38" s="116">
        <v>361.565</v>
      </c>
      <c r="C38" s="116">
        <v>359.07249999999999</v>
      </c>
      <c r="D38" s="116">
        <v>349.5675</v>
      </c>
      <c r="E38" s="116">
        <v>357.45</v>
      </c>
      <c r="F38" s="116">
        <v>7181.45</v>
      </c>
      <c r="G38">
        <v>2465</v>
      </c>
      <c r="H38" s="116"/>
      <c r="I38" s="116"/>
      <c r="L38" s="170">
        <v>42055</v>
      </c>
      <c r="M38" s="116">
        <v>358.83499999999998</v>
      </c>
      <c r="N38" s="116">
        <v>361.88499999999999</v>
      </c>
      <c r="O38" s="116">
        <v>351.25</v>
      </c>
      <c r="P38" s="116">
        <v>352.55</v>
      </c>
      <c r="Q38" s="116">
        <v>7176.7</v>
      </c>
      <c r="R38">
        <v>134761</v>
      </c>
    </row>
    <row r="39" spans="1:18" x14ac:dyDescent="0.25">
      <c r="A39" s="170">
        <v>42058</v>
      </c>
      <c r="B39" s="116">
        <v>359.07499999999999</v>
      </c>
      <c r="C39" s="116">
        <v>349.4975</v>
      </c>
      <c r="D39" s="116">
        <v>346.1</v>
      </c>
      <c r="E39" s="116">
        <v>358.5</v>
      </c>
      <c r="F39" s="116">
        <v>6989.95</v>
      </c>
      <c r="G39">
        <v>2896</v>
      </c>
      <c r="H39" s="116"/>
      <c r="I39" s="116"/>
      <c r="L39" s="170">
        <v>42058</v>
      </c>
      <c r="M39" s="116">
        <v>349.97250000000003</v>
      </c>
      <c r="N39" s="116">
        <v>360.26</v>
      </c>
      <c r="O39" s="116">
        <v>348.125</v>
      </c>
      <c r="P39" s="116">
        <v>360.26</v>
      </c>
      <c r="Q39" s="116">
        <v>6999.45</v>
      </c>
      <c r="R39">
        <v>29209</v>
      </c>
    </row>
    <row r="40" spans="1:18" x14ac:dyDescent="0.25">
      <c r="A40" s="170">
        <v>42059</v>
      </c>
      <c r="B40" s="116">
        <v>353.76249999999999</v>
      </c>
      <c r="C40" s="116">
        <v>349.65249999999997</v>
      </c>
      <c r="D40" s="116">
        <v>338.75</v>
      </c>
      <c r="E40" s="116">
        <v>352.5</v>
      </c>
      <c r="F40" s="116">
        <v>6993.05</v>
      </c>
      <c r="G40">
        <v>2420</v>
      </c>
      <c r="H40" s="116"/>
      <c r="I40" s="116"/>
      <c r="L40" s="170">
        <v>42059</v>
      </c>
      <c r="M40" s="116">
        <v>350.48750000000001</v>
      </c>
      <c r="N40" s="116">
        <v>353.99250000000001</v>
      </c>
      <c r="O40" s="116">
        <v>346.5</v>
      </c>
      <c r="P40" s="116">
        <v>350.09500000000003</v>
      </c>
      <c r="Q40" s="116">
        <v>7009.75</v>
      </c>
      <c r="R40">
        <v>58297</v>
      </c>
    </row>
    <row r="41" spans="1:18" x14ac:dyDescent="0.25">
      <c r="A41" s="170">
        <v>42060</v>
      </c>
      <c r="B41" s="116">
        <v>353.25</v>
      </c>
      <c r="C41" s="116">
        <v>352.255</v>
      </c>
      <c r="D41" s="116">
        <v>351.04500000000002</v>
      </c>
      <c r="E41" s="116">
        <v>351.67</v>
      </c>
      <c r="F41" s="116">
        <v>7045.1</v>
      </c>
      <c r="G41">
        <v>874</v>
      </c>
      <c r="H41" s="116"/>
      <c r="I41" s="116"/>
      <c r="L41" s="170">
        <v>42060</v>
      </c>
      <c r="M41" s="116">
        <v>352.625</v>
      </c>
      <c r="N41" s="116">
        <v>353.75</v>
      </c>
      <c r="O41" s="116">
        <v>350.5</v>
      </c>
      <c r="P41" s="116">
        <v>351.21</v>
      </c>
      <c r="Q41" s="116">
        <v>7052.5</v>
      </c>
      <c r="R41">
        <v>42946</v>
      </c>
    </row>
    <row r="42" spans="1:18" x14ac:dyDescent="0.25">
      <c r="A42" s="170">
        <v>42061</v>
      </c>
      <c r="B42" s="116">
        <v>352.245</v>
      </c>
      <c r="C42" s="116">
        <v>351.04750000000001</v>
      </c>
      <c r="D42" s="116">
        <v>346.255</v>
      </c>
      <c r="E42" s="116">
        <v>350.85</v>
      </c>
      <c r="F42" s="116">
        <v>7020.95</v>
      </c>
      <c r="G42">
        <v>8021</v>
      </c>
      <c r="H42" s="116"/>
      <c r="I42" s="116"/>
      <c r="L42" s="170">
        <v>42061</v>
      </c>
      <c r="M42" s="116">
        <v>350.97</v>
      </c>
      <c r="N42" s="116">
        <v>354.98500000000001</v>
      </c>
      <c r="O42" s="116">
        <v>347.5</v>
      </c>
      <c r="P42" s="116">
        <v>354.98500000000001</v>
      </c>
      <c r="Q42" s="116">
        <v>7019.4</v>
      </c>
      <c r="R42">
        <v>25702</v>
      </c>
    </row>
    <row r="43" spans="1:18" x14ac:dyDescent="0.25">
      <c r="A43" s="170">
        <v>42062</v>
      </c>
      <c r="B43" s="116">
        <v>352.24</v>
      </c>
      <c r="C43" s="116">
        <v>351.28500000000003</v>
      </c>
      <c r="D43" s="116">
        <v>350</v>
      </c>
      <c r="E43" s="116">
        <v>351.55</v>
      </c>
      <c r="F43" s="116">
        <v>7025.7</v>
      </c>
      <c r="G43">
        <v>890</v>
      </c>
      <c r="H43" s="116"/>
      <c r="I43" s="116"/>
      <c r="L43" s="170">
        <v>42062</v>
      </c>
      <c r="M43" s="116">
        <v>351.04500000000002</v>
      </c>
      <c r="N43" s="116">
        <v>352.94499999999999</v>
      </c>
      <c r="O43" s="116">
        <v>349.97500000000002</v>
      </c>
      <c r="P43" s="116">
        <v>352.23250000000002</v>
      </c>
      <c r="Q43" s="116">
        <v>7020.9</v>
      </c>
      <c r="R43">
        <v>65642</v>
      </c>
    </row>
    <row r="44" spans="1:18" x14ac:dyDescent="0.25">
      <c r="A44" s="170">
        <v>42063</v>
      </c>
      <c r="B44" s="116">
        <v>354.5</v>
      </c>
      <c r="C44" s="116">
        <v>350.08</v>
      </c>
      <c r="D44" s="116">
        <v>348.3</v>
      </c>
      <c r="E44" s="116">
        <v>352.54250000000002</v>
      </c>
      <c r="F44" s="116">
        <v>7001.6</v>
      </c>
      <c r="G44">
        <v>709</v>
      </c>
      <c r="H44" s="116"/>
      <c r="I44" s="116"/>
      <c r="L44" s="170">
        <v>42063</v>
      </c>
      <c r="M44" s="116">
        <v>351.19499999999999</v>
      </c>
      <c r="N44" s="116">
        <v>354.9</v>
      </c>
      <c r="O44" s="116">
        <v>350.35</v>
      </c>
      <c r="P44" s="116">
        <v>353.4975</v>
      </c>
      <c r="Q44" s="116">
        <v>7023.9</v>
      </c>
      <c r="R44">
        <v>4177</v>
      </c>
    </row>
    <row r="45" spans="1:18" x14ac:dyDescent="0.25">
      <c r="A45" s="170">
        <v>42065</v>
      </c>
      <c r="B45" s="116">
        <v>351.20249999999999</v>
      </c>
      <c r="C45" s="116">
        <v>349.26749999999998</v>
      </c>
      <c r="D45" s="116">
        <v>347.5</v>
      </c>
      <c r="E45" s="116">
        <v>350.97250000000003</v>
      </c>
      <c r="F45" s="116">
        <v>6985.35</v>
      </c>
      <c r="G45">
        <v>9151</v>
      </c>
      <c r="H45" s="116"/>
      <c r="I45" s="116"/>
      <c r="L45" s="170">
        <v>42065</v>
      </c>
      <c r="M45" s="116">
        <v>349.5025</v>
      </c>
      <c r="N45" s="116">
        <v>352.495</v>
      </c>
      <c r="O45" s="116">
        <v>347.4975</v>
      </c>
      <c r="P45" s="116">
        <v>352.495</v>
      </c>
      <c r="Q45" s="116">
        <v>6990.05</v>
      </c>
      <c r="R45">
        <v>26080</v>
      </c>
    </row>
    <row r="46" spans="1:18" x14ac:dyDescent="0.25">
      <c r="A46" s="170">
        <v>42066</v>
      </c>
      <c r="B46" s="116">
        <v>357.25</v>
      </c>
      <c r="C46" s="116">
        <v>353.15499999999997</v>
      </c>
      <c r="D46" s="116">
        <v>349.25</v>
      </c>
      <c r="E46" s="116">
        <v>349.6</v>
      </c>
      <c r="F46" s="116">
        <v>7063.1</v>
      </c>
      <c r="G46">
        <v>16827</v>
      </c>
      <c r="H46" s="116"/>
      <c r="I46" s="116"/>
      <c r="L46" s="170">
        <v>42066</v>
      </c>
      <c r="M46" s="116">
        <v>354.8125</v>
      </c>
      <c r="N46" s="116">
        <v>358.02499999999998</v>
      </c>
      <c r="O46" s="116">
        <v>346.61500000000001</v>
      </c>
      <c r="P46" s="116">
        <v>352</v>
      </c>
      <c r="Q46" s="116">
        <v>7096.25</v>
      </c>
      <c r="R46">
        <v>26243</v>
      </c>
    </row>
    <row r="47" spans="1:18" x14ac:dyDescent="0.25">
      <c r="A47" s="170">
        <v>42067</v>
      </c>
      <c r="B47" s="116">
        <v>365.69749999999999</v>
      </c>
      <c r="C47" s="116">
        <v>364.36250000000001</v>
      </c>
      <c r="D47" s="116">
        <v>355.32249999999999</v>
      </c>
      <c r="E47" s="116">
        <v>355.32249999999999</v>
      </c>
      <c r="F47" s="116">
        <v>7287.25</v>
      </c>
      <c r="G47">
        <v>3202</v>
      </c>
      <c r="H47" s="116"/>
      <c r="I47" s="116"/>
      <c r="L47" s="170">
        <v>42067</v>
      </c>
      <c r="M47" s="116">
        <v>364.98750000000001</v>
      </c>
      <c r="N47" s="116">
        <v>365.95</v>
      </c>
      <c r="O47" s="116">
        <v>355.64749999999998</v>
      </c>
      <c r="P47" s="116">
        <v>358.2</v>
      </c>
      <c r="Q47" s="116">
        <v>7299.75</v>
      </c>
      <c r="R47">
        <v>45281</v>
      </c>
    </row>
    <row r="48" spans="1:18" x14ac:dyDescent="0.25">
      <c r="A48" s="170">
        <v>42068</v>
      </c>
      <c r="B48" s="116">
        <v>368</v>
      </c>
      <c r="C48" s="116">
        <v>363.89749999999998</v>
      </c>
      <c r="D48" s="116">
        <v>361.50749999999999</v>
      </c>
      <c r="E48" s="116">
        <v>363.98</v>
      </c>
      <c r="F48" s="116">
        <v>7277.95</v>
      </c>
      <c r="G48">
        <v>2095</v>
      </c>
      <c r="H48" s="116"/>
      <c r="I48" s="116"/>
      <c r="L48" s="170">
        <v>42068</v>
      </c>
      <c r="M48" s="116">
        <v>364.79750000000001</v>
      </c>
      <c r="N48" s="116">
        <v>368.32249999999999</v>
      </c>
      <c r="O48" s="116">
        <v>362.315</v>
      </c>
      <c r="P48" s="116">
        <v>365</v>
      </c>
      <c r="Q48" s="116">
        <v>7295.95</v>
      </c>
      <c r="R48">
        <v>30384</v>
      </c>
    </row>
    <row r="49" spans="1:18" x14ac:dyDescent="0.25">
      <c r="A49" s="170">
        <v>42072</v>
      </c>
      <c r="B49" s="116">
        <v>371.82</v>
      </c>
      <c r="C49" s="116">
        <v>368.50749999999999</v>
      </c>
      <c r="D49" s="116">
        <v>361.03250000000003</v>
      </c>
      <c r="E49" s="116">
        <v>361.52499999999998</v>
      </c>
      <c r="F49" s="116">
        <v>7370.15</v>
      </c>
      <c r="G49">
        <v>2448</v>
      </c>
      <c r="H49" s="116"/>
      <c r="I49" s="116"/>
      <c r="L49" s="170">
        <v>42072</v>
      </c>
      <c r="M49" s="116">
        <v>369.21499999999997</v>
      </c>
      <c r="N49" s="116">
        <v>371.25</v>
      </c>
      <c r="O49" s="116">
        <v>361.75</v>
      </c>
      <c r="P49" s="116">
        <v>364.85</v>
      </c>
      <c r="Q49" s="116">
        <v>7384.3</v>
      </c>
      <c r="R49">
        <v>21576</v>
      </c>
    </row>
    <row r="50" spans="1:18" x14ac:dyDescent="0.25">
      <c r="A50" s="170">
        <v>42073</v>
      </c>
      <c r="B50" s="116">
        <v>374.9975</v>
      </c>
      <c r="C50" s="116">
        <v>368.9</v>
      </c>
      <c r="D50" s="116">
        <v>368.0575</v>
      </c>
      <c r="E50" s="116">
        <v>372.35</v>
      </c>
      <c r="F50" s="116">
        <v>7378</v>
      </c>
      <c r="G50">
        <v>1640</v>
      </c>
      <c r="H50" s="116"/>
      <c r="I50" s="116"/>
      <c r="L50" s="170">
        <v>42073</v>
      </c>
      <c r="M50" s="116">
        <v>369.85750000000002</v>
      </c>
      <c r="N50" s="116">
        <v>375.25</v>
      </c>
      <c r="O50" s="116">
        <v>367.47250000000003</v>
      </c>
      <c r="P50" s="116">
        <v>369.34500000000003</v>
      </c>
      <c r="Q50" s="116">
        <v>7397.15</v>
      </c>
      <c r="R50">
        <v>18258</v>
      </c>
    </row>
    <row r="51" spans="1:18" x14ac:dyDescent="0.25">
      <c r="A51" s="170">
        <v>42074</v>
      </c>
      <c r="B51" s="116">
        <v>371.25</v>
      </c>
      <c r="C51" s="116">
        <v>365.24</v>
      </c>
      <c r="D51" s="116">
        <v>363.03</v>
      </c>
      <c r="E51" s="116">
        <v>369.745</v>
      </c>
      <c r="F51" s="116">
        <v>7304.8</v>
      </c>
      <c r="G51">
        <v>1878</v>
      </c>
      <c r="H51" s="116"/>
      <c r="I51" s="116"/>
      <c r="L51" s="170">
        <v>42074</v>
      </c>
      <c r="M51" s="116">
        <v>364.03500000000003</v>
      </c>
      <c r="N51" s="116">
        <v>372.28750000000002</v>
      </c>
      <c r="O51" s="116">
        <v>362.65</v>
      </c>
      <c r="P51" s="116">
        <v>369.48</v>
      </c>
      <c r="Q51" s="116">
        <v>7280.7</v>
      </c>
      <c r="R51">
        <v>19345</v>
      </c>
    </row>
    <row r="52" spans="1:18" x14ac:dyDescent="0.25">
      <c r="A52" s="170">
        <v>42075</v>
      </c>
      <c r="B52" s="116">
        <v>368.1</v>
      </c>
      <c r="C52" s="116">
        <v>366.86</v>
      </c>
      <c r="D52" s="116">
        <v>365.05250000000001</v>
      </c>
      <c r="E52" s="116">
        <v>367.03750000000002</v>
      </c>
      <c r="F52" s="116">
        <v>7337.2</v>
      </c>
      <c r="G52">
        <v>650</v>
      </c>
      <c r="H52" s="116"/>
      <c r="I52" s="116"/>
      <c r="L52" s="170">
        <v>42075</v>
      </c>
      <c r="M52" s="116">
        <v>366.44499999999999</v>
      </c>
      <c r="N52" s="116">
        <v>368.995</v>
      </c>
      <c r="O52" s="116">
        <v>365.005</v>
      </c>
      <c r="P52" s="116">
        <v>365.005</v>
      </c>
      <c r="Q52" s="116">
        <v>7328.9</v>
      </c>
      <c r="R52">
        <v>13701</v>
      </c>
    </row>
    <row r="53" spans="1:18" x14ac:dyDescent="0.25">
      <c r="A53" s="170">
        <v>42076</v>
      </c>
      <c r="B53" s="116">
        <v>367.97500000000002</v>
      </c>
      <c r="C53" s="116">
        <v>364.35750000000002</v>
      </c>
      <c r="D53" s="116">
        <v>362.57749999999999</v>
      </c>
      <c r="E53" s="116">
        <v>367.5</v>
      </c>
      <c r="F53" s="116">
        <v>7287.15</v>
      </c>
      <c r="G53">
        <v>6327</v>
      </c>
      <c r="H53" s="116"/>
      <c r="I53" s="116"/>
      <c r="L53" s="170">
        <v>42076</v>
      </c>
      <c r="M53" s="116">
        <v>364.95</v>
      </c>
      <c r="N53" s="116">
        <v>367.88499999999999</v>
      </c>
      <c r="O53" s="116">
        <v>362.70249999999999</v>
      </c>
      <c r="P53" s="116">
        <v>367.76749999999998</v>
      </c>
      <c r="Q53" s="116">
        <v>7299</v>
      </c>
      <c r="R53">
        <v>21515</v>
      </c>
    </row>
    <row r="54" spans="1:18" x14ac:dyDescent="0.25">
      <c r="A54" s="170">
        <v>42079</v>
      </c>
      <c r="B54" s="116">
        <v>366.25</v>
      </c>
      <c r="C54" s="116">
        <v>364.32249999999999</v>
      </c>
      <c r="D54" s="116">
        <v>363.75</v>
      </c>
      <c r="E54" s="116">
        <v>365</v>
      </c>
      <c r="F54" s="116">
        <v>7286.45</v>
      </c>
      <c r="G54">
        <v>807</v>
      </c>
      <c r="H54" s="116"/>
      <c r="I54" s="116"/>
      <c r="L54" s="170">
        <v>42079</v>
      </c>
      <c r="M54" s="116">
        <v>363.84</v>
      </c>
      <c r="N54" s="116">
        <v>367.39499999999998</v>
      </c>
      <c r="O54" s="116">
        <v>362.75</v>
      </c>
      <c r="P54" s="116">
        <v>367.39499999999998</v>
      </c>
      <c r="Q54" s="116">
        <v>7276.8</v>
      </c>
      <c r="R54">
        <v>12723</v>
      </c>
    </row>
    <row r="55" spans="1:18" x14ac:dyDescent="0.25">
      <c r="A55" s="170">
        <v>42080</v>
      </c>
      <c r="B55" s="116">
        <v>370</v>
      </c>
      <c r="C55" s="116">
        <v>369.60500000000002</v>
      </c>
      <c r="D55" s="116">
        <v>364.20499999999998</v>
      </c>
      <c r="E55" s="116">
        <v>364.20499999999998</v>
      </c>
      <c r="F55" s="116">
        <v>7392.1</v>
      </c>
      <c r="G55">
        <v>1600</v>
      </c>
      <c r="H55" s="116"/>
      <c r="I55" s="116"/>
      <c r="L55" s="170">
        <v>42080</v>
      </c>
      <c r="M55" s="116">
        <v>369.46249999999998</v>
      </c>
      <c r="N55" s="116">
        <v>370</v>
      </c>
      <c r="O55" s="116">
        <v>365</v>
      </c>
      <c r="P55" s="116">
        <v>365</v>
      </c>
      <c r="Q55" s="116">
        <v>7389.25</v>
      </c>
      <c r="R55">
        <v>27094</v>
      </c>
    </row>
    <row r="56" spans="1:18" x14ac:dyDescent="0.25">
      <c r="A56" s="170">
        <v>42081</v>
      </c>
      <c r="B56" s="116">
        <v>371.08749999999998</v>
      </c>
      <c r="C56" s="116">
        <v>369.89499999999998</v>
      </c>
      <c r="D56" s="116">
        <v>367.5</v>
      </c>
      <c r="E56" s="116">
        <v>370.2</v>
      </c>
      <c r="F56" s="116">
        <v>7397.9</v>
      </c>
      <c r="G56">
        <v>1223</v>
      </c>
      <c r="H56" s="116"/>
      <c r="I56" s="116"/>
      <c r="L56" s="170">
        <v>42081</v>
      </c>
      <c r="M56" s="116">
        <v>370.42</v>
      </c>
      <c r="N56" s="116">
        <v>371</v>
      </c>
      <c r="O56" s="116">
        <v>368.3</v>
      </c>
      <c r="P56" s="116">
        <v>370.5</v>
      </c>
      <c r="Q56" s="116">
        <v>7408.4</v>
      </c>
      <c r="R56">
        <v>49611</v>
      </c>
    </row>
    <row r="57" spans="1:18" x14ac:dyDescent="0.25">
      <c r="A57" s="170">
        <v>42082</v>
      </c>
      <c r="B57" s="116">
        <v>370.75</v>
      </c>
      <c r="C57" s="116">
        <v>368.66</v>
      </c>
      <c r="D57" s="116">
        <v>367</v>
      </c>
      <c r="E57" s="116">
        <v>370.04250000000002</v>
      </c>
      <c r="F57" s="116">
        <v>7373.2</v>
      </c>
      <c r="G57">
        <v>10693</v>
      </c>
      <c r="H57" s="116"/>
      <c r="I57" s="116"/>
      <c r="L57" s="170">
        <v>42082</v>
      </c>
      <c r="M57" s="116">
        <v>368.36750000000001</v>
      </c>
      <c r="N57" s="116">
        <v>371</v>
      </c>
      <c r="O57" s="116">
        <v>366.05</v>
      </c>
      <c r="P57" s="116">
        <v>371</v>
      </c>
      <c r="Q57" s="116">
        <v>7367.35</v>
      </c>
      <c r="R57">
        <v>27013</v>
      </c>
    </row>
    <row r="58" spans="1:18" x14ac:dyDescent="0.25">
      <c r="A58" s="170">
        <v>42083</v>
      </c>
      <c r="B58" s="116">
        <v>365.17</v>
      </c>
      <c r="C58" s="116">
        <v>363.45499999999998</v>
      </c>
      <c r="D58" s="116">
        <v>361.5025</v>
      </c>
      <c r="E58" s="116">
        <v>365.17</v>
      </c>
      <c r="F58" s="116">
        <v>7269.1</v>
      </c>
      <c r="G58">
        <v>1700</v>
      </c>
      <c r="H58" s="116"/>
      <c r="I58" s="116"/>
      <c r="L58" s="170">
        <v>42083</v>
      </c>
      <c r="M58" s="116">
        <v>363.20499999999998</v>
      </c>
      <c r="N58" s="116">
        <v>370</v>
      </c>
      <c r="O58" s="116">
        <v>361.25</v>
      </c>
      <c r="P58" s="116">
        <v>370</v>
      </c>
      <c r="Q58" s="116">
        <v>7264.1</v>
      </c>
      <c r="R58">
        <v>27446</v>
      </c>
    </row>
    <row r="59" spans="1:18" x14ac:dyDescent="0.25">
      <c r="A59" s="170">
        <v>42086</v>
      </c>
      <c r="B59" s="116">
        <v>370</v>
      </c>
      <c r="C59" s="116">
        <v>360.59</v>
      </c>
      <c r="D59" s="116">
        <v>355.505</v>
      </c>
      <c r="E59" s="116">
        <v>363</v>
      </c>
      <c r="F59" s="116">
        <v>7211.8</v>
      </c>
      <c r="G59">
        <v>3970</v>
      </c>
      <c r="H59" s="116"/>
      <c r="I59" s="116"/>
      <c r="L59" s="170">
        <v>42086</v>
      </c>
      <c r="M59" s="116">
        <v>356.69499999999999</v>
      </c>
      <c r="N59" s="116">
        <v>364.22</v>
      </c>
      <c r="O59" s="116">
        <v>354.5</v>
      </c>
      <c r="P59" s="116">
        <v>364.2</v>
      </c>
      <c r="Q59" s="116">
        <v>7133.9</v>
      </c>
      <c r="R59">
        <v>23625</v>
      </c>
    </row>
    <row r="60" spans="1:18" x14ac:dyDescent="0.25">
      <c r="A60" s="170">
        <v>42087</v>
      </c>
      <c r="B60" s="116">
        <v>360.6</v>
      </c>
      <c r="C60" s="116">
        <v>349.83749999999998</v>
      </c>
      <c r="D60" s="116">
        <v>345.61750000000001</v>
      </c>
      <c r="E60" s="116">
        <v>360.5</v>
      </c>
      <c r="F60" s="116">
        <v>6996.75</v>
      </c>
      <c r="G60">
        <v>5103</v>
      </c>
      <c r="H60" s="116"/>
      <c r="I60" s="116"/>
      <c r="L60" s="170">
        <v>42087</v>
      </c>
      <c r="M60" s="116">
        <v>351.08249999999998</v>
      </c>
      <c r="N60" s="116">
        <v>359.5</v>
      </c>
      <c r="O60" s="116">
        <v>349.5</v>
      </c>
      <c r="P60" s="116">
        <v>359.25</v>
      </c>
      <c r="Q60" s="116">
        <v>7021.65</v>
      </c>
      <c r="R60">
        <v>26775</v>
      </c>
    </row>
    <row r="61" spans="1:18" x14ac:dyDescent="0.25">
      <c r="A61" s="170">
        <v>42088</v>
      </c>
      <c r="B61" s="116">
        <v>353</v>
      </c>
      <c r="C61" s="116">
        <v>351.88749999999999</v>
      </c>
      <c r="D61" s="116">
        <v>350.005</v>
      </c>
      <c r="E61" s="116">
        <v>352.21749999999997</v>
      </c>
      <c r="F61" s="116">
        <v>7037.75</v>
      </c>
      <c r="G61">
        <v>1030</v>
      </c>
      <c r="H61" s="116"/>
      <c r="I61" s="116"/>
      <c r="L61" s="170">
        <v>42088</v>
      </c>
      <c r="M61" s="116">
        <v>352.09</v>
      </c>
      <c r="N61" s="116">
        <v>354.7475</v>
      </c>
      <c r="O61" s="116">
        <v>348.6</v>
      </c>
      <c r="P61" s="116">
        <v>348.6</v>
      </c>
      <c r="Q61" s="116">
        <v>7041.8</v>
      </c>
      <c r="R61">
        <v>27132</v>
      </c>
    </row>
    <row r="62" spans="1:18" x14ac:dyDescent="0.25">
      <c r="A62" s="170">
        <v>42089</v>
      </c>
      <c r="B62" s="116">
        <v>351.6925</v>
      </c>
      <c r="C62" s="116">
        <v>342.96</v>
      </c>
      <c r="D62" s="116">
        <v>338.33</v>
      </c>
      <c r="E62" s="116">
        <v>351.6925</v>
      </c>
      <c r="F62" s="116">
        <v>6859.2</v>
      </c>
      <c r="G62">
        <v>25326</v>
      </c>
      <c r="H62" s="116"/>
      <c r="I62" s="116"/>
      <c r="L62" s="170">
        <v>42089</v>
      </c>
      <c r="M62" s="116">
        <v>342.26</v>
      </c>
      <c r="N62" s="116">
        <v>351.54500000000002</v>
      </c>
      <c r="O62" s="116">
        <v>338.25</v>
      </c>
      <c r="P62" s="116">
        <v>351</v>
      </c>
      <c r="Q62" s="116">
        <v>6845.2</v>
      </c>
      <c r="R62">
        <v>42361</v>
      </c>
    </row>
    <row r="63" spans="1:18" x14ac:dyDescent="0.25">
      <c r="A63" s="170">
        <v>42090</v>
      </c>
      <c r="B63" s="116">
        <v>345.9975</v>
      </c>
      <c r="C63" s="116">
        <v>342.55</v>
      </c>
      <c r="D63" s="116">
        <v>338.8</v>
      </c>
      <c r="E63" s="116">
        <v>344.35500000000002</v>
      </c>
      <c r="F63" s="116">
        <v>6851</v>
      </c>
      <c r="G63">
        <v>1458</v>
      </c>
      <c r="H63" s="116"/>
      <c r="I63" s="116"/>
      <c r="L63" s="170">
        <v>42090</v>
      </c>
      <c r="M63" s="116">
        <v>340.7525</v>
      </c>
      <c r="N63" s="116">
        <v>345.84750000000003</v>
      </c>
      <c r="O63" s="116">
        <v>338.55</v>
      </c>
      <c r="P63" s="116">
        <v>344.9</v>
      </c>
      <c r="Q63" s="116">
        <v>6815.05</v>
      </c>
      <c r="R63">
        <v>26243</v>
      </c>
    </row>
    <row r="64" spans="1:18" x14ac:dyDescent="0.25">
      <c r="A64" s="170">
        <v>42093</v>
      </c>
      <c r="B64" s="116">
        <v>349.55500000000001</v>
      </c>
      <c r="C64" s="116">
        <v>347.82249999999999</v>
      </c>
      <c r="D64" s="116">
        <v>343.75</v>
      </c>
      <c r="E64" s="116">
        <v>344.46</v>
      </c>
      <c r="F64" s="116">
        <v>6956.45</v>
      </c>
      <c r="G64">
        <v>1686</v>
      </c>
      <c r="H64" s="116"/>
      <c r="I64" s="116"/>
      <c r="L64" s="170">
        <v>42093</v>
      </c>
      <c r="M64" s="116">
        <v>347.2</v>
      </c>
      <c r="N64" s="116">
        <v>349.95</v>
      </c>
      <c r="O64" s="116">
        <v>342</v>
      </c>
      <c r="P64" s="116">
        <v>342</v>
      </c>
      <c r="Q64" s="116">
        <v>6944</v>
      </c>
      <c r="R64">
        <v>45193</v>
      </c>
    </row>
    <row r="65" spans="1:18" x14ac:dyDescent="0.25">
      <c r="A65" s="170">
        <v>42094</v>
      </c>
      <c r="B65" s="116">
        <v>353.5</v>
      </c>
      <c r="C65" s="116">
        <v>347.09500000000003</v>
      </c>
      <c r="D65" s="116">
        <v>341.5</v>
      </c>
      <c r="E65" s="116">
        <v>347.82249999999999</v>
      </c>
      <c r="F65" s="116">
        <v>6941.9</v>
      </c>
      <c r="G65">
        <v>17586</v>
      </c>
      <c r="H65" s="116"/>
      <c r="I65" s="116"/>
      <c r="L65" s="170">
        <v>42094</v>
      </c>
      <c r="M65" s="116">
        <v>347.36750000000001</v>
      </c>
      <c r="N65" s="116">
        <v>356.6</v>
      </c>
      <c r="O65" s="116">
        <v>341.38</v>
      </c>
      <c r="P65" s="116">
        <v>347.5</v>
      </c>
      <c r="Q65" s="116">
        <v>6947.35</v>
      </c>
      <c r="R65">
        <v>64200</v>
      </c>
    </row>
    <row r="66" spans="1:18" x14ac:dyDescent="0.25">
      <c r="A66" s="170">
        <v>42095</v>
      </c>
      <c r="B66" s="116">
        <v>352.495</v>
      </c>
      <c r="C66" s="116">
        <v>346.91750000000002</v>
      </c>
      <c r="D66" s="116">
        <v>345</v>
      </c>
      <c r="E66" s="116">
        <v>348.05</v>
      </c>
      <c r="F66" s="116">
        <v>6938.35</v>
      </c>
      <c r="G66">
        <v>1322</v>
      </c>
      <c r="H66" s="116"/>
      <c r="I66" s="116"/>
      <c r="L66" s="170">
        <v>42095</v>
      </c>
      <c r="M66" s="116">
        <v>346.15750000000003</v>
      </c>
      <c r="N66" s="116">
        <v>352.9975</v>
      </c>
      <c r="O66" s="116">
        <v>343.5</v>
      </c>
      <c r="P66" s="116">
        <v>352.55</v>
      </c>
      <c r="Q66" s="116">
        <v>6923.15</v>
      </c>
      <c r="R66">
        <v>13749</v>
      </c>
    </row>
    <row r="67" spans="1:18" x14ac:dyDescent="0.25">
      <c r="A67" s="170">
        <v>42100</v>
      </c>
      <c r="B67" s="116">
        <v>356.5</v>
      </c>
      <c r="C67" s="116">
        <v>355.30250000000001</v>
      </c>
      <c r="D67" s="116">
        <v>346.45</v>
      </c>
      <c r="E67" s="116">
        <v>349.41750000000002</v>
      </c>
      <c r="F67" s="116">
        <v>7106.05</v>
      </c>
      <c r="G67">
        <v>2263</v>
      </c>
      <c r="H67" s="116"/>
      <c r="I67" s="116"/>
      <c r="L67" s="170">
        <v>42100</v>
      </c>
      <c r="M67" s="116">
        <v>356.0675</v>
      </c>
      <c r="N67" s="116">
        <v>357.5</v>
      </c>
      <c r="O67" s="116">
        <v>346.32</v>
      </c>
      <c r="P67" s="116">
        <v>349.44499999999999</v>
      </c>
      <c r="Q67" s="116">
        <v>7121.35</v>
      </c>
      <c r="R67">
        <v>24913</v>
      </c>
    </row>
    <row r="68" spans="1:18" x14ac:dyDescent="0.25">
      <c r="A68" s="170">
        <v>42101</v>
      </c>
      <c r="B68" s="116">
        <v>357.85</v>
      </c>
      <c r="C68" s="116">
        <v>356.67500000000001</v>
      </c>
      <c r="D68" s="116">
        <v>352.47500000000002</v>
      </c>
      <c r="E68" s="116">
        <v>357.52499999999998</v>
      </c>
      <c r="F68" s="116">
        <v>7133.5</v>
      </c>
      <c r="G68">
        <v>1585</v>
      </c>
      <c r="H68" s="116"/>
      <c r="I68" s="116"/>
      <c r="L68" s="170">
        <v>42101</v>
      </c>
      <c r="M68" s="116">
        <v>357.8725</v>
      </c>
      <c r="N68" s="116">
        <v>358.7475</v>
      </c>
      <c r="O68" s="116">
        <v>353.20749999999998</v>
      </c>
      <c r="P68" s="116">
        <v>356.07</v>
      </c>
      <c r="Q68" s="116">
        <v>7157.45</v>
      </c>
      <c r="R68">
        <v>17718</v>
      </c>
    </row>
    <row r="69" spans="1:18" x14ac:dyDescent="0.25">
      <c r="A69" s="170">
        <v>42102</v>
      </c>
      <c r="B69" s="116">
        <v>358.36250000000001</v>
      </c>
      <c r="C69" s="116">
        <v>352.58</v>
      </c>
      <c r="D69" s="116">
        <v>350.05</v>
      </c>
      <c r="E69" s="116">
        <v>357.75</v>
      </c>
      <c r="F69" s="116">
        <v>7051.6</v>
      </c>
      <c r="G69">
        <v>823</v>
      </c>
      <c r="H69" s="116"/>
      <c r="I69" s="116"/>
      <c r="L69" s="170">
        <v>42102</v>
      </c>
      <c r="M69" s="116">
        <v>352.31</v>
      </c>
      <c r="N69" s="116">
        <v>358.40750000000003</v>
      </c>
      <c r="O69" s="116">
        <v>350.5</v>
      </c>
      <c r="P69" s="116">
        <v>357.3</v>
      </c>
      <c r="Q69" s="116">
        <v>7046.2</v>
      </c>
      <c r="R69">
        <v>12695</v>
      </c>
    </row>
    <row r="70" spans="1:18" x14ac:dyDescent="0.25">
      <c r="A70" s="170">
        <v>42103</v>
      </c>
      <c r="B70" s="116">
        <v>356.2</v>
      </c>
      <c r="C70" s="116">
        <v>354.45749999999998</v>
      </c>
      <c r="D70" s="116">
        <v>353.505</v>
      </c>
      <c r="E70" s="116">
        <v>355.41750000000002</v>
      </c>
      <c r="F70" s="116">
        <v>7089.15</v>
      </c>
      <c r="G70">
        <v>1261</v>
      </c>
      <c r="H70" s="116"/>
      <c r="I70" s="116"/>
      <c r="L70" s="170">
        <v>42103</v>
      </c>
      <c r="M70" s="116">
        <v>355.05</v>
      </c>
      <c r="N70" s="116">
        <v>355.6</v>
      </c>
      <c r="O70" s="116">
        <v>353</v>
      </c>
      <c r="P70" s="116">
        <v>353</v>
      </c>
      <c r="Q70" s="116">
        <v>7101</v>
      </c>
      <c r="R70">
        <v>30467</v>
      </c>
    </row>
    <row r="71" spans="1:18" x14ac:dyDescent="0.25">
      <c r="A71" s="170">
        <v>42104</v>
      </c>
      <c r="B71" s="116">
        <v>356.71499999999997</v>
      </c>
      <c r="C71" s="116">
        <v>354.38749999999999</v>
      </c>
      <c r="D71" s="116">
        <v>353.03</v>
      </c>
      <c r="E71" s="116">
        <v>356.2</v>
      </c>
      <c r="F71" s="116">
        <v>7087.75</v>
      </c>
      <c r="G71">
        <v>1707</v>
      </c>
      <c r="H71" s="116"/>
      <c r="I71" s="116"/>
      <c r="L71" s="170">
        <v>42104</v>
      </c>
      <c r="M71" s="116">
        <v>354.92500000000001</v>
      </c>
      <c r="N71" s="116">
        <v>356.98500000000001</v>
      </c>
      <c r="O71" s="116">
        <v>353.25</v>
      </c>
      <c r="P71" s="116">
        <v>356.1</v>
      </c>
      <c r="Q71" s="116">
        <v>7098.5</v>
      </c>
      <c r="R71">
        <v>44957</v>
      </c>
    </row>
    <row r="72" spans="1:18" x14ac:dyDescent="0.25">
      <c r="A72" s="170">
        <v>42107</v>
      </c>
      <c r="B72" s="116">
        <v>357.11750000000001</v>
      </c>
      <c r="C72" s="116">
        <v>355.71249999999998</v>
      </c>
      <c r="D72" s="116">
        <v>352.88749999999999</v>
      </c>
      <c r="E72" s="116">
        <v>354.75</v>
      </c>
      <c r="F72" s="116">
        <v>7114.25</v>
      </c>
      <c r="G72">
        <v>1137</v>
      </c>
      <c r="H72" s="116"/>
      <c r="I72" s="116"/>
      <c r="L72" s="170">
        <v>42107</v>
      </c>
      <c r="M72" s="116">
        <v>354.92750000000001</v>
      </c>
      <c r="N72" s="116">
        <v>355.9975</v>
      </c>
      <c r="O72" s="116">
        <v>353.31</v>
      </c>
      <c r="P72" s="116">
        <v>355.9975</v>
      </c>
      <c r="Q72" s="116">
        <v>7098.55</v>
      </c>
      <c r="R72">
        <v>29502</v>
      </c>
    </row>
    <row r="73" spans="1:18" x14ac:dyDescent="0.25">
      <c r="A73" s="170">
        <v>42109</v>
      </c>
      <c r="B73" s="116">
        <v>355.75</v>
      </c>
      <c r="C73" s="116">
        <v>352.17500000000001</v>
      </c>
      <c r="D73" s="116">
        <v>350.86250000000001</v>
      </c>
      <c r="E73" s="116">
        <v>355.75</v>
      </c>
      <c r="F73" s="116">
        <v>7043.5</v>
      </c>
      <c r="G73">
        <v>1344</v>
      </c>
      <c r="H73" s="116"/>
      <c r="I73" s="116"/>
      <c r="L73" s="170">
        <v>42109</v>
      </c>
      <c r="M73" s="116">
        <v>353.42</v>
      </c>
      <c r="N73" s="116">
        <v>355.46749999999997</v>
      </c>
      <c r="O73" s="116">
        <v>351.25</v>
      </c>
      <c r="P73" s="116">
        <v>355.05</v>
      </c>
      <c r="Q73" s="116">
        <v>7068.4</v>
      </c>
      <c r="R73">
        <v>23427</v>
      </c>
    </row>
    <row r="74" spans="1:18" x14ac:dyDescent="0.25">
      <c r="A74" s="170">
        <v>42110</v>
      </c>
      <c r="B74" s="116">
        <v>355.30250000000001</v>
      </c>
      <c r="C74" s="116">
        <v>351.09249999999997</v>
      </c>
      <c r="D74" s="116">
        <v>349.51249999999999</v>
      </c>
      <c r="E74" s="116">
        <v>352.78</v>
      </c>
      <c r="F74" s="116">
        <v>7021.85</v>
      </c>
      <c r="G74">
        <v>1227</v>
      </c>
      <c r="H74" s="116"/>
      <c r="I74" s="116"/>
      <c r="L74" s="170">
        <v>42110</v>
      </c>
      <c r="M74" s="116">
        <v>351.34</v>
      </c>
      <c r="N74" s="116">
        <v>354.75</v>
      </c>
      <c r="O74" s="116">
        <v>349.5</v>
      </c>
      <c r="P74" s="116">
        <v>353.42</v>
      </c>
      <c r="Q74" s="116">
        <v>7026.8</v>
      </c>
      <c r="R74">
        <v>26406</v>
      </c>
    </row>
    <row r="75" spans="1:18" x14ac:dyDescent="0.25">
      <c r="A75" s="170">
        <v>42111</v>
      </c>
      <c r="B75" s="116">
        <v>351.90249999999997</v>
      </c>
      <c r="C75" s="116">
        <v>349.31</v>
      </c>
      <c r="D75" s="116">
        <v>348.83749999999998</v>
      </c>
      <c r="E75" s="116">
        <v>351.90249999999997</v>
      </c>
      <c r="F75" s="116">
        <v>6986.2</v>
      </c>
      <c r="G75">
        <v>690</v>
      </c>
      <c r="H75" s="116"/>
      <c r="I75" s="116"/>
      <c r="L75" s="170">
        <v>42111</v>
      </c>
      <c r="M75" s="116">
        <v>350.04250000000002</v>
      </c>
      <c r="N75" s="116">
        <v>352.65</v>
      </c>
      <c r="O75" s="116">
        <v>349.5</v>
      </c>
      <c r="P75" s="116">
        <v>351.21249999999998</v>
      </c>
      <c r="Q75" s="116">
        <v>7000.85</v>
      </c>
      <c r="R75">
        <v>14346</v>
      </c>
    </row>
    <row r="76" spans="1:18" x14ac:dyDescent="0.25">
      <c r="A76" s="170">
        <v>42114</v>
      </c>
      <c r="B76" s="116">
        <v>350.95</v>
      </c>
      <c r="C76" s="116">
        <v>346.96749999999997</v>
      </c>
      <c r="D76" s="116">
        <v>345.95</v>
      </c>
      <c r="E76" s="116">
        <v>349.62</v>
      </c>
      <c r="F76" s="116">
        <v>6939.35</v>
      </c>
      <c r="G76">
        <v>992</v>
      </c>
      <c r="H76" s="116"/>
      <c r="I76" s="116"/>
      <c r="L76" s="170">
        <v>42114</v>
      </c>
      <c r="M76" s="116">
        <v>347.66</v>
      </c>
      <c r="N76" s="116">
        <v>350.5</v>
      </c>
      <c r="O76" s="116">
        <v>345</v>
      </c>
      <c r="P76" s="116">
        <v>350.05</v>
      </c>
      <c r="Q76" s="116">
        <v>6953.2</v>
      </c>
      <c r="R76">
        <v>15258</v>
      </c>
    </row>
    <row r="77" spans="1:18" x14ac:dyDescent="0.25">
      <c r="A77" s="170">
        <v>42115</v>
      </c>
      <c r="B77" s="116">
        <v>348.45</v>
      </c>
      <c r="C77" s="116">
        <v>344.3075</v>
      </c>
      <c r="D77" s="116">
        <v>343.8</v>
      </c>
      <c r="E77" s="116">
        <v>348.45</v>
      </c>
      <c r="F77" s="116">
        <v>6886.15</v>
      </c>
      <c r="G77">
        <v>696</v>
      </c>
      <c r="H77" s="116"/>
      <c r="I77" s="116"/>
      <c r="L77" s="170">
        <v>42115</v>
      </c>
      <c r="M77" s="116">
        <v>344.39249999999998</v>
      </c>
      <c r="N77" s="116">
        <v>349.99</v>
      </c>
      <c r="O77" s="116">
        <v>343.25</v>
      </c>
      <c r="P77" s="116">
        <v>349.99</v>
      </c>
      <c r="Q77" s="116">
        <v>6887.85</v>
      </c>
      <c r="R77">
        <v>11133</v>
      </c>
    </row>
    <row r="78" spans="1:18" x14ac:dyDescent="0.25">
      <c r="A78" s="170">
        <v>42116</v>
      </c>
      <c r="B78" s="116">
        <v>347.75</v>
      </c>
      <c r="C78" s="116">
        <v>342.39249999999998</v>
      </c>
      <c r="D78" s="116">
        <v>340.505</v>
      </c>
      <c r="E78" s="116">
        <v>344.5</v>
      </c>
      <c r="F78" s="116">
        <v>6847.85</v>
      </c>
      <c r="G78">
        <v>4468</v>
      </c>
      <c r="H78" s="116"/>
      <c r="I78" s="116"/>
      <c r="L78" s="170">
        <v>42116</v>
      </c>
      <c r="M78" s="116">
        <v>343.60250000000002</v>
      </c>
      <c r="N78" s="116">
        <v>347</v>
      </c>
      <c r="O78" s="116">
        <v>341.26499999999999</v>
      </c>
      <c r="P78" s="116">
        <v>344.35</v>
      </c>
      <c r="Q78" s="116">
        <v>6872.05</v>
      </c>
      <c r="R78">
        <v>17374</v>
      </c>
    </row>
    <row r="79" spans="1:18" x14ac:dyDescent="0.25">
      <c r="A79" s="170">
        <v>42117</v>
      </c>
      <c r="B79" s="116">
        <v>345.745</v>
      </c>
      <c r="C79" s="116">
        <v>345.17250000000001</v>
      </c>
      <c r="D79" s="116">
        <v>342.39499999999998</v>
      </c>
      <c r="E79" s="116">
        <v>343.71749999999997</v>
      </c>
      <c r="F79" s="116">
        <v>6903.45</v>
      </c>
      <c r="G79">
        <v>574</v>
      </c>
      <c r="H79" s="116"/>
      <c r="I79" s="116"/>
      <c r="L79" s="170">
        <v>42117</v>
      </c>
      <c r="M79" s="116">
        <v>345.435</v>
      </c>
      <c r="N79" s="116">
        <v>346.7</v>
      </c>
      <c r="O79" s="116">
        <v>343.3</v>
      </c>
      <c r="P79" s="116">
        <v>346.7</v>
      </c>
      <c r="Q79" s="116">
        <v>6908.7</v>
      </c>
      <c r="R79">
        <v>35827</v>
      </c>
    </row>
    <row r="80" spans="1:18" x14ac:dyDescent="0.25">
      <c r="A80" s="170">
        <v>42118</v>
      </c>
      <c r="B80" s="116">
        <v>346.02249999999998</v>
      </c>
      <c r="C80" s="116">
        <v>342.5</v>
      </c>
      <c r="D80" s="116">
        <v>338.86750000000001</v>
      </c>
      <c r="E80" s="116">
        <v>345.45</v>
      </c>
      <c r="F80" s="116">
        <v>6850</v>
      </c>
      <c r="G80">
        <v>675</v>
      </c>
      <c r="H80" s="116"/>
      <c r="I80" s="116"/>
      <c r="L80" s="170">
        <v>42118</v>
      </c>
      <c r="M80" s="116">
        <v>342.48750000000001</v>
      </c>
      <c r="N80" s="116">
        <v>347.5</v>
      </c>
      <c r="O80" s="116">
        <v>339.005</v>
      </c>
      <c r="P80" s="116">
        <v>347.5</v>
      </c>
      <c r="Q80" s="116">
        <v>6849.75</v>
      </c>
      <c r="R80">
        <v>10639</v>
      </c>
    </row>
    <row r="81" spans="1:18" x14ac:dyDescent="0.25">
      <c r="A81" s="170">
        <v>42121</v>
      </c>
      <c r="B81" s="116">
        <v>342.59500000000003</v>
      </c>
      <c r="C81" s="116">
        <v>341.25</v>
      </c>
      <c r="D81" s="116">
        <v>337.5</v>
      </c>
      <c r="E81" s="116">
        <v>342.51</v>
      </c>
      <c r="F81" s="116">
        <v>6825</v>
      </c>
      <c r="G81">
        <v>1030</v>
      </c>
      <c r="H81" s="116"/>
      <c r="I81" s="116"/>
      <c r="L81" s="170">
        <v>42121</v>
      </c>
      <c r="M81" s="116">
        <v>342.40499999999997</v>
      </c>
      <c r="N81" s="116">
        <v>343.4</v>
      </c>
      <c r="O81" s="116">
        <v>338.04500000000002</v>
      </c>
      <c r="P81" s="116">
        <v>342.45</v>
      </c>
      <c r="Q81" s="116">
        <v>6848.1</v>
      </c>
      <c r="R81">
        <v>34239</v>
      </c>
    </row>
    <row r="82" spans="1:18" x14ac:dyDescent="0.25">
      <c r="A82" s="170">
        <v>42122</v>
      </c>
      <c r="B82" s="116">
        <v>344.495</v>
      </c>
      <c r="C82" s="116">
        <v>342.16</v>
      </c>
      <c r="D82" s="116">
        <v>340</v>
      </c>
      <c r="E82" s="116">
        <v>342.32499999999999</v>
      </c>
      <c r="F82" s="116">
        <v>6843.2</v>
      </c>
      <c r="G82">
        <v>1055</v>
      </c>
      <c r="H82" s="116"/>
      <c r="I82" s="116"/>
      <c r="L82" s="170">
        <v>42122</v>
      </c>
      <c r="M82" s="116">
        <v>341.84249999999997</v>
      </c>
      <c r="N82" s="116">
        <v>342.495</v>
      </c>
      <c r="O82" s="116">
        <v>339.77249999999998</v>
      </c>
      <c r="P82" s="116">
        <v>342</v>
      </c>
      <c r="Q82" s="116">
        <v>6836.85</v>
      </c>
      <c r="R82">
        <v>25326</v>
      </c>
    </row>
    <row r="83" spans="1:18" x14ac:dyDescent="0.25">
      <c r="A83" s="170">
        <v>42123</v>
      </c>
      <c r="B83" s="116">
        <v>342.72500000000002</v>
      </c>
      <c r="C83" s="116">
        <v>328.52749999999997</v>
      </c>
      <c r="D83" s="116">
        <v>327.2</v>
      </c>
      <c r="E83" s="116">
        <v>341.8</v>
      </c>
      <c r="F83" s="116">
        <v>6570.55</v>
      </c>
      <c r="G83">
        <v>4692</v>
      </c>
      <c r="H83" s="116"/>
      <c r="I83" s="116"/>
      <c r="L83" s="170">
        <v>42123</v>
      </c>
      <c r="M83" s="116">
        <v>328.27249999999998</v>
      </c>
      <c r="N83" s="116">
        <v>343.9975</v>
      </c>
      <c r="O83" s="116">
        <v>326.25</v>
      </c>
      <c r="P83" s="116">
        <v>343.9975</v>
      </c>
      <c r="Q83" s="116">
        <v>6565.45</v>
      </c>
      <c r="R83">
        <v>41655</v>
      </c>
    </row>
    <row r="84" spans="1:18" x14ac:dyDescent="0.25">
      <c r="A84" s="170">
        <v>42124</v>
      </c>
      <c r="B84" s="116">
        <v>334.95</v>
      </c>
      <c r="C84" s="116">
        <v>329.04500000000002</v>
      </c>
      <c r="D84" s="116">
        <v>326.96249999999998</v>
      </c>
      <c r="E84" s="116">
        <v>328.5</v>
      </c>
      <c r="F84" s="116">
        <v>6580.9</v>
      </c>
      <c r="G84">
        <v>2012</v>
      </c>
      <c r="H84" s="116"/>
      <c r="I84" s="116"/>
      <c r="L84" s="170">
        <v>42124</v>
      </c>
      <c r="M84" s="116">
        <v>328.63</v>
      </c>
      <c r="N84" s="116">
        <v>335.4975</v>
      </c>
      <c r="O84" s="116">
        <v>326.29500000000002</v>
      </c>
      <c r="P84" s="116">
        <v>328.26</v>
      </c>
      <c r="Q84" s="116">
        <v>6572.6</v>
      </c>
      <c r="R84">
        <v>42919</v>
      </c>
    </row>
    <row r="85" spans="1:18" x14ac:dyDescent="0.25">
      <c r="A85" s="170">
        <v>42128</v>
      </c>
      <c r="B85" s="116">
        <v>340.5</v>
      </c>
      <c r="C85" s="116">
        <v>340.005</v>
      </c>
      <c r="D85" s="116">
        <v>330.5</v>
      </c>
      <c r="E85" s="116">
        <v>330.5</v>
      </c>
      <c r="F85" s="116">
        <v>6800.1</v>
      </c>
      <c r="G85">
        <v>2040</v>
      </c>
      <c r="H85" s="116"/>
      <c r="I85" s="116"/>
      <c r="L85" s="170">
        <v>42128</v>
      </c>
      <c r="M85" s="116">
        <v>340.07249999999999</v>
      </c>
      <c r="N85" s="116">
        <v>340.5</v>
      </c>
      <c r="O85" s="116">
        <v>331.17</v>
      </c>
      <c r="P85" s="116">
        <v>333</v>
      </c>
      <c r="Q85" s="116">
        <v>6801.45</v>
      </c>
      <c r="R85">
        <v>16941</v>
      </c>
    </row>
    <row r="86" spans="1:18" x14ac:dyDescent="0.25">
      <c r="A86" s="170">
        <v>42129</v>
      </c>
      <c r="B86" s="116">
        <v>341.3</v>
      </c>
      <c r="C86" s="116">
        <v>340.4975</v>
      </c>
      <c r="D86" s="116">
        <v>339</v>
      </c>
      <c r="E86" s="116">
        <v>339.95</v>
      </c>
      <c r="F86" s="116">
        <v>6809.95</v>
      </c>
      <c r="G86">
        <v>721</v>
      </c>
      <c r="H86" s="116"/>
      <c r="I86" s="116"/>
      <c r="L86" s="170">
        <v>42129</v>
      </c>
      <c r="M86" s="116">
        <v>340.37</v>
      </c>
      <c r="N86" s="116">
        <v>341.75</v>
      </c>
      <c r="O86" s="116">
        <v>338.6</v>
      </c>
      <c r="P86" s="116">
        <v>340.45</v>
      </c>
      <c r="Q86" s="116">
        <v>6807.4</v>
      </c>
      <c r="R86">
        <v>14582</v>
      </c>
    </row>
    <row r="87" spans="1:18" x14ac:dyDescent="0.25">
      <c r="A87" s="170">
        <v>42130</v>
      </c>
      <c r="B87" s="116">
        <v>341.34500000000003</v>
      </c>
      <c r="C87" s="116">
        <v>339.76249999999999</v>
      </c>
      <c r="D87" s="116">
        <v>337.8</v>
      </c>
      <c r="E87" s="116">
        <v>339.97500000000002</v>
      </c>
      <c r="F87" s="116">
        <v>6795.25</v>
      </c>
      <c r="G87">
        <v>705</v>
      </c>
      <c r="H87" s="116"/>
      <c r="I87" s="116"/>
      <c r="L87" s="170">
        <v>42130</v>
      </c>
      <c r="M87" s="116">
        <v>340.13749999999999</v>
      </c>
      <c r="N87" s="116">
        <v>341</v>
      </c>
      <c r="O87" s="116">
        <v>337.8125</v>
      </c>
      <c r="P87" s="116">
        <v>340.47</v>
      </c>
      <c r="Q87" s="116">
        <v>6802.75</v>
      </c>
      <c r="R87">
        <v>17433</v>
      </c>
    </row>
    <row r="88" spans="1:18" x14ac:dyDescent="0.25">
      <c r="A88" s="170">
        <v>42131</v>
      </c>
      <c r="B88" s="116">
        <v>340.34750000000003</v>
      </c>
      <c r="C88" s="116">
        <v>338.02</v>
      </c>
      <c r="D88" s="116">
        <v>337.5</v>
      </c>
      <c r="E88" s="116">
        <v>340.2</v>
      </c>
      <c r="F88" s="116">
        <v>6760.4</v>
      </c>
      <c r="G88">
        <v>877</v>
      </c>
      <c r="H88" s="116"/>
      <c r="I88" s="116"/>
      <c r="L88" s="170">
        <v>42131</v>
      </c>
      <c r="M88" s="116">
        <v>338.3775</v>
      </c>
      <c r="N88" s="116">
        <v>342.5</v>
      </c>
      <c r="O88" s="116">
        <v>336.25</v>
      </c>
      <c r="P88" s="116">
        <v>342.5</v>
      </c>
      <c r="Q88" s="116">
        <v>6767.55</v>
      </c>
      <c r="R88">
        <v>28509</v>
      </c>
    </row>
    <row r="89" spans="1:18" x14ac:dyDescent="0.25">
      <c r="A89" s="170">
        <v>42132</v>
      </c>
      <c r="B89" s="116">
        <v>345</v>
      </c>
      <c r="C89" s="116">
        <v>340.27749999999997</v>
      </c>
      <c r="D89" s="116">
        <v>338.25</v>
      </c>
      <c r="E89" s="116">
        <v>340</v>
      </c>
      <c r="F89" s="116">
        <v>6805.55</v>
      </c>
      <c r="G89">
        <v>951</v>
      </c>
      <c r="H89" s="116"/>
      <c r="I89" s="116"/>
      <c r="L89" s="170">
        <v>42132</v>
      </c>
      <c r="M89" s="116">
        <v>339.815</v>
      </c>
      <c r="N89" s="116">
        <v>343.4975</v>
      </c>
      <c r="O89" s="116">
        <v>338.05</v>
      </c>
      <c r="P89" s="116">
        <v>338.05</v>
      </c>
      <c r="Q89" s="116">
        <v>6796.3</v>
      </c>
      <c r="R89">
        <v>22452</v>
      </c>
    </row>
    <row r="90" spans="1:18" x14ac:dyDescent="0.25">
      <c r="A90" s="170">
        <v>42135</v>
      </c>
      <c r="B90" s="116">
        <v>342.55250000000001</v>
      </c>
      <c r="C90" s="116">
        <v>340.77499999999998</v>
      </c>
      <c r="D90" s="116">
        <v>338.7</v>
      </c>
      <c r="E90" s="116">
        <v>340.5</v>
      </c>
      <c r="F90" s="116">
        <v>6815.5</v>
      </c>
      <c r="G90">
        <v>659</v>
      </c>
      <c r="H90" s="116"/>
      <c r="I90" s="116"/>
      <c r="L90" s="170">
        <v>42135</v>
      </c>
      <c r="M90" s="116">
        <v>340.315</v>
      </c>
      <c r="N90" s="116">
        <v>343.5</v>
      </c>
      <c r="O90" s="116">
        <v>338.16</v>
      </c>
      <c r="P90" s="116">
        <v>342.84500000000003</v>
      </c>
      <c r="Q90" s="116">
        <v>6806.3</v>
      </c>
      <c r="R90">
        <v>39358</v>
      </c>
    </row>
    <row r="91" spans="1:18" x14ac:dyDescent="0.25">
      <c r="A91" s="170">
        <v>42136</v>
      </c>
      <c r="B91" s="116">
        <v>341.78</v>
      </c>
      <c r="C91" s="116">
        <v>335.3075</v>
      </c>
      <c r="D91" s="116">
        <v>334</v>
      </c>
      <c r="E91" s="116">
        <v>340.75</v>
      </c>
      <c r="F91" s="116">
        <v>6706.15</v>
      </c>
      <c r="G91">
        <v>1746</v>
      </c>
      <c r="H91" s="116"/>
      <c r="I91" s="116"/>
      <c r="L91" s="170">
        <v>42136</v>
      </c>
      <c r="M91" s="116">
        <v>335.22250000000003</v>
      </c>
      <c r="N91" s="116">
        <v>342.25</v>
      </c>
      <c r="O91" s="116">
        <v>334</v>
      </c>
      <c r="P91" s="116">
        <v>340.61</v>
      </c>
      <c r="Q91" s="116">
        <v>6704.45</v>
      </c>
      <c r="R91">
        <v>38069</v>
      </c>
    </row>
    <row r="92" spans="1:18" x14ac:dyDescent="0.25">
      <c r="A92" s="170">
        <v>42137</v>
      </c>
      <c r="B92" s="116">
        <v>340.32249999999999</v>
      </c>
      <c r="C92" s="116">
        <v>334.97500000000002</v>
      </c>
      <c r="D92" s="116">
        <v>332.95</v>
      </c>
      <c r="E92" s="116">
        <v>338.55</v>
      </c>
      <c r="F92" s="116">
        <v>6699.5</v>
      </c>
      <c r="G92">
        <v>8290</v>
      </c>
      <c r="H92" s="116"/>
      <c r="I92" s="116"/>
      <c r="L92" s="170">
        <v>42137</v>
      </c>
      <c r="M92" s="116">
        <v>335.07499999999999</v>
      </c>
      <c r="N92" s="116">
        <v>340.53250000000003</v>
      </c>
      <c r="O92" s="116">
        <v>332.5</v>
      </c>
      <c r="P92" s="116">
        <v>335.26499999999999</v>
      </c>
      <c r="Q92" s="116">
        <v>6701.5</v>
      </c>
      <c r="R92">
        <v>34511</v>
      </c>
    </row>
    <row r="93" spans="1:18" x14ac:dyDescent="0.25">
      <c r="A93" s="170">
        <v>42138</v>
      </c>
      <c r="B93" s="116">
        <v>345.61250000000001</v>
      </c>
      <c r="C93" s="116">
        <v>341.4975</v>
      </c>
      <c r="D93" s="116">
        <v>336.76249999999999</v>
      </c>
      <c r="E93" s="116">
        <v>336.76249999999999</v>
      </c>
      <c r="F93" s="116">
        <v>6829.95</v>
      </c>
      <c r="G93">
        <v>1857</v>
      </c>
      <c r="H93" s="116"/>
      <c r="I93" s="116"/>
      <c r="L93" s="170">
        <v>42138</v>
      </c>
      <c r="M93" s="116">
        <v>342.72500000000002</v>
      </c>
      <c r="N93" s="116">
        <v>345.98500000000001</v>
      </c>
      <c r="O93" s="116">
        <v>335.25</v>
      </c>
      <c r="P93" s="116">
        <v>335.25</v>
      </c>
      <c r="Q93" s="116">
        <v>6854.5</v>
      </c>
      <c r="R93">
        <v>20242</v>
      </c>
    </row>
    <row r="94" spans="1:18" x14ac:dyDescent="0.25">
      <c r="A94" s="170">
        <v>42139</v>
      </c>
      <c r="B94" s="116">
        <v>351.9</v>
      </c>
      <c r="C94" s="116">
        <v>350.64</v>
      </c>
      <c r="D94" s="116">
        <v>342.75</v>
      </c>
      <c r="E94" s="116">
        <v>342.75</v>
      </c>
      <c r="F94" s="116">
        <v>7012.8</v>
      </c>
      <c r="G94">
        <v>3744</v>
      </c>
      <c r="H94" s="116"/>
      <c r="I94" s="116"/>
      <c r="L94" s="170">
        <v>42139</v>
      </c>
      <c r="M94" s="116">
        <v>351.565</v>
      </c>
      <c r="N94" s="116">
        <v>352.5</v>
      </c>
      <c r="O94" s="116">
        <v>343.00749999999999</v>
      </c>
      <c r="P94" s="116">
        <v>343.75</v>
      </c>
      <c r="Q94" s="116">
        <v>7031.3</v>
      </c>
      <c r="R94">
        <v>23138</v>
      </c>
    </row>
    <row r="95" spans="1:18" x14ac:dyDescent="0.25">
      <c r="A95" s="170">
        <v>42142</v>
      </c>
      <c r="B95" s="116">
        <v>366.35</v>
      </c>
      <c r="C95" s="116">
        <v>353.45</v>
      </c>
      <c r="D95" s="116">
        <v>347.25</v>
      </c>
      <c r="E95" s="116">
        <v>355.55</v>
      </c>
      <c r="F95" s="116">
        <v>7069</v>
      </c>
      <c r="G95">
        <v>3981</v>
      </c>
      <c r="H95" s="116"/>
      <c r="I95" s="116"/>
      <c r="L95" s="170">
        <v>42142</v>
      </c>
      <c r="M95" s="116">
        <v>353.86750000000001</v>
      </c>
      <c r="N95" s="116">
        <v>367.45</v>
      </c>
      <c r="O95" s="116">
        <v>347.05</v>
      </c>
      <c r="P95" s="116">
        <v>355.005</v>
      </c>
      <c r="Q95" s="116">
        <v>7077.35</v>
      </c>
      <c r="R95">
        <v>37666</v>
      </c>
    </row>
    <row r="96" spans="1:18" x14ac:dyDescent="0.25">
      <c r="A96" s="170">
        <v>42143</v>
      </c>
      <c r="B96" s="116">
        <v>357.24</v>
      </c>
      <c r="C96" s="116">
        <v>350.38749999999999</v>
      </c>
      <c r="D96" s="116">
        <v>344.50749999999999</v>
      </c>
      <c r="E96" s="116">
        <v>353</v>
      </c>
      <c r="F96" s="116">
        <v>7007.75</v>
      </c>
      <c r="G96">
        <v>3017</v>
      </c>
      <c r="H96" s="116"/>
      <c r="I96" s="116"/>
      <c r="L96" s="170">
        <v>42143</v>
      </c>
      <c r="M96" s="116">
        <v>351.435</v>
      </c>
      <c r="N96" s="116">
        <v>357.89749999999998</v>
      </c>
      <c r="O96" s="116">
        <v>345.125</v>
      </c>
      <c r="P96" s="116">
        <v>355</v>
      </c>
      <c r="Q96" s="116">
        <v>7028.7</v>
      </c>
      <c r="R96">
        <v>26114</v>
      </c>
    </row>
    <row r="97" spans="1:18" x14ac:dyDescent="0.25">
      <c r="A97" s="170">
        <v>42144</v>
      </c>
      <c r="B97" s="116">
        <v>354.95</v>
      </c>
      <c r="C97" s="116">
        <v>347.45749999999998</v>
      </c>
      <c r="D97" s="116">
        <v>342.92500000000001</v>
      </c>
      <c r="E97" s="116">
        <v>354.95</v>
      </c>
      <c r="F97" s="116">
        <v>6949.15</v>
      </c>
      <c r="G97">
        <v>2227</v>
      </c>
      <c r="H97" s="116"/>
      <c r="I97" s="116"/>
      <c r="L97" s="170">
        <v>42144</v>
      </c>
      <c r="M97" s="116">
        <v>348.08</v>
      </c>
      <c r="N97" s="116">
        <v>355.815</v>
      </c>
      <c r="O97" s="116">
        <v>342.75</v>
      </c>
      <c r="P97" s="116">
        <v>353.435</v>
      </c>
      <c r="Q97" s="116">
        <v>6961.6</v>
      </c>
      <c r="R97">
        <v>30255</v>
      </c>
    </row>
    <row r="98" spans="1:18" x14ac:dyDescent="0.25">
      <c r="A98" s="170">
        <v>42145</v>
      </c>
      <c r="B98" s="116">
        <v>349.95</v>
      </c>
      <c r="C98" s="116">
        <v>347.51499999999999</v>
      </c>
      <c r="D98" s="116">
        <v>341.45</v>
      </c>
      <c r="E98" s="116">
        <v>343.75</v>
      </c>
      <c r="F98" s="116">
        <v>6950.3</v>
      </c>
      <c r="G98">
        <v>3305</v>
      </c>
      <c r="H98" s="116"/>
      <c r="I98" s="116"/>
      <c r="L98" s="170">
        <v>42145</v>
      </c>
      <c r="M98" s="116">
        <v>347.44499999999999</v>
      </c>
      <c r="N98" s="116">
        <v>349.95</v>
      </c>
      <c r="O98" s="116">
        <v>341.5</v>
      </c>
      <c r="P98" s="116">
        <v>343.745</v>
      </c>
      <c r="Q98" s="116">
        <v>6948.9</v>
      </c>
      <c r="R98">
        <v>30907</v>
      </c>
    </row>
    <row r="99" spans="1:18" x14ac:dyDescent="0.25">
      <c r="A99" s="170">
        <v>42146</v>
      </c>
      <c r="B99" s="116">
        <v>356.26249999999999</v>
      </c>
      <c r="C99" s="116">
        <v>349.82749999999999</v>
      </c>
      <c r="D99" s="116">
        <v>345.97250000000003</v>
      </c>
      <c r="E99" s="116">
        <v>347.2</v>
      </c>
      <c r="F99" s="116">
        <v>6996.55</v>
      </c>
      <c r="G99">
        <v>2755</v>
      </c>
      <c r="H99" s="116"/>
      <c r="I99" s="116"/>
      <c r="L99" s="170">
        <v>42146</v>
      </c>
      <c r="M99" s="116">
        <v>349.79500000000002</v>
      </c>
      <c r="N99" s="116">
        <v>355.97500000000002</v>
      </c>
      <c r="O99" s="116">
        <v>346.40249999999997</v>
      </c>
      <c r="P99" s="116">
        <v>347.5</v>
      </c>
      <c r="Q99" s="116">
        <v>6995.9</v>
      </c>
      <c r="R99">
        <v>42396</v>
      </c>
    </row>
    <row r="100" spans="1:18" x14ac:dyDescent="0.25">
      <c r="A100" s="170">
        <v>42149</v>
      </c>
      <c r="B100" s="116">
        <v>350</v>
      </c>
      <c r="C100" s="116">
        <v>347.23</v>
      </c>
      <c r="D100" s="116">
        <v>342.6</v>
      </c>
      <c r="E100" s="116">
        <v>342.6</v>
      </c>
      <c r="F100" s="116">
        <v>6944.6</v>
      </c>
      <c r="G100">
        <v>1329</v>
      </c>
      <c r="H100" s="116"/>
      <c r="I100" s="116"/>
      <c r="L100" s="170">
        <v>42149</v>
      </c>
      <c r="M100" s="116">
        <v>346.83</v>
      </c>
      <c r="N100" s="116">
        <v>350.69499999999999</v>
      </c>
      <c r="O100" s="116">
        <v>345.25</v>
      </c>
      <c r="P100" s="116">
        <v>346.3</v>
      </c>
      <c r="Q100" s="116">
        <v>6936.6</v>
      </c>
      <c r="R100">
        <v>12915</v>
      </c>
    </row>
    <row r="101" spans="1:18" x14ac:dyDescent="0.25">
      <c r="A101" s="170">
        <v>42150</v>
      </c>
      <c r="B101" s="116">
        <v>349.65</v>
      </c>
      <c r="C101" s="116">
        <v>340.38249999999999</v>
      </c>
      <c r="D101" s="116">
        <v>327.55</v>
      </c>
      <c r="E101" s="116">
        <v>348.73250000000002</v>
      </c>
      <c r="F101" s="116">
        <v>6807.65</v>
      </c>
      <c r="G101">
        <v>7725</v>
      </c>
      <c r="H101" s="116"/>
      <c r="I101" s="116"/>
      <c r="L101" s="170">
        <v>42150</v>
      </c>
      <c r="M101" s="116">
        <v>340.26749999999998</v>
      </c>
      <c r="N101" s="116">
        <v>349.65</v>
      </c>
      <c r="O101" s="116">
        <v>326.755</v>
      </c>
      <c r="P101" s="116">
        <v>348</v>
      </c>
      <c r="Q101" s="116">
        <v>6805.35</v>
      </c>
      <c r="R101">
        <v>62840</v>
      </c>
    </row>
    <row r="102" spans="1:18" x14ac:dyDescent="0.25">
      <c r="A102" s="170">
        <v>42151</v>
      </c>
      <c r="B102" s="116">
        <v>355.85</v>
      </c>
      <c r="C102" s="116">
        <v>353.24250000000001</v>
      </c>
      <c r="D102" s="116">
        <v>339.45499999999998</v>
      </c>
      <c r="E102" s="116">
        <v>340.2</v>
      </c>
      <c r="F102" s="116">
        <v>7064.85</v>
      </c>
      <c r="G102">
        <v>6006</v>
      </c>
      <c r="H102" s="116"/>
      <c r="I102" s="116"/>
      <c r="L102" s="170">
        <v>42151</v>
      </c>
      <c r="M102" s="116">
        <v>353.125</v>
      </c>
      <c r="N102" s="116">
        <v>356.75</v>
      </c>
      <c r="O102" s="116">
        <v>338.8</v>
      </c>
      <c r="P102" s="116">
        <v>340.26749999999998</v>
      </c>
      <c r="Q102" s="116">
        <v>7062.5</v>
      </c>
      <c r="R102">
        <v>61700</v>
      </c>
    </row>
    <row r="103" spans="1:18" x14ac:dyDescent="0.25">
      <c r="A103" s="170">
        <v>42152</v>
      </c>
      <c r="B103" s="116">
        <v>360</v>
      </c>
      <c r="C103" s="116">
        <v>351.9325</v>
      </c>
      <c r="D103" s="116">
        <v>347.6825</v>
      </c>
      <c r="E103" s="116">
        <v>354</v>
      </c>
      <c r="F103" s="116">
        <v>7038.65</v>
      </c>
      <c r="G103">
        <v>2976</v>
      </c>
      <c r="H103" s="116"/>
      <c r="I103" s="116"/>
      <c r="L103" s="170">
        <v>42152</v>
      </c>
      <c r="M103" s="116">
        <v>352.88249999999999</v>
      </c>
      <c r="N103" s="116">
        <v>360.5</v>
      </c>
      <c r="O103" s="116">
        <v>347.77499999999998</v>
      </c>
      <c r="P103" s="116">
        <v>354.5</v>
      </c>
      <c r="Q103" s="116">
        <v>7057.65</v>
      </c>
      <c r="R103">
        <v>34215</v>
      </c>
    </row>
    <row r="104" spans="1:18" x14ac:dyDescent="0.25">
      <c r="A104" s="170">
        <v>42153</v>
      </c>
      <c r="B104" s="116">
        <v>352.495</v>
      </c>
      <c r="C104" s="116">
        <v>342.85500000000002</v>
      </c>
      <c r="D104" s="116">
        <v>328.33249999999998</v>
      </c>
      <c r="E104" s="116">
        <v>351.85</v>
      </c>
      <c r="F104" s="116">
        <v>6857.1</v>
      </c>
      <c r="G104">
        <v>9449</v>
      </c>
      <c r="H104" s="116"/>
      <c r="I104" s="116"/>
      <c r="L104" s="170">
        <v>42153</v>
      </c>
      <c r="M104" s="116">
        <v>337.57749999999999</v>
      </c>
      <c r="N104" s="116">
        <v>352.88249999999999</v>
      </c>
      <c r="O104" s="116">
        <v>328.24</v>
      </c>
      <c r="P104" s="116">
        <v>349.6</v>
      </c>
      <c r="Q104" s="116">
        <v>6751.55</v>
      </c>
      <c r="R104">
        <v>108338</v>
      </c>
    </row>
    <row r="105" spans="1:18" x14ac:dyDescent="0.25">
      <c r="A105" s="170">
        <v>42156</v>
      </c>
      <c r="B105" s="116">
        <v>337.55</v>
      </c>
      <c r="C105" s="116">
        <v>333.59249999999997</v>
      </c>
      <c r="D105" s="116">
        <v>327.75</v>
      </c>
      <c r="E105" s="116">
        <v>337.55</v>
      </c>
      <c r="F105" s="116">
        <v>6671.85</v>
      </c>
      <c r="G105">
        <v>9854</v>
      </c>
      <c r="H105" s="116"/>
      <c r="I105" s="116"/>
      <c r="L105" s="170">
        <v>42156</v>
      </c>
      <c r="M105" s="116">
        <v>333.51</v>
      </c>
      <c r="N105" s="116">
        <v>336.65</v>
      </c>
      <c r="O105" s="116">
        <v>326.54750000000001</v>
      </c>
      <c r="P105" s="116">
        <v>335</v>
      </c>
      <c r="Q105" s="116">
        <v>6670.2</v>
      </c>
      <c r="R105">
        <v>68323</v>
      </c>
    </row>
    <row r="106" spans="1:18" x14ac:dyDescent="0.25">
      <c r="A106" s="170">
        <v>42157</v>
      </c>
      <c r="B106" s="116">
        <v>349.3725</v>
      </c>
      <c r="C106" s="116">
        <v>340.3725</v>
      </c>
      <c r="D106" s="116">
        <v>337</v>
      </c>
      <c r="E106" s="116">
        <v>337</v>
      </c>
      <c r="F106" s="116">
        <v>6807.45</v>
      </c>
      <c r="G106">
        <v>8842</v>
      </c>
      <c r="H106" s="116"/>
      <c r="I106" s="116"/>
      <c r="L106" s="170">
        <v>42157</v>
      </c>
      <c r="M106" s="116">
        <v>340.16250000000002</v>
      </c>
      <c r="N106" s="116">
        <v>349.995</v>
      </c>
      <c r="O106" s="116">
        <v>337.75749999999999</v>
      </c>
      <c r="P106" s="116">
        <v>338.6</v>
      </c>
      <c r="Q106" s="116">
        <v>6803.25</v>
      </c>
      <c r="R106">
        <v>75154</v>
      </c>
    </row>
    <row r="107" spans="1:18" x14ac:dyDescent="0.25">
      <c r="A107" s="170">
        <v>42158</v>
      </c>
      <c r="B107" s="116">
        <v>326.64999999999998</v>
      </c>
      <c r="C107" s="116">
        <v>309.55500000000001</v>
      </c>
      <c r="D107" s="116">
        <v>300</v>
      </c>
      <c r="E107" s="116">
        <v>326.64999999999998</v>
      </c>
      <c r="F107" s="116">
        <v>6191.1</v>
      </c>
      <c r="G107">
        <v>73051</v>
      </c>
      <c r="H107" s="116"/>
      <c r="I107" s="116"/>
      <c r="L107" s="170">
        <v>42158</v>
      </c>
      <c r="M107" s="116">
        <v>309.34750000000003</v>
      </c>
      <c r="N107" s="116">
        <v>326.64999999999998</v>
      </c>
      <c r="O107" s="116">
        <v>299</v>
      </c>
      <c r="P107" s="116">
        <v>325</v>
      </c>
      <c r="Q107" s="116">
        <v>6186.95</v>
      </c>
      <c r="R107">
        <v>390444</v>
      </c>
    </row>
    <row r="108" spans="1:18" x14ac:dyDescent="0.25">
      <c r="A108" s="170">
        <v>42159</v>
      </c>
      <c r="B108" s="116">
        <v>303</v>
      </c>
      <c r="C108" s="116">
        <v>300.54000000000002</v>
      </c>
      <c r="D108" s="116">
        <v>290.005</v>
      </c>
      <c r="E108" s="116">
        <v>295</v>
      </c>
      <c r="F108" s="116">
        <v>6010.8</v>
      </c>
      <c r="G108">
        <v>71519</v>
      </c>
      <c r="H108" s="116"/>
      <c r="I108" s="116"/>
      <c r="L108" s="170">
        <v>42159</v>
      </c>
      <c r="M108" s="116">
        <v>300.22250000000003</v>
      </c>
      <c r="N108" s="116">
        <v>302.5</v>
      </c>
      <c r="O108" s="116">
        <v>290.02749999999997</v>
      </c>
      <c r="P108" s="116">
        <v>294</v>
      </c>
      <c r="Q108" s="116">
        <v>6004.45</v>
      </c>
      <c r="R108">
        <v>430477</v>
      </c>
    </row>
    <row r="109" spans="1:18" x14ac:dyDescent="0.25">
      <c r="A109" s="170">
        <v>42160</v>
      </c>
      <c r="B109" s="116">
        <v>306.35000000000002</v>
      </c>
      <c r="C109" s="116">
        <v>299.85500000000002</v>
      </c>
      <c r="D109" s="116">
        <v>285.91000000000003</v>
      </c>
      <c r="E109" s="116">
        <v>292.5</v>
      </c>
      <c r="F109" s="116">
        <v>5997.1</v>
      </c>
      <c r="G109">
        <v>107145</v>
      </c>
      <c r="H109" s="116"/>
      <c r="I109" s="116"/>
      <c r="L109" s="170">
        <v>42160</v>
      </c>
      <c r="M109" s="116">
        <v>300.58</v>
      </c>
      <c r="N109" s="116">
        <v>306.25</v>
      </c>
      <c r="O109" s="116">
        <v>285.55</v>
      </c>
      <c r="P109" s="116">
        <v>291.5</v>
      </c>
      <c r="Q109" s="116">
        <v>6011.6</v>
      </c>
      <c r="R109">
        <v>756189</v>
      </c>
    </row>
    <row r="110" spans="1:18" x14ac:dyDescent="0.25">
      <c r="A110" s="170">
        <v>42163</v>
      </c>
      <c r="B110" s="116">
        <v>293.8</v>
      </c>
      <c r="C110" s="116">
        <v>276.99</v>
      </c>
      <c r="D110" s="116">
        <v>274.95</v>
      </c>
      <c r="E110" s="116">
        <v>293.8</v>
      </c>
      <c r="F110" s="116">
        <v>5539.8</v>
      </c>
      <c r="G110">
        <v>62024</v>
      </c>
      <c r="H110" s="116"/>
      <c r="I110" s="116"/>
      <c r="L110" s="170">
        <v>42163</v>
      </c>
      <c r="M110" s="116">
        <v>278.45</v>
      </c>
      <c r="N110" s="116">
        <v>292.5</v>
      </c>
      <c r="O110" s="116">
        <v>275.05</v>
      </c>
      <c r="P110" s="116">
        <v>292.5</v>
      </c>
      <c r="Q110" s="116">
        <v>5569</v>
      </c>
      <c r="R110">
        <v>344869</v>
      </c>
    </row>
    <row r="111" spans="1:18" x14ac:dyDescent="0.25">
      <c r="A111" s="170">
        <v>42164</v>
      </c>
      <c r="B111" s="116">
        <v>304</v>
      </c>
      <c r="C111" s="116">
        <v>297.69</v>
      </c>
      <c r="D111" s="116">
        <v>276.25</v>
      </c>
      <c r="E111" s="116">
        <v>278.75</v>
      </c>
      <c r="F111" s="116">
        <v>5953.8</v>
      </c>
      <c r="G111">
        <v>76922</v>
      </c>
      <c r="H111" s="116"/>
      <c r="I111" s="116"/>
      <c r="L111" s="170">
        <v>42164</v>
      </c>
      <c r="M111" s="116">
        <v>298.21749999999997</v>
      </c>
      <c r="N111" s="116">
        <v>306</v>
      </c>
      <c r="O111" s="116">
        <v>276.25</v>
      </c>
      <c r="P111" s="116">
        <v>279.51749999999998</v>
      </c>
      <c r="Q111" s="116">
        <v>5964.35</v>
      </c>
      <c r="R111">
        <v>568881</v>
      </c>
    </row>
    <row r="112" spans="1:18" x14ac:dyDescent="0.25">
      <c r="A112" s="170">
        <v>42165</v>
      </c>
      <c r="B112" s="116">
        <v>311.5</v>
      </c>
      <c r="C112" s="116">
        <v>302.82749999999999</v>
      </c>
      <c r="D112" s="116">
        <v>301.05</v>
      </c>
      <c r="E112" s="116">
        <v>304.95</v>
      </c>
      <c r="F112" s="116">
        <v>6056.55</v>
      </c>
      <c r="G112">
        <v>41478</v>
      </c>
      <c r="H112" s="116"/>
      <c r="I112" s="116"/>
      <c r="L112" s="170">
        <v>42165</v>
      </c>
      <c r="M112" s="116">
        <v>303.01749999999998</v>
      </c>
      <c r="N112" s="116">
        <v>312</v>
      </c>
      <c r="O112" s="116">
        <v>301.0625</v>
      </c>
      <c r="P112" s="116">
        <v>302.495</v>
      </c>
      <c r="Q112" s="116">
        <v>6060.35</v>
      </c>
      <c r="R112">
        <v>247150</v>
      </c>
    </row>
    <row r="113" spans="1:18" x14ac:dyDescent="0.25">
      <c r="A113" s="170">
        <v>42166</v>
      </c>
      <c r="B113" s="116">
        <v>315.37</v>
      </c>
      <c r="C113" s="116">
        <v>308.5025</v>
      </c>
      <c r="D113" s="116">
        <v>298.55</v>
      </c>
      <c r="E113" s="116">
        <v>305.25</v>
      </c>
      <c r="F113" s="116">
        <v>6170.05</v>
      </c>
      <c r="G113">
        <v>42781</v>
      </c>
      <c r="H113" s="116"/>
      <c r="I113" s="116"/>
      <c r="L113" s="170">
        <v>42166</v>
      </c>
      <c r="M113" s="116">
        <v>308.23500000000001</v>
      </c>
      <c r="N113" s="116">
        <v>315.3</v>
      </c>
      <c r="O113" s="116">
        <v>298.78750000000002</v>
      </c>
      <c r="P113" s="116">
        <v>307.94499999999999</v>
      </c>
      <c r="Q113" s="116">
        <v>6164.7</v>
      </c>
      <c r="R113">
        <v>302802</v>
      </c>
    </row>
    <row r="114" spans="1:18" x14ac:dyDescent="0.25">
      <c r="A114" s="170">
        <v>42167</v>
      </c>
      <c r="B114" s="116">
        <v>308.5</v>
      </c>
      <c r="C114" s="116">
        <v>303.94</v>
      </c>
      <c r="D114" s="116">
        <v>299.505</v>
      </c>
      <c r="E114" s="116">
        <v>308.5</v>
      </c>
      <c r="F114" s="116">
        <v>6078.8</v>
      </c>
      <c r="G114">
        <v>21087</v>
      </c>
      <c r="H114" s="116"/>
      <c r="I114" s="116"/>
      <c r="L114" s="170">
        <v>42167</v>
      </c>
      <c r="M114" s="116">
        <v>304.36</v>
      </c>
      <c r="N114" s="116">
        <v>309.22500000000002</v>
      </c>
      <c r="O114" s="116">
        <v>296.26749999999998</v>
      </c>
      <c r="P114" s="116">
        <v>309.22500000000002</v>
      </c>
      <c r="Q114" s="116">
        <v>6087.2</v>
      </c>
      <c r="R114">
        <v>104699</v>
      </c>
    </row>
    <row r="115" spans="1:18" x14ac:dyDescent="0.25">
      <c r="A115" s="170">
        <v>42170</v>
      </c>
      <c r="B115" s="116">
        <v>302.5</v>
      </c>
      <c r="C115" s="116">
        <v>297.4325</v>
      </c>
      <c r="D115" s="116">
        <v>294.8</v>
      </c>
      <c r="E115" s="116">
        <v>302.5</v>
      </c>
      <c r="F115" s="116">
        <v>5948.65</v>
      </c>
      <c r="G115">
        <v>11317</v>
      </c>
      <c r="H115" s="116"/>
      <c r="I115" s="116"/>
      <c r="L115" s="170">
        <v>42170</v>
      </c>
      <c r="M115" s="116">
        <v>297.7525</v>
      </c>
      <c r="N115" s="116">
        <v>302.5</v>
      </c>
      <c r="O115" s="116">
        <v>294.62</v>
      </c>
      <c r="P115" s="116">
        <v>302.39999999999998</v>
      </c>
      <c r="Q115" s="116">
        <v>5955.05</v>
      </c>
      <c r="R115">
        <v>73067</v>
      </c>
    </row>
    <row r="116" spans="1:18" x14ac:dyDescent="0.25">
      <c r="A116" s="170">
        <v>42171</v>
      </c>
      <c r="B116" s="116">
        <v>295</v>
      </c>
      <c r="C116" s="116">
        <v>289.14249999999998</v>
      </c>
      <c r="D116" s="116">
        <v>287.5</v>
      </c>
      <c r="E116" s="116">
        <v>295</v>
      </c>
      <c r="F116" s="116">
        <v>5782.85</v>
      </c>
      <c r="G116">
        <v>12776</v>
      </c>
      <c r="H116" s="116"/>
      <c r="I116" s="116"/>
      <c r="L116" s="170">
        <v>42171</v>
      </c>
      <c r="M116" s="116">
        <v>289.23250000000002</v>
      </c>
      <c r="N116" s="116">
        <v>294.95</v>
      </c>
      <c r="O116" s="116">
        <v>287.75</v>
      </c>
      <c r="P116" s="116">
        <v>294.95</v>
      </c>
      <c r="Q116" s="116">
        <v>5784.65</v>
      </c>
      <c r="R116">
        <v>87482</v>
      </c>
    </row>
    <row r="117" spans="1:18" x14ac:dyDescent="0.25">
      <c r="A117" s="170">
        <v>42172</v>
      </c>
      <c r="B117" s="116">
        <v>294.995</v>
      </c>
      <c r="C117" s="116">
        <v>291.78750000000002</v>
      </c>
      <c r="D117" s="116">
        <v>283.27499999999998</v>
      </c>
      <c r="E117" s="116">
        <v>287.5</v>
      </c>
      <c r="F117" s="116">
        <v>5835.75</v>
      </c>
      <c r="G117">
        <v>24471</v>
      </c>
      <c r="H117" s="116"/>
      <c r="I117" s="116"/>
      <c r="L117" s="170">
        <v>42172</v>
      </c>
      <c r="M117" s="116">
        <v>291.94499999999999</v>
      </c>
      <c r="N117" s="116">
        <v>295</v>
      </c>
      <c r="O117" s="116">
        <v>282.55</v>
      </c>
      <c r="P117" s="116">
        <v>287.25</v>
      </c>
      <c r="Q117" s="116">
        <v>5838.9</v>
      </c>
      <c r="R117">
        <v>140517</v>
      </c>
    </row>
    <row r="118" spans="1:18" x14ac:dyDescent="0.25">
      <c r="A118" s="170">
        <v>42173</v>
      </c>
      <c r="B118" s="116">
        <v>306.75</v>
      </c>
      <c r="C118" s="116">
        <v>303.75749999999999</v>
      </c>
      <c r="D118" s="116">
        <v>291.995</v>
      </c>
      <c r="E118" s="116">
        <v>291.995</v>
      </c>
      <c r="F118" s="116">
        <v>6075.15</v>
      </c>
      <c r="G118">
        <v>20640</v>
      </c>
      <c r="H118" s="116"/>
      <c r="I118" s="116"/>
      <c r="L118" s="170">
        <v>42173</v>
      </c>
      <c r="M118" s="116">
        <v>304.08249999999998</v>
      </c>
      <c r="N118" s="116">
        <v>306.39999999999998</v>
      </c>
      <c r="O118" s="116">
        <v>292.5</v>
      </c>
      <c r="P118" s="116">
        <v>293.2</v>
      </c>
      <c r="Q118" s="116">
        <v>6081.65</v>
      </c>
      <c r="R118">
        <v>118969</v>
      </c>
    </row>
    <row r="119" spans="1:18" x14ac:dyDescent="0.25">
      <c r="A119" s="170">
        <v>42174</v>
      </c>
      <c r="B119" s="116">
        <v>316.89999999999998</v>
      </c>
      <c r="C119" s="116">
        <v>314.78750000000002</v>
      </c>
      <c r="D119" s="116">
        <v>301.51499999999999</v>
      </c>
      <c r="E119" s="116">
        <v>303.75</v>
      </c>
      <c r="F119" s="116">
        <v>6295.75</v>
      </c>
      <c r="G119">
        <v>23673</v>
      </c>
      <c r="H119" s="116"/>
      <c r="I119" s="116"/>
      <c r="L119" s="170">
        <v>42174</v>
      </c>
      <c r="M119" s="116">
        <v>314.05</v>
      </c>
      <c r="N119" s="116">
        <v>316.25</v>
      </c>
      <c r="O119" s="116">
        <v>300.5</v>
      </c>
      <c r="P119" s="116">
        <v>300.5</v>
      </c>
      <c r="Q119" s="116">
        <v>6281</v>
      </c>
      <c r="R119">
        <v>145841</v>
      </c>
    </row>
    <row r="120" spans="1:18" x14ac:dyDescent="0.25">
      <c r="A120" s="170">
        <v>42177</v>
      </c>
      <c r="B120" s="116">
        <v>319.95</v>
      </c>
      <c r="C120" s="116">
        <v>314.19</v>
      </c>
      <c r="D120" s="116">
        <v>310.10000000000002</v>
      </c>
      <c r="E120" s="116">
        <v>316</v>
      </c>
      <c r="F120" s="116">
        <v>6283.8</v>
      </c>
      <c r="G120">
        <v>13138</v>
      </c>
      <c r="H120" s="116"/>
      <c r="I120" s="116"/>
      <c r="L120" s="170">
        <v>42177</v>
      </c>
      <c r="M120" s="116">
        <v>314.83</v>
      </c>
      <c r="N120" s="116">
        <v>320.5575</v>
      </c>
      <c r="O120" s="116">
        <v>310.75</v>
      </c>
      <c r="P120" s="116">
        <v>313.8</v>
      </c>
      <c r="Q120" s="116">
        <v>6296.6</v>
      </c>
      <c r="R120">
        <v>78944</v>
      </c>
    </row>
    <row r="121" spans="1:18" x14ac:dyDescent="0.25">
      <c r="A121" s="170">
        <v>42178</v>
      </c>
      <c r="B121" s="116">
        <v>314.61</v>
      </c>
      <c r="C121" s="116">
        <v>306.33</v>
      </c>
      <c r="D121" s="116">
        <v>304.5</v>
      </c>
      <c r="E121" s="116">
        <v>312.5</v>
      </c>
      <c r="F121" s="116">
        <v>6126.6</v>
      </c>
      <c r="G121">
        <v>9854</v>
      </c>
      <c r="H121" s="116"/>
      <c r="I121" s="116"/>
      <c r="L121" s="170">
        <v>42178</v>
      </c>
      <c r="M121" s="116">
        <v>306.39249999999998</v>
      </c>
      <c r="N121" s="116">
        <v>314.5</v>
      </c>
      <c r="O121" s="116">
        <v>305.005</v>
      </c>
      <c r="P121" s="116">
        <v>314.5</v>
      </c>
      <c r="Q121" s="116">
        <v>6127.85</v>
      </c>
      <c r="R121">
        <v>54383</v>
      </c>
    </row>
    <row r="122" spans="1:18" x14ac:dyDescent="0.25">
      <c r="A122" s="170">
        <v>42179</v>
      </c>
      <c r="B122" s="116">
        <v>308.10500000000002</v>
      </c>
      <c r="C122" s="116">
        <v>300.28500000000003</v>
      </c>
      <c r="D122" s="116">
        <v>299.005</v>
      </c>
      <c r="E122" s="116">
        <v>308</v>
      </c>
      <c r="F122" s="116">
        <v>6005.7</v>
      </c>
      <c r="G122">
        <v>8906</v>
      </c>
      <c r="H122" s="116"/>
      <c r="I122" s="116"/>
      <c r="L122" s="170">
        <v>42179</v>
      </c>
      <c r="M122" s="116">
        <v>300.20499999999998</v>
      </c>
      <c r="N122" s="116">
        <v>308.15750000000003</v>
      </c>
      <c r="O122" s="116">
        <v>299.05500000000001</v>
      </c>
      <c r="P122" s="116">
        <v>307.5</v>
      </c>
      <c r="Q122" s="116">
        <v>6004.1</v>
      </c>
      <c r="R122">
        <v>55028</v>
      </c>
    </row>
    <row r="123" spans="1:18" x14ac:dyDescent="0.25">
      <c r="A123" s="170">
        <v>42180</v>
      </c>
      <c r="B123" s="116">
        <v>302.49250000000001</v>
      </c>
      <c r="C123" s="116">
        <v>292.26749999999998</v>
      </c>
      <c r="D123" s="116">
        <v>291.26</v>
      </c>
      <c r="E123" s="116">
        <v>300.2</v>
      </c>
      <c r="F123" s="116">
        <v>5845.35</v>
      </c>
      <c r="G123">
        <v>17436</v>
      </c>
      <c r="H123" s="116"/>
      <c r="I123" s="116"/>
      <c r="L123" s="170">
        <v>42180</v>
      </c>
      <c r="M123" s="116">
        <v>291.82249999999999</v>
      </c>
      <c r="N123" s="116">
        <v>302.45</v>
      </c>
      <c r="O123" s="116">
        <v>290.51249999999999</v>
      </c>
      <c r="P123" s="116">
        <v>300.25</v>
      </c>
      <c r="Q123" s="116">
        <v>5836.45</v>
      </c>
      <c r="R123">
        <v>136513</v>
      </c>
    </row>
    <row r="124" spans="1:18" x14ac:dyDescent="0.25">
      <c r="A124" s="170">
        <v>42181</v>
      </c>
      <c r="B124" s="116">
        <v>298.42500000000001</v>
      </c>
      <c r="C124" s="116">
        <v>297.40249999999997</v>
      </c>
      <c r="D124" s="116">
        <v>293.75</v>
      </c>
      <c r="E124" s="116">
        <v>295</v>
      </c>
      <c r="F124" s="116">
        <v>5948.05</v>
      </c>
      <c r="G124">
        <v>16623</v>
      </c>
      <c r="H124" s="116"/>
      <c r="I124" s="116"/>
      <c r="L124" s="170">
        <v>42181</v>
      </c>
      <c r="M124" s="116">
        <v>297.90750000000003</v>
      </c>
      <c r="N124" s="116">
        <v>298.5</v>
      </c>
      <c r="O124" s="116">
        <v>293.5</v>
      </c>
      <c r="P124" s="116">
        <v>296.10000000000002</v>
      </c>
      <c r="Q124" s="116">
        <v>5958.15</v>
      </c>
      <c r="R124">
        <v>75863</v>
      </c>
    </row>
    <row r="125" spans="1:18" x14ac:dyDescent="0.25">
      <c r="A125" s="170">
        <v>42184</v>
      </c>
      <c r="B125" s="116">
        <v>304.5</v>
      </c>
      <c r="C125" s="116">
        <v>303.32499999999999</v>
      </c>
      <c r="D125" s="116">
        <v>292.45</v>
      </c>
      <c r="E125" s="116">
        <v>297</v>
      </c>
      <c r="F125" s="116">
        <v>6066.5</v>
      </c>
      <c r="G125">
        <v>13317</v>
      </c>
      <c r="H125" s="116"/>
      <c r="I125" s="116"/>
      <c r="L125" s="170">
        <v>42184</v>
      </c>
      <c r="M125" s="116">
        <v>303.55250000000001</v>
      </c>
      <c r="N125" s="116">
        <v>304.375</v>
      </c>
      <c r="O125" s="116">
        <v>291.27499999999998</v>
      </c>
      <c r="P125" s="116">
        <v>291.27499999999998</v>
      </c>
      <c r="Q125" s="116">
        <v>6071.05</v>
      </c>
      <c r="R125">
        <v>82096</v>
      </c>
    </row>
    <row r="126" spans="1:18" x14ac:dyDescent="0.25">
      <c r="A126" s="170">
        <v>42185</v>
      </c>
      <c r="B126" s="116">
        <v>319.03500000000003</v>
      </c>
      <c r="C126" s="116">
        <v>317.28250000000003</v>
      </c>
      <c r="D126" s="116">
        <v>301.60000000000002</v>
      </c>
      <c r="E126" s="116">
        <v>302.5</v>
      </c>
      <c r="F126" s="116">
        <v>6345.65</v>
      </c>
      <c r="G126">
        <v>38811</v>
      </c>
      <c r="H126" s="116"/>
      <c r="I126" s="116"/>
      <c r="L126" s="170">
        <v>42185</v>
      </c>
      <c r="M126" s="116">
        <v>317.61</v>
      </c>
      <c r="N126" s="116">
        <v>319.60000000000002</v>
      </c>
      <c r="O126" s="116">
        <v>301.10000000000002</v>
      </c>
      <c r="P126" s="116">
        <v>301.10000000000002</v>
      </c>
      <c r="Q126" s="116">
        <v>6352.2</v>
      </c>
      <c r="R126">
        <v>252693</v>
      </c>
    </row>
    <row r="127" spans="1:18" x14ac:dyDescent="0.25">
      <c r="A127" s="170">
        <v>42186</v>
      </c>
      <c r="B127" s="116">
        <v>324.5</v>
      </c>
      <c r="C127" s="116">
        <v>307.02</v>
      </c>
      <c r="D127" s="116">
        <v>306</v>
      </c>
      <c r="E127" s="116">
        <v>321.5</v>
      </c>
      <c r="F127" s="116">
        <v>6140.4</v>
      </c>
      <c r="G127">
        <v>30497</v>
      </c>
      <c r="H127" s="116"/>
      <c r="I127" s="116"/>
      <c r="L127" s="170">
        <v>42186</v>
      </c>
      <c r="M127" s="116">
        <v>307.22250000000003</v>
      </c>
      <c r="N127" s="116">
        <v>324.7</v>
      </c>
      <c r="O127" s="116">
        <v>305.8</v>
      </c>
      <c r="P127" s="116">
        <v>320</v>
      </c>
      <c r="Q127" s="116">
        <v>6144.45</v>
      </c>
      <c r="R127">
        <v>168999</v>
      </c>
    </row>
    <row r="128" spans="1:18" x14ac:dyDescent="0.25">
      <c r="A128" s="170">
        <v>42187</v>
      </c>
      <c r="B128" s="116">
        <v>318.77249999999998</v>
      </c>
      <c r="C128" s="116">
        <v>312.4325</v>
      </c>
      <c r="D128" s="116">
        <v>311.5</v>
      </c>
      <c r="E128" s="116">
        <v>312.505</v>
      </c>
      <c r="F128" s="116">
        <v>6248.65</v>
      </c>
      <c r="G128">
        <v>19392</v>
      </c>
      <c r="H128" s="116"/>
      <c r="I128" s="116"/>
      <c r="L128" s="170">
        <v>42187</v>
      </c>
      <c r="M128" s="116">
        <v>312.08</v>
      </c>
      <c r="N128" s="116">
        <v>318.75</v>
      </c>
      <c r="O128" s="116">
        <v>310.75</v>
      </c>
      <c r="P128" s="116">
        <v>312.9975</v>
      </c>
      <c r="Q128" s="116">
        <v>6241.6</v>
      </c>
      <c r="R128">
        <v>111329</v>
      </c>
    </row>
    <row r="129" spans="1:18" x14ac:dyDescent="0.25">
      <c r="A129" s="170">
        <v>42188</v>
      </c>
      <c r="B129" s="116">
        <v>317</v>
      </c>
      <c r="C129" s="116">
        <v>308.69</v>
      </c>
      <c r="D129" s="116">
        <v>307.60500000000002</v>
      </c>
      <c r="E129" s="116">
        <v>317</v>
      </c>
      <c r="F129" s="116">
        <v>6173.8</v>
      </c>
      <c r="G129">
        <v>14340</v>
      </c>
      <c r="H129" s="116"/>
      <c r="I129" s="116"/>
      <c r="L129" s="170">
        <v>42188</v>
      </c>
      <c r="M129" s="116">
        <v>308.26</v>
      </c>
      <c r="N129" s="116">
        <v>317.2475</v>
      </c>
      <c r="O129" s="116">
        <v>307.55</v>
      </c>
      <c r="P129" s="116">
        <v>315.7475</v>
      </c>
      <c r="Q129" s="116">
        <v>6165.2</v>
      </c>
      <c r="R129">
        <v>89765</v>
      </c>
    </row>
    <row r="130" spans="1:18" x14ac:dyDescent="0.25">
      <c r="A130" s="170">
        <v>42191</v>
      </c>
      <c r="B130" s="116">
        <v>309.75</v>
      </c>
      <c r="C130" s="116">
        <v>305.85000000000002</v>
      </c>
      <c r="D130" s="116">
        <v>303.80500000000001</v>
      </c>
      <c r="E130" s="116">
        <v>309.5</v>
      </c>
      <c r="F130" s="116">
        <v>6117</v>
      </c>
      <c r="G130">
        <v>8293</v>
      </c>
      <c r="H130" s="116"/>
      <c r="I130" s="116"/>
      <c r="L130" s="170">
        <v>42191</v>
      </c>
      <c r="M130" s="116">
        <v>306.01499999999999</v>
      </c>
      <c r="N130" s="116">
        <v>309.9975</v>
      </c>
      <c r="O130" s="116">
        <v>303.75</v>
      </c>
      <c r="P130" s="116">
        <v>309.9975</v>
      </c>
      <c r="Q130" s="116">
        <v>6120.3</v>
      </c>
      <c r="R130">
        <v>38621</v>
      </c>
    </row>
    <row r="131" spans="1:18" x14ac:dyDescent="0.25">
      <c r="A131" s="170">
        <v>42192</v>
      </c>
      <c r="B131" s="116">
        <v>309.25</v>
      </c>
      <c r="C131" s="116">
        <v>304.24</v>
      </c>
      <c r="D131" s="116">
        <v>303.01249999999999</v>
      </c>
      <c r="E131" s="116">
        <v>309.25</v>
      </c>
      <c r="F131" s="116">
        <v>6084.8</v>
      </c>
      <c r="G131">
        <v>8926</v>
      </c>
      <c r="H131" s="116"/>
      <c r="I131" s="116"/>
      <c r="L131" s="170">
        <v>42192</v>
      </c>
      <c r="M131" s="116">
        <v>304.24250000000001</v>
      </c>
      <c r="N131" s="116">
        <v>309.5</v>
      </c>
      <c r="O131" s="116">
        <v>303</v>
      </c>
      <c r="P131" s="116">
        <v>309.5</v>
      </c>
      <c r="Q131" s="116">
        <v>6084.85</v>
      </c>
      <c r="R131">
        <v>63527</v>
      </c>
    </row>
    <row r="132" spans="1:18" x14ac:dyDescent="0.25">
      <c r="A132" s="170">
        <v>42193</v>
      </c>
      <c r="B132" s="116">
        <v>304.2</v>
      </c>
      <c r="C132" s="116">
        <v>300.05250000000001</v>
      </c>
      <c r="D132" s="116">
        <v>298.5</v>
      </c>
      <c r="E132" s="116">
        <v>304.14999999999998</v>
      </c>
      <c r="F132" s="116">
        <v>6001.05</v>
      </c>
      <c r="G132">
        <v>9023</v>
      </c>
      <c r="H132" s="116"/>
      <c r="I132" s="116"/>
      <c r="L132" s="170">
        <v>42193</v>
      </c>
      <c r="M132" s="116">
        <v>299.79500000000002</v>
      </c>
      <c r="N132" s="116">
        <v>303.01</v>
      </c>
      <c r="O132" s="116">
        <v>298.005</v>
      </c>
      <c r="P132" s="116">
        <v>303</v>
      </c>
      <c r="Q132" s="116">
        <v>5995.9</v>
      </c>
      <c r="R132">
        <v>109001</v>
      </c>
    </row>
    <row r="133" spans="1:18" x14ac:dyDescent="0.25">
      <c r="A133" s="170">
        <v>42194</v>
      </c>
      <c r="B133" s="116">
        <v>304.55</v>
      </c>
      <c r="C133" s="116">
        <v>301.505</v>
      </c>
      <c r="D133" s="116">
        <v>300</v>
      </c>
      <c r="E133" s="116">
        <v>302.02499999999998</v>
      </c>
      <c r="F133" s="116">
        <v>6030.1</v>
      </c>
      <c r="G133">
        <v>17425</v>
      </c>
      <c r="H133" s="116"/>
      <c r="I133" s="116"/>
      <c r="L133" s="170">
        <v>42194</v>
      </c>
      <c r="M133" s="116">
        <v>301.4975</v>
      </c>
      <c r="N133" s="116">
        <v>304.95</v>
      </c>
      <c r="O133" s="116">
        <v>300.05</v>
      </c>
      <c r="P133" s="116">
        <v>303.75</v>
      </c>
      <c r="Q133" s="116">
        <v>6029.95</v>
      </c>
      <c r="R133">
        <v>70819</v>
      </c>
    </row>
    <row r="134" spans="1:18" x14ac:dyDescent="0.25">
      <c r="A134" s="170">
        <v>42195</v>
      </c>
      <c r="B134" s="116">
        <v>302.55</v>
      </c>
      <c r="C134" s="116">
        <v>298.41000000000003</v>
      </c>
      <c r="D134" s="116">
        <v>296.60250000000002</v>
      </c>
      <c r="E134" s="116">
        <v>302.51</v>
      </c>
      <c r="F134" s="116">
        <v>5968.2</v>
      </c>
      <c r="G134">
        <v>17509</v>
      </c>
      <c r="H134" s="116"/>
      <c r="I134" s="116"/>
      <c r="L134" s="170">
        <v>42195</v>
      </c>
      <c r="M134" s="116">
        <v>298.17</v>
      </c>
      <c r="N134" s="116">
        <v>303.5</v>
      </c>
      <c r="O134" s="116">
        <v>296.30250000000001</v>
      </c>
      <c r="P134" s="116">
        <v>303</v>
      </c>
      <c r="Q134" s="116">
        <v>5963.4</v>
      </c>
      <c r="R134">
        <v>92072</v>
      </c>
    </row>
    <row r="135" spans="1:18" x14ac:dyDescent="0.25">
      <c r="A135" s="170">
        <v>42198</v>
      </c>
      <c r="B135" s="116">
        <v>300.73500000000001</v>
      </c>
      <c r="C135" s="116">
        <v>297.51749999999998</v>
      </c>
      <c r="D135" s="116">
        <v>295.255</v>
      </c>
      <c r="E135" s="116">
        <v>298.60000000000002</v>
      </c>
      <c r="F135" s="116">
        <v>5950.35</v>
      </c>
      <c r="G135">
        <v>11567</v>
      </c>
      <c r="H135" s="116"/>
      <c r="I135" s="116"/>
      <c r="L135" s="170">
        <v>42198</v>
      </c>
      <c r="M135" s="116">
        <v>297.77499999999998</v>
      </c>
      <c r="N135" s="116">
        <v>301</v>
      </c>
      <c r="O135" s="116">
        <v>294.75</v>
      </c>
      <c r="P135" s="116">
        <v>301</v>
      </c>
      <c r="Q135" s="116">
        <v>5955.5</v>
      </c>
      <c r="R135">
        <v>65745</v>
      </c>
    </row>
    <row r="136" spans="1:18" x14ac:dyDescent="0.25">
      <c r="A136" s="170">
        <v>42199</v>
      </c>
      <c r="B136" s="116">
        <v>301</v>
      </c>
      <c r="C136" s="116">
        <v>297.30250000000001</v>
      </c>
      <c r="D136" s="116">
        <v>296.75</v>
      </c>
      <c r="E136" s="116">
        <v>301</v>
      </c>
      <c r="F136" s="116">
        <v>5946.05</v>
      </c>
      <c r="G136">
        <v>3742</v>
      </c>
      <c r="H136" s="116"/>
      <c r="I136" s="116"/>
      <c r="L136" s="170">
        <v>42199</v>
      </c>
      <c r="M136" s="116">
        <v>297.65499999999997</v>
      </c>
      <c r="N136" s="116">
        <v>299.7</v>
      </c>
      <c r="O136" s="116">
        <v>296.76249999999999</v>
      </c>
      <c r="P136" s="116">
        <v>299.495</v>
      </c>
      <c r="Q136" s="116">
        <v>5953.1</v>
      </c>
      <c r="R136">
        <v>40738</v>
      </c>
    </row>
    <row r="137" spans="1:18" x14ac:dyDescent="0.25">
      <c r="A137" s="170">
        <v>42200</v>
      </c>
      <c r="B137" s="116">
        <v>300.14999999999998</v>
      </c>
      <c r="C137" s="116">
        <v>298.435</v>
      </c>
      <c r="D137" s="116">
        <v>295.86500000000001</v>
      </c>
      <c r="E137" s="116">
        <v>297.3</v>
      </c>
      <c r="F137" s="116">
        <v>5968.7</v>
      </c>
      <c r="G137">
        <v>7964</v>
      </c>
      <c r="H137" s="116"/>
      <c r="I137" s="116"/>
      <c r="L137" s="170">
        <v>42200</v>
      </c>
      <c r="M137" s="116">
        <v>298.39499999999998</v>
      </c>
      <c r="N137" s="116">
        <v>299.77999999999997</v>
      </c>
      <c r="O137" s="116">
        <v>296</v>
      </c>
      <c r="P137" s="116">
        <v>296</v>
      </c>
      <c r="Q137" s="116">
        <v>5967.9</v>
      </c>
      <c r="R137">
        <v>101401</v>
      </c>
    </row>
    <row r="138" spans="1:18" x14ac:dyDescent="0.25">
      <c r="A138" s="170">
        <v>42201</v>
      </c>
      <c r="B138" s="116">
        <v>301.77</v>
      </c>
      <c r="C138" s="116">
        <v>300.58999999999997</v>
      </c>
      <c r="D138" s="116">
        <v>298.5</v>
      </c>
      <c r="E138" s="116">
        <v>298.5</v>
      </c>
      <c r="F138" s="116">
        <v>6011.8</v>
      </c>
      <c r="G138">
        <v>3832</v>
      </c>
      <c r="H138" s="116"/>
      <c r="I138" s="116"/>
      <c r="L138" s="170">
        <v>42201</v>
      </c>
      <c r="M138" s="116">
        <v>301.27499999999998</v>
      </c>
      <c r="N138" s="116">
        <v>302.27499999999998</v>
      </c>
      <c r="O138" s="116">
        <v>298.7525</v>
      </c>
      <c r="P138" s="116">
        <v>299.4975</v>
      </c>
      <c r="Q138" s="116">
        <v>6025.5</v>
      </c>
      <c r="R138">
        <v>35537</v>
      </c>
    </row>
    <row r="139" spans="1:18" x14ac:dyDescent="0.25">
      <c r="A139" s="170">
        <v>42202</v>
      </c>
      <c r="B139" s="116">
        <v>306.14749999999998</v>
      </c>
      <c r="C139" s="116">
        <v>303.8125</v>
      </c>
      <c r="D139" s="116">
        <v>301</v>
      </c>
      <c r="E139" s="116">
        <v>301</v>
      </c>
      <c r="F139" s="116">
        <v>6076.25</v>
      </c>
      <c r="G139">
        <v>8986</v>
      </c>
      <c r="H139" s="116"/>
      <c r="I139" s="116"/>
      <c r="L139" s="170">
        <v>42202</v>
      </c>
      <c r="M139" s="116">
        <v>303.93</v>
      </c>
      <c r="N139" s="116">
        <v>306.25</v>
      </c>
      <c r="O139" s="116">
        <v>300.9975</v>
      </c>
      <c r="P139" s="116">
        <v>301</v>
      </c>
      <c r="Q139" s="116">
        <v>6078.6</v>
      </c>
      <c r="R139">
        <v>52852</v>
      </c>
    </row>
    <row r="140" spans="1:18" x14ac:dyDescent="0.25">
      <c r="A140" s="170">
        <v>42205</v>
      </c>
      <c r="B140" s="116">
        <v>306.40750000000003</v>
      </c>
      <c r="C140" s="116">
        <v>303.41000000000003</v>
      </c>
      <c r="D140" s="116">
        <v>302.5</v>
      </c>
      <c r="E140" s="116">
        <v>305.25</v>
      </c>
      <c r="F140" s="116">
        <v>6068.2</v>
      </c>
      <c r="G140">
        <v>2727</v>
      </c>
      <c r="H140" s="116"/>
      <c r="I140" s="116"/>
      <c r="L140" s="170">
        <v>42205</v>
      </c>
      <c r="M140" s="116">
        <v>303.55250000000001</v>
      </c>
      <c r="N140" s="116">
        <v>306.58999999999997</v>
      </c>
      <c r="O140" s="116">
        <v>302.88499999999999</v>
      </c>
      <c r="P140" s="116">
        <v>305.2475</v>
      </c>
      <c r="Q140" s="116">
        <v>6071.05</v>
      </c>
      <c r="R140">
        <v>19953</v>
      </c>
    </row>
    <row r="141" spans="1:18" x14ac:dyDescent="0.25">
      <c r="A141" s="170">
        <v>42206</v>
      </c>
      <c r="B141" s="116">
        <v>305.09500000000003</v>
      </c>
      <c r="C141" s="116">
        <v>303.4375</v>
      </c>
      <c r="D141" s="116">
        <v>302.55</v>
      </c>
      <c r="E141" s="116">
        <v>305</v>
      </c>
      <c r="F141" s="116">
        <v>6068.75</v>
      </c>
      <c r="G141">
        <v>2621</v>
      </c>
      <c r="H141" s="116"/>
      <c r="I141" s="116"/>
      <c r="L141" s="170">
        <v>42206</v>
      </c>
      <c r="M141" s="116">
        <v>303.42500000000001</v>
      </c>
      <c r="N141" s="116">
        <v>305.39249999999998</v>
      </c>
      <c r="O141" s="116">
        <v>302.5</v>
      </c>
      <c r="P141" s="116">
        <v>304.9975</v>
      </c>
      <c r="Q141" s="116">
        <v>6068.5</v>
      </c>
      <c r="R141">
        <v>22646</v>
      </c>
    </row>
    <row r="142" spans="1:18" x14ac:dyDescent="0.25">
      <c r="A142" s="170">
        <v>42207</v>
      </c>
      <c r="B142" s="116">
        <v>302.5</v>
      </c>
      <c r="C142" s="116">
        <v>299.35000000000002</v>
      </c>
      <c r="D142" s="116">
        <v>299</v>
      </c>
      <c r="E142" s="116">
        <v>302.4975</v>
      </c>
      <c r="F142" s="116">
        <v>5987</v>
      </c>
      <c r="G142">
        <v>2531</v>
      </c>
      <c r="H142" s="116"/>
      <c r="I142" s="116"/>
      <c r="L142" s="170">
        <v>42207</v>
      </c>
      <c r="M142" s="116">
        <v>299.52999999999997</v>
      </c>
      <c r="N142" s="116">
        <v>302.39999999999998</v>
      </c>
      <c r="O142" s="116">
        <v>298.7</v>
      </c>
      <c r="P142" s="116">
        <v>302.39999999999998</v>
      </c>
      <c r="Q142" s="116">
        <v>5990.6</v>
      </c>
      <c r="R142">
        <v>26233</v>
      </c>
    </row>
    <row r="143" spans="1:18" x14ac:dyDescent="0.25">
      <c r="A143" s="170">
        <v>42208</v>
      </c>
      <c r="B143" s="116">
        <v>304.435</v>
      </c>
      <c r="C143" s="116">
        <v>302.6825</v>
      </c>
      <c r="D143" s="116">
        <v>300.40499999999997</v>
      </c>
      <c r="E143" s="116">
        <v>304.25</v>
      </c>
      <c r="F143" s="116">
        <v>6053.65</v>
      </c>
      <c r="G143">
        <v>3135</v>
      </c>
      <c r="H143" s="116"/>
      <c r="I143" s="116"/>
      <c r="L143" s="170">
        <v>42208</v>
      </c>
      <c r="M143" s="116">
        <v>303.02</v>
      </c>
      <c r="N143" s="116">
        <v>303.495</v>
      </c>
      <c r="O143" s="116">
        <v>299.97000000000003</v>
      </c>
      <c r="P143" s="116">
        <v>300</v>
      </c>
      <c r="Q143" s="116">
        <v>6060.4</v>
      </c>
      <c r="R143">
        <v>31337</v>
      </c>
    </row>
    <row r="144" spans="1:18" x14ac:dyDescent="0.25">
      <c r="A144" s="170">
        <v>42209</v>
      </c>
      <c r="B144" s="116">
        <v>305.25</v>
      </c>
      <c r="C144" s="116">
        <v>301.29250000000002</v>
      </c>
      <c r="D144" s="116">
        <v>300.25</v>
      </c>
      <c r="E144" s="116">
        <v>302.75</v>
      </c>
      <c r="F144" s="116">
        <v>6025.85</v>
      </c>
      <c r="G144">
        <v>4094</v>
      </c>
      <c r="H144" s="116"/>
      <c r="I144" s="116"/>
      <c r="L144" s="170">
        <v>42209</v>
      </c>
      <c r="M144" s="116">
        <v>301.69499999999999</v>
      </c>
      <c r="N144" s="116">
        <v>306.22250000000003</v>
      </c>
      <c r="O144" s="116">
        <v>300</v>
      </c>
      <c r="P144" s="116">
        <v>302.60000000000002</v>
      </c>
      <c r="Q144" s="116">
        <v>6033.9</v>
      </c>
      <c r="R144">
        <v>30532</v>
      </c>
    </row>
    <row r="145" spans="1:18" x14ac:dyDescent="0.25">
      <c r="A145" s="170">
        <v>42212</v>
      </c>
      <c r="B145" s="116">
        <v>314.495</v>
      </c>
      <c r="C145" s="116">
        <v>312.3125</v>
      </c>
      <c r="D145" s="116">
        <v>300.95</v>
      </c>
      <c r="E145" s="116">
        <v>302</v>
      </c>
      <c r="F145" s="116">
        <v>6246.25</v>
      </c>
      <c r="G145">
        <v>12916</v>
      </c>
      <c r="H145" s="116"/>
      <c r="I145" s="116"/>
      <c r="L145" s="170">
        <v>42212</v>
      </c>
      <c r="M145" s="116">
        <v>313.07</v>
      </c>
      <c r="N145" s="116">
        <v>315.34249999999997</v>
      </c>
      <c r="O145" s="116">
        <v>301.64999999999998</v>
      </c>
      <c r="P145" s="116">
        <v>305</v>
      </c>
      <c r="Q145" s="116">
        <v>6261.4</v>
      </c>
      <c r="R145">
        <v>113239</v>
      </c>
    </row>
    <row r="146" spans="1:18" x14ac:dyDescent="0.25">
      <c r="A146" s="170">
        <v>42213</v>
      </c>
      <c r="B146" s="116">
        <v>314.75</v>
      </c>
      <c r="C146" s="116">
        <v>309.27999999999997</v>
      </c>
      <c r="D146" s="116">
        <v>308.55</v>
      </c>
      <c r="E146" s="116">
        <v>313.25</v>
      </c>
      <c r="F146" s="116">
        <v>6185.6</v>
      </c>
      <c r="G146">
        <v>4450</v>
      </c>
      <c r="H146" s="116"/>
      <c r="I146" s="116"/>
      <c r="L146" s="170">
        <v>42213</v>
      </c>
      <c r="M146" s="116">
        <v>309.6225</v>
      </c>
      <c r="N146" s="116">
        <v>315</v>
      </c>
      <c r="O146" s="116">
        <v>308.45</v>
      </c>
      <c r="P146" s="116">
        <v>313.25</v>
      </c>
      <c r="Q146" s="116">
        <v>6192.45</v>
      </c>
      <c r="R146">
        <v>53887</v>
      </c>
    </row>
    <row r="147" spans="1:18" x14ac:dyDescent="0.25">
      <c r="A147" s="170">
        <v>42214</v>
      </c>
      <c r="B147" s="116">
        <v>312.45</v>
      </c>
      <c r="C147" s="116">
        <v>307.36500000000001</v>
      </c>
      <c r="D147" s="116">
        <v>304.7</v>
      </c>
      <c r="E147" s="116">
        <v>309.25</v>
      </c>
      <c r="F147" s="116">
        <v>6147.3</v>
      </c>
      <c r="G147">
        <v>4062</v>
      </c>
      <c r="H147" s="116"/>
      <c r="I147" s="116"/>
      <c r="L147" s="170">
        <v>42214</v>
      </c>
      <c r="M147" s="116">
        <v>307.63249999999999</v>
      </c>
      <c r="N147" s="116">
        <v>312.73</v>
      </c>
      <c r="O147" s="116">
        <v>304.12</v>
      </c>
      <c r="P147" s="116">
        <v>310</v>
      </c>
      <c r="Q147" s="116">
        <v>6152.65</v>
      </c>
      <c r="R147">
        <v>73126</v>
      </c>
    </row>
    <row r="148" spans="1:18" x14ac:dyDescent="0.25">
      <c r="A148" s="170">
        <v>42215</v>
      </c>
      <c r="B148" s="116">
        <v>317.25</v>
      </c>
      <c r="C148" s="116">
        <v>315.05250000000001</v>
      </c>
      <c r="D148" s="116">
        <v>299.55</v>
      </c>
      <c r="E148" s="116">
        <v>300.55</v>
      </c>
      <c r="F148" s="116">
        <v>6301.05</v>
      </c>
      <c r="G148">
        <v>22343</v>
      </c>
      <c r="H148" s="116"/>
      <c r="I148" s="116"/>
      <c r="L148" s="170">
        <v>42215</v>
      </c>
      <c r="M148" s="116">
        <v>316.56</v>
      </c>
      <c r="N148" s="116">
        <v>319.5</v>
      </c>
      <c r="O148" s="116">
        <v>299.02249999999998</v>
      </c>
      <c r="P148" s="116">
        <v>301.60250000000002</v>
      </c>
      <c r="Q148" s="116">
        <v>6331.2</v>
      </c>
      <c r="R148">
        <v>176979</v>
      </c>
    </row>
    <row r="149" spans="1:18" x14ac:dyDescent="0.25">
      <c r="A149" s="170">
        <v>42216</v>
      </c>
      <c r="B149" s="116">
        <v>319.25</v>
      </c>
      <c r="C149" s="116">
        <v>317.15249999999997</v>
      </c>
      <c r="D149" s="116">
        <v>311</v>
      </c>
      <c r="E149" s="116">
        <v>316.75</v>
      </c>
      <c r="F149" s="116">
        <v>6343.05</v>
      </c>
      <c r="G149">
        <v>13578</v>
      </c>
      <c r="H149" s="116"/>
      <c r="I149" s="116"/>
      <c r="L149" s="170">
        <v>42216</v>
      </c>
      <c r="M149" s="116">
        <v>317.87</v>
      </c>
      <c r="N149" s="116">
        <v>319.5</v>
      </c>
      <c r="O149" s="116">
        <v>310.5</v>
      </c>
      <c r="P149" s="116">
        <v>310.5</v>
      </c>
      <c r="Q149" s="116">
        <v>6357.4</v>
      </c>
      <c r="R149">
        <v>111955</v>
      </c>
    </row>
    <row r="150" spans="1:18" x14ac:dyDescent="0.25">
      <c r="A150" s="170">
        <v>42219</v>
      </c>
      <c r="B150" s="116">
        <v>324.95</v>
      </c>
      <c r="C150" s="116">
        <v>316.8725</v>
      </c>
      <c r="D150" s="116">
        <v>311.82</v>
      </c>
      <c r="E150" s="116">
        <v>319.25</v>
      </c>
      <c r="F150" s="116">
        <v>6337.45</v>
      </c>
      <c r="G150">
        <v>10914</v>
      </c>
      <c r="H150" s="116"/>
      <c r="I150" s="116"/>
      <c r="L150" s="170">
        <v>42219</v>
      </c>
      <c r="M150" s="116">
        <v>316.3125</v>
      </c>
      <c r="N150" s="116">
        <v>325</v>
      </c>
      <c r="O150" s="116">
        <v>311.0025</v>
      </c>
      <c r="P150" s="116">
        <v>319.25</v>
      </c>
      <c r="Q150" s="116">
        <v>6326.25</v>
      </c>
      <c r="R150">
        <v>108792</v>
      </c>
    </row>
    <row r="151" spans="1:18" x14ac:dyDescent="0.25">
      <c r="A151" s="170">
        <v>42220</v>
      </c>
      <c r="B151" s="116">
        <v>319.0575</v>
      </c>
      <c r="C151" s="116">
        <v>317.66750000000002</v>
      </c>
      <c r="D151" s="116">
        <v>315.5</v>
      </c>
      <c r="E151" s="116">
        <v>316.75</v>
      </c>
      <c r="F151" s="116">
        <v>6353.35</v>
      </c>
      <c r="G151">
        <v>4215</v>
      </c>
      <c r="H151" s="116"/>
      <c r="I151" s="116"/>
      <c r="L151" s="170">
        <v>42220</v>
      </c>
      <c r="M151" s="116">
        <v>317.53250000000003</v>
      </c>
      <c r="N151" s="116">
        <v>319.18</v>
      </c>
      <c r="O151" s="116">
        <v>316.01</v>
      </c>
      <c r="P151" s="116">
        <v>317.495</v>
      </c>
      <c r="Q151" s="116">
        <v>6350.65</v>
      </c>
      <c r="R151">
        <v>105771</v>
      </c>
    </row>
    <row r="152" spans="1:18" x14ac:dyDescent="0.25">
      <c r="A152" s="170">
        <v>42221</v>
      </c>
      <c r="B152" s="116">
        <v>350</v>
      </c>
      <c r="C152" s="116">
        <v>341.59750000000003</v>
      </c>
      <c r="D152" s="116">
        <v>330.25</v>
      </c>
      <c r="E152" s="116">
        <v>338.1</v>
      </c>
      <c r="F152" s="116">
        <v>6831.95</v>
      </c>
      <c r="G152">
        <v>55777</v>
      </c>
      <c r="H152" s="116"/>
      <c r="I152" s="116"/>
      <c r="L152" s="170">
        <v>42221</v>
      </c>
      <c r="M152" s="116">
        <v>341.91750000000002</v>
      </c>
      <c r="N152" s="116">
        <v>349.9</v>
      </c>
      <c r="O152" s="116">
        <v>329.51</v>
      </c>
      <c r="P152" s="116">
        <v>340</v>
      </c>
      <c r="Q152" s="116">
        <v>6838.35</v>
      </c>
      <c r="R152">
        <v>364555</v>
      </c>
    </row>
    <row r="153" spans="1:18" x14ac:dyDescent="0.25">
      <c r="A153" s="170">
        <v>42222</v>
      </c>
      <c r="B153" s="116">
        <v>330.95</v>
      </c>
      <c r="C153" s="116">
        <v>324.41750000000002</v>
      </c>
      <c r="D153" s="116">
        <v>323.0575</v>
      </c>
      <c r="E153" s="116">
        <v>330.95</v>
      </c>
      <c r="F153" s="116">
        <v>6488.35</v>
      </c>
      <c r="G153">
        <v>17392</v>
      </c>
      <c r="H153" s="116"/>
      <c r="I153" s="116"/>
      <c r="L153" s="170">
        <v>42222</v>
      </c>
      <c r="M153" s="116">
        <v>324.30500000000001</v>
      </c>
      <c r="N153" s="116">
        <v>329.8</v>
      </c>
      <c r="O153" s="116">
        <v>322.5</v>
      </c>
      <c r="P153" s="116">
        <v>326.685</v>
      </c>
      <c r="Q153" s="116">
        <v>6486.1</v>
      </c>
      <c r="R153">
        <v>173295</v>
      </c>
    </row>
    <row r="154" spans="1:18" x14ac:dyDescent="0.25">
      <c r="A154" s="170">
        <v>42223</v>
      </c>
      <c r="B154" s="116">
        <v>328.46</v>
      </c>
      <c r="C154" s="116">
        <v>327.60500000000002</v>
      </c>
      <c r="D154" s="116">
        <v>325.60000000000002</v>
      </c>
      <c r="E154" s="116">
        <v>325.60000000000002</v>
      </c>
      <c r="F154" s="116">
        <v>6552.1</v>
      </c>
      <c r="G154">
        <v>5218</v>
      </c>
      <c r="H154" s="116"/>
      <c r="I154" s="116"/>
      <c r="L154" s="170">
        <v>42223</v>
      </c>
      <c r="M154" s="116">
        <v>327.43</v>
      </c>
      <c r="N154" s="116">
        <v>328</v>
      </c>
      <c r="O154" s="116">
        <v>326.27749999999997</v>
      </c>
      <c r="P154" s="116">
        <v>327.39999999999998</v>
      </c>
      <c r="Q154" s="116">
        <v>6548.6</v>
      </c>
      <c r="R154">
        <v>69339</v>
      </c>
    </row>
    <row r="155" spans="1:18" x14ac:dyDescent="0.25">
      <c r="A155" s="170">
        <v>42226</v>
      </c>
      <c r="B155" s="116">
        <v>327.60000000000002</v>
      </c>
      <c r="C155" s="116">
        <v>319.29750000000001</v>
      </c>
      <c r="D155" s="116">
        <v>317.5</v>
      </c>
      <c r="E155" s="116">
        <v>327.5</v>
      </c>
      <c r="F155" s="116">
        <v>6385.95</v>
      </c>
      <c r="G155">
        <v>7189</v>
      </c>
      <c r="H155" s="116"/>
      <c r="I155" s="116"/>
      <c r="L155" s="170">
        <v>42226</v>
      </c>
      <c r="M155" s="116">
        <v>319.42</v>
      </c>
      <c r="N155" s="116">
        <v>328.36500000000001</v>
      </c>
      <c r="O155" s="116">
        <v>317.35250000000002</v>
      </c>
      <c r="P155" s="116">
        <v>327.5</v>
      </c>
      <c r="Q155" s="116">
        <v>6388.4</v>
      </c>
      <c r="R155">
        <v>62031</v>
      </c>
    </row>
    <row r="156" spans="1:18" x14ac:dyDescent="0.25">
      <c r="A156" s="170">
        <v>42227</v>
      </c>
      <c r="B156" s="116">
        <v>322.83</v>
      </c>
      <c r="C156" s="116">
        <v>315.24250000000001</v>
      </c>
      <c r="D156" s="116">
        <v>313.82249999999999</v>
      </c>
      <c r="E156" s="116">
        <v>320.25</v>
      </c>
      <c r="F156" s="116">
        <v>6304.85</v>
      </c>
      <c r="G156">
        <v>6517</v>
      </c>
      <c r="H156" s="116"/>
      <c r="I156" s="116"/>
      <c r="L156" s="170">
        <v>42227</v>
      </c>
      <c r="M156" s="116">
        <v>315.86750000000001</v>
      </c>
      <c r="N156" s="116">
        <v>323.19749999999999</v>
      </c>
      <c r="O156" s="116">
        <v>315</v>
      </c>
      <c r="P156" s="116">
        <v>323.01749999999998</v>
      </c>
      <c r="Q156" s="116">
        <v>6317.35</v>
      </c>
      <c r="R156">
        <v>51237</v>
      </c>
    </row>
    <row r="157" spans="1:18" x14ac:dyDescent="0.25">
      <c r="A157" s="170">
        <v>42228</v>
      </c>
      <c r="B157" s="116">
        <v>317.5</v>
      </c>
      <c r="C157" s="116">
        <v>309.23500000000001</v>
      </c>
      <c r="D157" s="116">
        <v>300.41000000000003</v>
      </c>
      <c r="E157" s="116">
        <v>312.5</v>
      </c>
      <c r="F157" s="116">
        <v>6184.7</v>
      </c>
      <c r="G157">
        <v>20613</v>
      </c>
      <c r="H157" s="116"/>
      <c r="I157" s="116"/>
      <c r="L157" s="170">
        <v>42228</v>
      </c>
      <c r="M157" s="116">
        <v>311.71499999999997</v>
      </c>
      <c r="N157" s="116">
        <v>317.5</v>
      </c>
      <c r="O157" s="116">
        <v>300.35250000000002</v>
      </c>
      <c r="P157" s="116">
        <v>311.25</v>
      </c>
      <c r="Q157" s="116">
        <v>6234.3</v>
      </c>
      <c r="R157">
        <v>114437</v>
      </c>
    </row>
    <row r="158" spans="1:18" x14ac:dyDescent="0.25">
      <c r="A158" s="170">
        <v>42229</v>
      </c>
      <c r="B158" s="116">
        <v>327.25</v>
      </c>
      <c r="C158" s="116">
        <v>317.83499999999998</v>
      </c>
      <c r="D158" s="116">
        <v>312.2475</v>
      </c>
      <c r="E158" s="116">
        <v>315.01</v>
      </c>
      <c r="F158" s="116">
        <v>6356.7</v>
      </c>
      <c r="G158">
        <v>83800</v>
      </c>
      <c r="H158" s="116"/>
      <c r="I158" s="116"/>
      <c r="L158" s="170">
        <v>42229</v>
      </c>
      <c r="M158" s="116">
        <v>315.86250000000001</v>
      </c>
      <c r="N158" s="116">
        <v>326.64999999999998</v>
      </c>
      <c r="O158" s="116">
        <v>311.7</v>
      </c>
      <c r="P158" s="116">
        <v>315</v>
      </c>
      <c r="Q158" s="116">
        <v>6317.25</v>
      </c>
      <c r="R158">
        <v>506085</v>
      </c>
    </row>
    <row r="159" spans="1:18" x14ac:dyDescent="0.25">
      <c r="A159" s="170">
        <v>42230</v>
      </c>
      <c r="B159" s="116">
        <v>323.25</v>
      </c>
      <c r="C159" s="116">
        <v>314.28250000000003</v>
      </c>
      <c r="D159" s="116">
        <v>313.3</v>
      </c>
      <c r="E159" s="116">
        <v>319.25</v>
      </c>
      <c r="F159" s="116">
        <v>6285.65</v>
      </c>
      <c r="G159">
        <v>8352</v>
      </c>
      <c r="H159" s="116"/>
      <c r="I159" s="116"/>
      <c r="L159" s="170">
        <v>42230</v>
      </c>
      <c r="M159" s="116">
        <v>313.44</v>
      </c>
      <c r="N159" s="116">
        <v>319.89999999999998</v>
      </c>
      <c r="O159" s="116">
        <v>312.55500000000001</v>
      </c>
      <c r="P159" s="116">
        <v>319.89999999999998</v>
      </c>
      <c r="Q159" s="116">
        <v>6268.8</v>
      </c>
      <c r="R159">
        <v>63854</v>
      </c>
    </row>
    <row r="160" spans="1:18" x14ac:dyDescent="0.25">
      <c r="A160" s="170">
        <v>42233</v>
      </c>
      <c r="B160" s="116">
        <v>314.03500000000003</v>
      </c>
      <c r="C160" s="116">
        <v>306.60000000000002</v>
      </c>
      <c r="D160" s="116">
        <v>306.22500000000002</v>
      </c>
      <c r="E160" s="116">
        <v>313.5</v>
      </c>
      <c r="F160" s="116">
        <v>6132</v>
      </c>
      <c r="G160">
        <v>8944</v>
      </c>
      <c r="H160" s="116"/>
      <c r="I160" s="116"/>
      <c r="L160" s="170">
        <v>42233</v>
      </c>
      <c r="M160" s="116">
        <v>306.77</v>
      </c>
      <c r="N160" s="116">
        <v>313.9975</v>
      </c>
      <c r="O160" s="116">
        <v>306.5</v>
      </c>
      <c r="P160" s="116">
        <v>313.44</v>
      </c>
      <c r="Q160" s="116">
        <v>6135.4</v>
      </c>
      <c r="R160">
        <v>45417</v>
      </c>
    </row>
    <row r="161" spans="1:18" x14ac:dyDescent="0.25">
      <c r="A161" s="170">
        <v>42234</v>
      </c>
      <c r="B161" s="116">
        <v>311</v>
      </c>
      <c r="C161" s="116">
        <v>308.38</v>
      </c>
      <c r="D161" s="116">
        <v>307.5</v>
      </c>
      <c r="E161" s="116">
        <v>310.89999999999998</v>
      </c>
      <c r="F161" s="116">
        <v>6167.6</v>
      </c>
      <c r="G161">
        <v>4656</v>
      </c>
      <c r="H161" s="116"/>
      <c r="I161" s="116"/>
      <c r="L161" s="170">
        <v>42234</v>
      </c>
      <c r="M161" s="116">
        <v>308.23500000000001</v>
      </c>
      <c r="N161" s="116">
        <v>310.35000000000002</v>
      </c>
      <c r="O161" s="116">
        <v>307</v>
      </c>
      <c r="P161" s="116">
        <v>310.05</v>
      </c>
      <c r="Q161" s="116">
        <v>6164.7</v>
      </c>
      <c r="R161">
        <v>63390</v>
      </c>
    </row>
    <row r="162" spans="1:18" x14ac:dyDescent="0.25">
      <c r="A162" s="170">
        <v>42235</v>
      </c>
      <c r="B162" s="116">
        <v>309.94749999999999</v>
      </c>
      <c r="C162" s="116">
        <v>304.79500000000002</v>
      </c>
      <c r="D162" s="116">
        <v>304</v>
      </c>
      <c r="E162" s="116">
        <v>308.38</v>
      </c>
      <c r="F162" s="116">
        <v>6095.9</v>
      </c>
      <c r="G162">
        <v>6052</v>
      </c>
      <c r="H162" s="116"/>
      <c r="I162" s="116"/>
      <c r="L162" s="170">
        <v>42235</v>
      </c>
      <c r="M162" s="116">
        <v>304.935</v>
      </c>
      <c r="N162" s="116">
        <v>310</v>
      </c>
      <c r="O162" s="116">
        <v>304.0625</v>
      </c>
      <c r="P162" s="116">
        <v>310</v>
      </c>
      <c r="Q162" s="116">
        <v>6098.7</v>
      </c>
      <c r="R162">
        <v>59166</v>
      </c>
    </row>
    <row r="163" spans="1:18" x14ac:dyDescent="0.25">
      <c r="A163" s="170">
        <v>42236</v>
      </c>
      <c r="B163" s="116">
        <v>309.89999999999998</v>
      </c>
      <c r="C163" s="116">
        <v>307.4425</v>
      </c>
      <c r="D163" s="116">
        <v>304.5</v>
      </c>
      <c r="E163" s="116">
        <v>309.89999999999998</v>
      </c>
      <c r="F163" s="116">
        <v>6148.85</v>
      </c>
      <c r="G163">
        <v>4457</v>
      </c>
      <c r="H163" s="116"/>
      <c r="I163" s="116"/>
      <c r="L163" s="170">
        <v>42236</v>
      </c>
      <c r="M163" s="116">
        <v>307.54500000000002</v>
      </c>
      <c r="N163" s="116">
        <v>309</v>
      </c>
      <c r="O163" s="116">
        <v>304.28750000000002</v>
      </c>
      <c r="P163" s="116">
        <v>306.2475</v>
      </c>
      <c r="Q163" s="116">
        <v>6150.9</v>
      </c>
      <c r="R163">
        <v>65541</v>
      </c>
    </row>
    <row r="164" spans="1:18" x14ac:dyDescent="0.25">
      <c r="A164" s="170">
        <v>42237</v>
      </c>
      <c r="B164" s="116">
        <v>309</v>
      </c>
      <c r="C164" s="116">
        <v>304.96499999999997</v>
      </c>
      <c r="D164" s="116">
        <v>303.48250000000002</v>
      </c>
      <c r="E164" s="116">
        <v>305</v>
      </c>
      <c r="F164" s="116">
        <v>6099.3</v>
      </c>
      <c r="G164">
        <v>4053</v>
      </c>
      <c r="H164" s="116"/>
      <c r="I164" s="116"/>
      <c r="L164" s="170">
        <v>42237</v>
      </c>
      <c r="M164" s="116">
        <v>304.53750000000002</v>
      </c>
      <c r="N164" s="116">
        <v>309.75</v>
      </c>
      <c r="O164" s="116">
        <v>303</v>
      </c>
      <c r="P164" s="116">
        <v>303.75</v>
      </c>
      <c r="Q164" s="116">
        <v>6090.75</v>
      </c>
      <c r="R164">
        <v>36949</v>
      </c>
    </row>
    <row r="165" spans="1:18" x14ac:dyDescent="0.25">
      <c r="A165" s="170">
        <v>42240</v>
      </c>
      <c r="B165" s="116">
        <v>310.6825</v>
      </c>
      <c r="C165" s="116">
        <v>302.22500000000002</v>
      </c>
      <c r="D165" s="116">
        <v>300.0025</v>
      </c>
      <c r="E165" s="116">
        <v>305</v>
      </c>
      <c r="F165" s="116">
        <v>6044.5</v>
      </c>
      <c r="G165">
        <v>11872</v>
      </c>
      <c r="H165" s="116"/>
      <c r="I165" s="116"/>
      <c r="L165" s="170">
        <v>42240</v>
      </c>
      <c r="M165" s="116">
        <v>301.8</v>
      </c>
      <c r="N165" s="116">
        <v>310.4375</v>
      </c>
      <c r="O165" s="116">
        <v>299.75</v>
      </c>
      <c r="P165" s="116">
        <v>303.89999999999998</v>
      </c>
      <c r="Q165" s="116">
        <v>6036</v>
      </c>
      <c r="R165">
        <v>78584</v>
      </c>
    </row>
    <row r="166" spans="1:18" x14ac:dyDescent="0.25">
      <c r="A166" s="170">
        <v>42241</v>
      </c>
      <c r="B166" s="116">
        <v>311.25</v>
      </c>
      <c r="C166" s="116">
        <v>308.14749999999998</v>
      </c>
      <c r="D166" s="116">
        <v>301.75</v>
      </c>
      <c r="E166" s="116">
        <v>301.75</v>
      </c>
      <c r="F166" s="116">
        <v>6162.95</v>
      </c>
      <c r="G166">
        <v>11581</v>
      </c>
      <c r="H166" s="116"/>
      <c r="I166" s="116"/>
      <c r="L166" s="170">
        <v>42241</v>
      </c>
      <c r="M166" s="116">
        <v>308.17</v>
      </c>
      <c r="N166" s="116">
        <v>311.04000000000002</v>
      </c>
      <c r="O166" s="116">
        <v>301.45</v>
      </c>
      <c r="P166" s="116">
        <v>304.7475</v>
      </c>
      <c r="Q166" s="116">
        <v>6163.4</v>
      </c>
      <c r="R166">
        <v>50568</v>
      </c>
    </row>
    <row r="167" spans="1:18" x14ac:dyDescent="0.25">
      <c r="A167" s="170">
        <v>42242</v>
      </c>
      <c r="B167" s="116">
        <v>309.39999999999998</v>
      </c>
      <c r="C167" s="116">
        <v>303.17</v>
      </c>
      <c r="D167" s="116">
        <v>302.5025</v>
      </c>
      <c r="E167" s="116">
        <v>308</v>
      </c>
      <c r="F167" s="116">
        <v>6063.4</v>
      </c>
      <c r="G167">
        <v>2838</v>
      </c>
      <c r="H167" s="116"/>
      <c r="I167" s="116"/>
      <c r="L167" s="170">
        <v>42242</v>
      </c>
      <c r="M167" s="116">
        <v>303.20999999999998</v>
      </c>
      <c r="N167" s="116">
        <v>309.99250000000001</v>
      </c>
      <c r="O167" s="116">
        <v>302.5</v>
      </c>
      <c r="P167" s="116">
        <v>308.4975</v>
      </c>
      <c r="Q167" s="116">
        <v>6064.2</v>
      </c>
      <c r="R167">
        <v>56983</v>
      </c>
    </row>
    <row r="168" spans="1:18" x14ac:dyDescent="0.25">
      <c r="A168" s="170">
        <v>42243</v>
      </c>
      <c r="B168" s="116">
        <v>308.68</v>
      </c>
      <c r="C168" s="116">
        <v>303.005</v>
      </c>
      <c r="D168" s="116">
        <v>301.83749999999998</v>
      </c>
      <c r="E168" s="116">
        <v>307.55</v>
      </c>
      <c r="F168" s="116">
        <v>6060.1</v>
      </c>
      <c r="G168">
        <v>1851</v>
      </c>
      <c r="H168" s="116"/>
      <c r="I168" s="116"/>
      <c r="L168" s="170">
        <v>42243</v>
      </c>
      <c r="M168" s="116">
        <v>302.85000000000002</v>
      </c>
      <c r="N168" s="116">
        <v>308.75</v>
      </c>
      <c r="O168" s="116">
        <v>301.5</v>
      </c>
      <c r="P168" s="116">
        <v>308.25</v>
      </c>
      <c r="Q168" s="116">
        <v>6057</v>
      </c>
      <c r="R168">
        <v>35980</v>
      </c>
    </row>
    <row r="169" spans="1:18" x14ac:dyDescent="0.25">
      <c r="A169" s="170">
        <v>42244</v>
      </c>
      <c r="B169" s="116">
        <v>307.35750000000002</v>
      </c>
      <c r="C169" s="116">
        <v>304.73250000000002</v>
      </c>
      <c r="D169" s="116">
        <v>302.16750000000002</v>
      </c>
      <c r="E169" s="116">
        <v>306.88249999999999</v>
      </c>
      <c r="F169" s="116">
        <v>6094.65</v>
      </c>
      <c r="G169">
        <v>2449</v>
      </c>
      <c r="H169" s="116"/>
      <c r="I169" s="116"/>
      <c r="L169" s="170">
        <v>42244</v>
      </c>
      <c r="M169" s="116">
        <v>305.23250000000002</v>
      </c>
      <c r="N169" s="116">
        <v>307</v>
      </c>
      <c r="O169" s="116">
        <v>302</v>
      </c>
      <c r="P169" s="116">
        <v>305</v>
      </c>
      <c r="Q169" s="116">
        <v>6104.65</v>
      </c>
      <c r="R169">
        <v>43170</v>
      </c>
    </row>
    <row r="170" spans="1:18" x14ac:dyDescent="0.25">
      <c r="A170" s="170">
        <v>42247</v>
      </c>
      <c r="B170" s="116">
        <v>304.8</v>
      </c>
      <c r="C170" s="116">
        <v>298.80500000000001</v>
      </c>
      <c r="D170" s="116">
        <v>297.55</v>
      </c>
      <c r="E170" s="116">
        <v>304.8</v>
      </c>
      <c r="F170" s="116">
        <v>5976.1</v>
      </c>
      <c r="G170">
        <v>4039</v>
      </c>
      <c r="H170" s="116"/>
      <c r="I170" s="116"/>
      <c r="L170" s="170">
        <v>42247</v>
      </c>
      <c r="M170" s="116">
        <v>298.27</v>
      </c>
      <c r="N170" s="116">
        <v>305.2475</v>
      </c>
      <c r="O170" s="116">
        <v>297.5</v>
      </c>
      <c r="P170" s="116">
        <v>304.9975</v>
      </c>
      <c r="Q170" s="116">
        <v>5965.4</v>
      </c>
      <c r="R170">
        <v>69408</v>
      </c>
    </row>
    <row r="171" spans="1:18" x14ac:dyDescent="0.25">
      <c r="A171" s="170">
        <v>42248</v>
      </c>
      <c r="B171" s="116">
        <v>301.7</v>
      </c>
      <c r="C171" s="116">
        <v>299.58999999999997</v>
      </c>
      <c r="D171" s="116">
        <v>297.25</v>
      </c>
      <c r="E171" s="116">
        <v>301.7</v>
      </c>
      <c r="F171" s="116">
        <v>5991.8</v>
      </c>
      <c r="G171">
        <v>3018</v>
      </c>
      <c r="H171" s="116"/>
      <c r="I171" s="116"/>
      <c r="L171" s="170">
        <v>42248</v>
      </c>
      <c r="M171" s="116">
        <v>300.18</v>
      </c>
      <c r="N171" s="116">
        <v>301.42250000000001</v>
      </c>
      <c r="O171" s="116">
        <v>295.5</v>
      </c>
      <c r="P171" s="116">
        <v>296.75</v>
      </c>
      <c r="Q171" s="116">
        <v>6003.6</v>
      </c>
      <c r="R171">
        <v>34852</v>
      </c>
    </row>
    <row r="172" spans="1:18" x14ac:dyDescent="0.25">
      <c r="A172" s="170">
        <v>42249</v>
      </c>
      <c r="B172" s="116">
        <v>303.02999999999997</v>
      </c>
      <c r="C172" s="116">
        <v>296.85000000000002</v>
      </c>
      <c r="D172" s="116">
        <v>295.5</v>
      </c>
      <c r="E172" s="116">
        <v>300.18</v>
      </c>
      <c r="F172" s="116">
        <v>5937</v>
      </c>
      <c r="G172">
        <v>3932</v>
      </c>
      <c r="H172" s="116"/>
      <c r="I172" s="116"/>
      <c r="L172" s="170">
        <v>42249</v>
      </c>
      <c r="M172" s="116">
        <v>296.5</v>
      </c>
      <c r="N172" s="116">
        <v>303.36</v>
      </c>
      <c r="O172" s="116">
        <v>295.17750000000001</v>
      </c>
      <c r="P172" s="116">
        <v>302.05</v>
      </c>
      <c r="Q172" s="116">
        <v>5930</v>
      </c>
      <c r="R172">
        <v>40575</v>
      </c>
    </row>
    <row r="173" spans="1:18" x14ac:dyDescent="0.25">
      <c r="A173" s="170">
        <v>42250</v>
      </c>
      <c r="B173" s="116">
        <v>305</v>
      </c>
      <c r="C173" s="116">
        <v>301.35500000000002</v>
      </c>
      <c r="D173" s="116">
        <v>295.0025</v>
      </c>
      <c r="E173" s="116">
        <v>305</v>
      </c>
      <c r="F173" s="116">
        <v>6027.1</v>
      </c>
      <c r="G173">
        <v>6403</v>
      </c>
      <c r="H173" s="116"/>
      <c r="I173" s="116"/>
      <c r="L173" s="170">
        <v>42250</v>
      </c>
      <c r="M173" s="116">
        <v>301.77249999999998</v>
      </c>
      <c r="N173" s="116">
        <v>303.73500000000001</v>
      </c>
      <c r="O173" s="116">
        <v>292.5</v>
      </c>
      <c r="P173" s="116">
        <v>301.47500000000002</v>
      </c>
      <c r="Q173" s="116">
        <v>6035.45</v>
      </c>
      <c r="R173">
        <v>51799</v>
      </c>
    </row>
    <row r="174" spans="1:18" x14ac:dyDescent="0.25">
      <c r="A174" s="170">
        <v>42251</v>
      </c>
      <c r="B174" s="116">
        <v>302.5</v>
      </c>
      <c r="C174" s="116">
        <v>299.72500000000002</v>
      </c>
      <c r="D174" s="116">
        <v>298.10000000000002</v>
      </c>
      <c r="E174" s="116">
        <v>302.5</v>
      </c>
      <c r="F174" s="116">
        <v>5994.5</v>
      </c>
      <c r="G174">
        <v>2411</v>
      </c>
      <c r="H174" s="116"/>
      <c r="I174" s="116"/>
      <c r="L174" s="170">
        <v>42251</v>
      </c>
      <c r="M174" s="116">
        <v>299.77999999999997</v>
      </c>
      <c r="N174" s="116">
        <v>303.2475</v>
      </c>
      <c r="O174" s="116">
        <v>298.02</v>
      </c>
      <c r="P174" s="116">
        <v>302.5</v>
      </c>
      <c r="Q174" s="116">
        <v>5995.6</v>
      </c>
      <c r="R174">
        <v>19538</v>
      </c>
    </row>
    <row r="175" spans="1:18" x14ac:dyDescent="0.25">
      <c r="A175" s="170">
        <v>42254</v>
      </c>
      <c r="B175" s="116">
        <v>301.35000000000002</v>
      </c>
      <c r="C175" s="116">
        <v>299.59500000000003</v>
      </c>
      <c r="D175" s="116">
        <v>298.8</v>
      </c>
      <c r="E175" s="116">
        <v>301.35000000000002</v>
      </c>
      <c r="F175" s="116">
        <v>5991.9</v>
      </c>
      <c r="G175">
        <v>1372</v>
      </c>
      <c r="H175" s="116"/>
      <c r="I175" s="116"/>
      <c r="L175" s="170">
        <v>42254</v>
      </c>
      <c r="M175" s="116">
        <v>300.0675</v>
      </c>
      <c r="N175" s="116">
        <v>301.5</v>
      </c>
      <c r="O175" s="116">
        <v>298</v>
      </c>
      <c r="P175" s="116">
        <v>300.14999999999998</v>
      </c>
      <c r="Q175" s="116">
        <v>6001.35</v>
      </c>
      <c r="R175">
        <v>31004</v>
      </c>
    </row>
    <row r="176" spans="1:18" x14ac:dyDescent="0.25">
      <c r="A176" s="170">
        <v>42255</v>
      </c>
      <c r="B176" s="116">
        <v>300.5</v>
      </c>
      <c r="C176" s="116">
        <v>295.20249999999999</v>
      </c>
      <c r="D176" s="116">
        <v>294.20499999999998</v>
      </c>
      <c r="E176" s="116">
        <v>298.80250000000001</v>
      </c>
      <c r="F176" s="116">
        <v>5904.05</v>
      </c>
      <c r="G176">
        <v>1829</v>
      </c>
      <c r="H176" s="116"/>
      <c r="I176" s="116"/>
      <c r="L176" s="170">
        <v>42255</v>
      </c>
      <c r="M176" s="116">
        <v>295.11</v>
      </c>
      <c r="N176" s="116">
        <v>300.20499999999998</v>
      </c>
      <c r="O176" s="116">
        <v>294</v>
      </c>
      <c r="P176" s="116">
        <v>299.05</v>
      </c>
      <c r="Q176" s="116">
        <v>5902.2</v>
      </c>
      <c r="R176">
        <v>37289</v>
      </c>
    </row>
    <row r="177" spans="1:18" x14ac:dyDescent="0.25">
      <c r="A177" s="170">
        <v>42256</v>
      </c>
      <c r="B177" s="116">
        <v>304.95</v>
      </c>
      <c r="C177" s="116">
        <v>298.47250000000003</v>
      </c>
      <c r="D177" s="116">
        <v>296.56</v>
      </c>
      <c r="E177" s="116">
        <v>304.95</v>
      </c>
      <c r="F177" s="116">
        <v>5969.45</v>
      </c>
      <c r="G177">
        <v>1880</v>
      </c>
      <c r="H177" s="116"/>
      <c r="I177" s="116"/>
      <c r="L177" s="170">
        <v>42256</v>
      </c>
      <c r="M177" s="116">
        <v>299.33</v>
      </c>
      <c r="N177" s="116">
        <v>299.75</v>
      </c>
      <c r="O177" s="116">
        <v>296.55250000000001</v>
      </c>
      <c r="P177" s="116">
        <v>296.9975</v>
      </c>
      <c r="Q177" s="116">
        <v>5986.6</v>
      </c>
      <c r="R177">
        <v>26234</v>
      </c>
    </row>
    <row r="178" spans="1:18" x14ac:dyDescent="0.25">
      <c r="A178" s="170">
        <v>42257</v>
      </c>
      <c r="B178" s="116">
        <v>301.65249999999997</v>
      </c>
      <c r="C178" s="116">
        <v>300.67</v>
      </c>
      <c r="D178" s="116">
        <v>298.62</v>
      </c>
      <c r="E178" s="116">
        <v>300</v>
      </c>
      <c r="F178" s="116">
        <v>6013.4</v>
      </c>
      <c r="G178">
        <v>4590</v>
      </c>
      <c r="H178" s="116"/>
      <c r="I178" s="116"/>
      <c r="L178" s="170">
        <v>42257</v>
      </c>
      <c r="M178" s="116">
        <v>300.255</v>
      </c>
      <c r="N178" s="116">
        <v>300.7475</v>
      </c>
      <c r="O178" s="116">
        <v>298.4975</v>
      </c>
      <c r="P178" s="116">
        <v>300</v>
      </c>
      <c r="Q178" s="116">
        <v>6005.1</v>
      </c>
      <c r="R178">
        <v>22946</v>
      </c>
    </row>
    <row r="179" spans="1:18" x14ac:dyDescent="0.25">
      <c r="A179" s="170">
        <v>42258</v>
      </c>
      <c r="B179" s="116">
        <v>302.5</v>
      </c>
      <c r="C179" s="116">
        <v>299.24</v>
      </c>
      <c r="D179" s="116">
        <v>298.5</v>
      </c>
      <c r="E179" s="116">
        <v>300.25</v>
      </c>
      <c r="F179" s="116">
        <v>5984.8</v>
      </c>
      <c r="G179">
        <v>1522</v>
      </c>
      <c r="H179" s="116"/>
      <c r="I179" s="116"/>
      <c r="L179" s="170">
        <v>42258</v>
      </c>
      <c r="M179" s="116">
        <v>300.0625</v>
      </c>
      <c r="N179" s="116">
        <v>303</v>
      </c>
      <c r="O179" s="116">
        <v>298.06</v>
      </c>
      <c r="P179" s="116">
        <v>300.05</v>
      </c>
      <c r="Q179" s="116">
        <v>6001.25</v>
      </c>
      <c r="R179">
        <v>14192</v>
      </c>
    </row>
    <row r="180" spans="1:18" x14ac:dyDescent="0.25">
      <c r="A180" s="170">
        <v>42261</v>
      </c>
      <c r="B180" s="116">
        <v>303.5</v>
      </c>
      <c r="C180" s="116">
        <v>302.38</v>
      </c>
      <c r="D180" s="116">
        <v>300.0575</v>
      </c>
      <c r="E180" s="116">
        <v>301.56</v>
      </c>
      <c r="F180" s="116">
        <v>6047.6</v>
      </c>
      <c r="G180">
        <v>1627</v>
      </c>
      <c r="H180" s="116"/>
      <c r="I180" s="116"/>
      <c r="L180" s="170">
        <v>42261</v>
      </c>
      <c r="M180" s="116">
        <v>302.82499999999999</v>
      </c>
      <c r="N180" s="116">
        <v>303.45</v>
      </c>
      <c r="O180" s="116">
        <v>300</v>
      </c>
      <c r="P180" s="116">
        <v>301</v>
      </c>
      <c r="Q180" s="116">
        <v>6056.5</v>
      </c>
      <c r="R180">
        <v>18457</v>
      </c>
    </row>
    <row r="181" spans="1:18" x14ac:dyDescent="0.25">
      <c r="A181" s="170">
        <v>42262</v>
      </c>
      <c r="B181" s="116">
        <v>303.8</v>
      </c>
      <c r="C181" s="116">
        <v>300.65249999999997</v>
      </c>
      <c r="D181" s="116">
        <v>300.0575</v>
      </c>
      <c r="E181" s="116">
        <v>302.5</v>
      </c>
      <c r="F181" s="116">
        <v>6013.05</v>
      </c>
      <c r="G181">
        <v>2004</v>
      </c>
      <c r="H181" s="116"/>
      <c r="I181" s="116"/>
      <c r="L181" s="170">
        <v>42262</v>
      </c>
      <c r="M181" s="116">
        <v>301.25</v>
      </c>
      <c r="N181" s="116">
        <v>304.5</v>
      </c>
      <c r="O181" s="116">
        <v>300</v>
      </c>
      <c r="P181" s="116">
        <v>301.9975</v>
      </c>
      <c r="Q181" s="116">
        <v>6025</v>
      </c>
      <c r="R181">
        <v>21365</v>
      </c>
    </row>
    <row r="182" spans="1:18" x14ac:dyDescent="0.25">
      <c r="A182" s="170">
        <v>42263</v>
      </c>
      <c r="B182" s="116">
        <v>305.25</v>
      </c>
      <c r="C182" s="116">
        <v>304.49250000000001</v>
      </c>
      <c r="D182" s="116">
        <v>300.39999999999998</v>
      </c>
      <c r="E182" s="116">
        <v>305</v>
      </c>
      <c r="F182" s="116">
        <v>6089.85</v>
      </c>
      <c r="G182">
        <v>77716</v>
      </c>
      <c r="H182" s="116"/>
      <c r="I182" s="116"/>
      <c r="L182" s="170">
        <v>42263</v>
      </c>
      <c r="M182" s="116">
        <v>304.8175</v>
      </c>
      <c r="N182" s="116">
        <v>306.89999999999998</v>
      </c>
      <c r="O182" s="116">
        <v>300.1925</v>
      </c>
      <c r="P182" s="116">
        <v>304.35000000000002</v>
      </c>
      <c r="Q182" s="116">
        <v>6096.35</v>
      </c>
      <c r="R182">
        <v>52025</v>
      </c>
    </row>
    <row r="183" spans="1:18" x14ac:dyDescent="0.25">
      <c r="A183" s="170">
        <v>42265</v>
      </c>
      <c r="B183" s="116">
        <v>312</v>
      </c>
      <c r="C183" s="116">
        <v>311.23250000000002</v>
      </c>
      <c r="D183" s="116">
        <v>304.75</v>
      </c>
      <c r="E183" s="116">
        <v>305.31</v>
      </c>
      <c r="F183" s="116">
        <v>6224.65</v>
      </c>
      <c r="G183">
        <v>4101</v>
      </c>
      <c r="H183" s="116"/>
      <c r="I183" s="116"/>
      <c r="L183" s="170">
        <v>42265</v>
      </c>
      <c r="M183" s="116">
        <v>311.83499999999998</v>
      </c>
      <c r="N183" s="116">
        <v>313</v>
      </c>
      <c r="O183" s="116">
        <v>304.8175</v>
      </c>
      <c r="P183" s="116">
        <v>304.8175</v>
      </c>
      <c r="Q183" s="116">
        <v>6236.7</v>
      </c>
      <c r="R183">
        <v>64894</v>
      </c>
    </row>
    <row r="184" spans="1:18" x14ac:dyDescent="0.25">
      <c r="A184" s="170">
        <v>42268</v>
      </c>
      <c r="B184" s="116">
        <v>311.38499999999999</v>
      </c>
      <c r="C184" s="116">
        <v>308.8075</v>
      </c>
      <c r="D184" s="116">
        <v>308</v>
      </c>
      <c r="E184" s="116">
        <v>309.83499999999998</v>
      </c>
      <c r="F184" s="116">
        <v>6176.15</v>
      </c>
      <c r="G184">
        <v>1608</v>
      </c>
      <c r="H184" s="116"/>
      <c r="I184" s="116"/>
      <c r="L184" s="170">
        <v>42268</v>
      </c>
      <c r="M184" s="116">
        <v>308.83999999999997</v>
      </c>
      <c r="N184" s="116">
        <v>312.75</v>
      </c>
      <c r="O184" s="116">
        <v>308.5</v>
      </c>
      <c r="P184" s="116">
        <v>312.75</v>
      </c>
      <c r="Q184" s="116">
        <v>6176.8</v>
      </c>
      <c r="R184">
        <v>9914</v>
      </c>
    </row>
    <row r="185" spans="1:18" x14ac:dyDescent="0.25">
      <c r="A185" s="170">
        <v>42269</v>
      </c>
      <c r="B185" s="116">
        <v>314.75</v>
      </c>
      <c r="C185" s="116">
        <v>307.02499999999998</v>
      </c>
      <c r="D185" s="116">
        <v>305.25</v>
      </c>
      <c r="E185" s="116">
        <v>311.86</v>
      </c>
      <c r="F185" s="116">
        <v>6140.5</v>
      </c>
      <c r="G185">
        <v>2155</v>
      </c>
      <c r="H185" s="116"/>
      <c r="I185" s="116"/>
      <c r="L185" s="170">
        <v>42269</v>
      </c>
      <c r="M185" s="116">
        <v>307.42250000000001</v>
      </c>
      <c r="N185" s="116">
        <v>315</v>
      </c>
      <c r="O185" s="116">
        <v>306.25</v>
      </c>
      <c r="P185" s="116">
        <v>311</v>
      </c>
      <c r="Q185" s="116">
        <v>6148.45</v>
      </c>
      <c r="R185">
        <v>25332</v>
      </c>
    </row>
    <row r="186" spans="1:18" x14ac:dyDescent="0.25">
      <c r="A186" s="170">
        <v>42270</v>
      </c>
      <c r="B186" s="116">
        <v>316.05250000000001</v>
      </c>
      <c r="C186" s="116">
        <v>311.755</v>
      </c>
      <c r="D186" s="116">
        <v>303.75</v>
      </c>
      <c r="E186" s="116">
        <v>307.02499999999998</v>
      </c>
      <c r="F186" s="116">
        <v>6235.1</v>
      </c>
      <c r="G186">
        <v>2927</v>
      </c>
      <c r="H186" s="116"/>
      <c r="I186" s="116"/>
      <c r="L186" s="170">
        <v>42270</v>
      </c>
      <c r="M186" s="116">
        <v>310.99</v>
      </c>
      <c r="N186" s="116">
        <v>317.51749999999998</v>
      </c>
      <c r="O186" s="116">
        <v>303</v>
      </c>
      <c r="P186" s="116">
        <v>308.94499999999999</v>
      </c>
      <c r="Q186" s="116">
        <v>6219.8</v>
      </c>
      <c r="R186">
        <v>31449</v>
      </c>
    </row>
    <row r="187" spans="1:18" x14ac:dyDescent="0.25">
      <c r="A187" s="170">
        <v>42271</v>
      </c>
      <c r="B187" s="116">
        <v>313.25</v>
      </c>
      <c r="C187" s="116">
        <v>310.13</v>
      </c>
      <c r="D187" s="116">
        <v>307.4975</v>
      </c>
      <c r="E187" s="116">
        <v>313.25</v>
      </c>
      <c r="F187" s="116">
        <v>6202.6</v>
      </c>
      <c r="G187">
        <v>4094</v>
      </c>
      <c r="H187" s="116"/>
      <c r="I187" s="116"/>
      <c r="L187" s="170">
        <v>42271</v>
      </c>
      <c r="M187" s="116">
        <v>310.60250000000002</v>
      </c>
      <c r="N187" s="116">
        <v>314.39999999999998</v>
      </c>
      <c r="O187" s="116">
        <v>307.61750000000001</v>
      </c>
      <c r="P187" s="116">
        <v>314.39999999999998</v>
      </c>
      <c r="Q187" s="116">
        <v>6212.05</v>
      </c>
      <c r="R187">
        <v>26846</v>
      </c>
    </row>
    <row r="188" spans="1:18" x14ac:dyDescent="0.25">
      <c r="A188" s="170">
        <v>42275</v>
      </c>
      <c r="B188" s="116">
        <v>313.185</v>
      </c>
      <c r="C188" s="116">
        <v>310.13249999999999</v>
      </c>
      <c r="D188" s="116">
        <v>307.5</v>
      </c>
      <c r="E188" s="116">
        <v>312.84750000000003</v>
      </c>
      <c r="F188" s="116">
        <v>6202.65</v>
      </c>
      <c r="G188">
        <v>133087</v>
      </c>
      <c r="H188" s="116"/>
      <c r="I188" s="116"/>
      <c r="L188" s="170">
        <v>42275</v>
      </c>
      <c r="M188" s="116">
        <v>310.96499999999997</v>
      </c>
      <c r="N188" s="116">
        <v>313.89999999999998</v>
      </c>
      <c r="O188" s="116">
        <v>307.64999999999998</v>
      </c>
      <c r="P188" s="116">
        <v>312.25</v>
      </c>
      <c r="Q188" s="116">
        <v>6219.3</v>
      </c>
      <c r="R188">
        <v>27813</v>
      </c>
    </row>
    <row r="189" spans="1:18" x14ac:dyDescent="0.25">
      <c r="A189" s="170">
        <v>42276</v>
      </c>
      <c r="B189" s="116">
        <v>312.37</v>
      </c>
      <c r="C189" s="116">
        <v>309.01249999999999</v>
      </c>
      <c r="D189" s="116">
        <v>305.07749999999999</v>
      </c>
      <c r="E189" s="116">
        <v>312</v>
      </c>
      <c r="F189" s="116">
        <v>6180.25</v>
      </c>
      <c r="G189">
        <v>1878</v>
      </c>
      <c r="H189" s="116"/>
      <c r="I189" s="116"/>
      <c r="L189" s="170">
        <v>42276</v>
      </c>
      <c r="M189" s="116">
        <v>308.98</v>
      </c>
      <c r="N189" s="116">
        <v>312.5</v>
      </c>
      <c r="O189" s="116">
        <v>305.55</v>
      </c>
      <c r="P189" s="116">
        <v>309.39999999999998</v>
      </c>
      <c r="Q189" s="116">
        <v>6179.6</v>
      </c>
      <c r="R189">
        <v>24187</v>
      </c>
    </row>
    <row r="190" spans="1:18" x14ac:dyDescent="0.25">
      <c r="A190" s="170">
        <v>42277</v>
      </c>
      <c r="B190" s="116">
        <v>319</v>
      </c>
      <c r="C190" s="116">
        <v>317.51749999999998</v>
      </c>
      <c r="D190" s="116">
        <v>311.0675</v>
      </c>
      <c r="E190" s="116">
        <v>313.08</v>
      </c>
      <c r="F190" s="116">
        <v>6350.35</v>
      </c>
      <c r="G190">
        <v>18337</v>
      </c>
      <c r="H190" s="116"/>
      <c r="I190" s="116"/>
      <c r="L190" s="170">
        <v>42277</v>
      </c>
      <c r="M190" s="116">
        <v>318.38249999999999</v>
      </c>
      <c r="N190" s="116">
        <v>319.89999999999998</v>
      </c>
      <c r="O190" s="116">
        <v>310.67</v>
      </c>
      <c r="P190" s="116">
        <v>312.5</v>
      </c>
      <c r="Q190" s="116">
        <v>6367.65</v>
      </c>
      <c r="R190">
        <v>54871</v>
      </c>
    </row>
    <row r="191" spans="1:18" x14ac:dyDescent="0.25">
      <c r="A191" s="170">
        <v>42278</v>
      </c>
      <c r="B191" s="116">
        <v>320.72750000000002</v>
      </c>
      <c r="C191" s="116">
        <v>320.04250000000002</v>
      </c>
      <c r="D191" s="116">
        <v>316.48500000000001</v>
      </c>
      <c r="E191" s="116">
        <v>318.59750000000003</v>
      </c>
      <c r="F191" s="116">
        <v>6400.85</v>
      </c>
      <c r="G191">
        <v>4885</v>
      </c>
      <c r="H191" s="116"/>
      <c r="I191" s="116"/>
      <c r="L191" s="170">
        <v>42278</v>
      </c>
      <c r="M191" s="116">
        <v>321.125</v>
      </c>
      <c r="N191" s="116">
        <v>321.7</v>
      </c>
      <c r="O191" s="116">
        <v>316.15750000000003</v>
      </c>
      <c r="P191" s="116">
        <v>318.2</v>
      </c>
      <c r="Q191" s="116">
        <v>6422.5</v>
      </c>
      <c r="R191">
        <v>30309</v>
      </c>
    </row>
    <row r="192" spans="1:18" x14ac:dyDescent="0.25">
      <c r="A192" s="170">
        <v>42282</v>
      </c>
      <c r="B192" s="116">
        <v>323.51</v>
      </c>
      <c r="C192" s="116">
        <v>323.07749999999999</v>
      </c>
      <c r="D192" s="116">
        <v>320.57749999999999</v>
      </c>
      <c r="E192" s="116">
        <v>322.2</v>
      </c>
      <c r="F192" s="116">
        <v>6461.55</v>
      </c>
      <c r="G192">
        <v>3695</v>
      </c>
      <c r="H192" s="116"/>
      <c r="I192" s="116"/>
      <c r="L192" s="170">
        <v>42282</v>
      </c>
      <c r="M192" s="116">
        <v>323.93</v>
      </c>
      <c r="N192" s="116">
        <v>324.10000000000002</v>
      </c>
      <c r="O192" s="116">
        <v>321.3</v>
      </c>
      <c r="P192" s="116">
        <v>322.5</v>
      </c>
      <c r="Q192" s="116">
        <v>6478.6</v>
      </c>
      <c r="R192">
        <v>29433</v>
      </c>
    </row>
    <row r="193" spans="1:18" x14ac:dyDescent="0.25">
      <c r="A193" s="170">
        <v>42283</v>
      </c>
      <c r="B193" s="116">
        <v>325.39999999999998</v>
      </c>
      <c r="C193" s="116">
        <v>324.19749999999999</v>
      </c>
      <c r="D193" s="116">
        <v>320.52249999999998</v>
      </c>
      <c r="E193" s="116">
        <v>323.86750000000001</v>
      </c>
      <c r="F193" s="116">
        <v>6483.95</v>
      </c>
      <c r="G193">
        <v>2877</v>
      </c>
      <c r="H193" s="116"/>
      <c r="I193" s="116"/>
      <c r="L193" s="170">
        <v>42283</v>
      </c>
      <c r="M193" s="116">
        <v>324.76249999999999</v>
      </c>
      <c r="N193" s="116">
        <v>325.95</v>
      </c>
      <c r="O193" s="116">
        <v>321.25</v>
      </c>
      <c r="P193" s="116">
        <v>324</v>
      </c>
      <c r="Q193" s="116">
        <v>6495.25</v>
      </c>
      <c r="R193">
        <v>23236</v>
      </c>
    </row>
    <row r="194" spans="1:18" x14ac:dyDescent="0.25">
      <c r="A194" s="170">
        <v>42284</v>
      </c>
      <c r="B194" s="116">
        <v>323.66250000000002</v>
      </c>
      <c r="C194" s="116">
        <v>317.435</v>
      </c>
      <c r="D194" s="116">
        <v>315.88</v>
      </c>
      <c r="E194" s="116">
        <v>323.53250000000003</v>
      </c>
      <c r="F194" s="116">
        <v>6348.7</v>
      </c>
      <c r="G194">
        <v>3292</v>
      </c>
      <c r="H194" s="116"/>
      <c r="I194" s="116"/>
      <c r="L194" s="170">
        <v>42284</v>
      </c>
      <c r="M194" s="116">
        <v>316.8775</v>
      </c>
      <c r="N194" s="116">
        <v>324.5</v>
      </c>
      <c r="O194" s="116">
        <v>315.73500000000001</v>
      </c>
      <c r="P194" s="116">
        <v>324.5</v>
      </c>
      <c r="Q194" s="116">
        <v>6337.55</v>
      </c>
      <c r="R194">
        <v>36934</v>
      </c>
    </row>
    <row r="195" spans="1:18" x14ac:dyDescent="0.25">
      <c r="A195" s="170">
        <v>42285</v>
      </c>
      <c r="B195" s="116">
        <v>320.7</v>
      </c>
      <c r="C195" s="116">
        <v>318.66000000000003</v>
      </c>
      <c r="D195" s="116">
        <v>317.13249999999999</v>
      </c>
      <c r="E195" s="116">
        <v>318.66750000000002</v>
      </c>
      <c r="F195" s="116">
        <v>6373.2</v>
      </c>
      <c r="G195">
        <v>2128</v>
      </c>
      <c r="H195" s="116"/>
      <c r="I195" s="116"/>
      <c r="L195" s="170">
        <v>42285</v>
      </c>
      <c r="M195" s="116">
        <v>318.3725</v>
      </c>
      <c r="N195" s="116">
        <v>320.95</v>
      </c>
      <c r="O195" s="116">
        <v>317.01749999999998</v>
      </c>
      <c r="P195" s="116">
        <v>319.60000000000002</v>
      </c>
      <c r="Q195" s="116">
        <v>6367.45</v>
      </c>
      <c r="R195">
        <v>8972</v>
      </c>
    </row>
    <row r="196" spans="1:18" x14ac:dyDescent="0.25">
      <c r="A196" s="170">
        <v>42286</v>
      </c>
      <c r="B196" s="116">
        <v>322.4975</v>
      </c>
      <c r="C196" s="116">
        <v>320.16500000000002</v>
      </c>
      <c r="D196" s="116">
        <v>317.26</v>
      </c>
      <c r="E196" s="116">
        <v>317.5</v>
      </c>
      <c r="F196" s="116">
        <v>6403.3</v>
      </c>
      <c r="G196">
        <v>2393</v>
      </c>
      <c r="H196" s="116"/>
      <c r="I196" s="116"/>
      <c r="L196" s="170">
        <v>42286</v>
      </c>
      <c r="M196" s="116">
        <v>320.82749999999999</v>
      </c>
      <c r="N196" s="116">
        <v>322.45</v>
      </c>
      <c r="O196" s="116">
        <v>317.6275</v>
      </c>
      <c r="P196" s="116">
        <v>318.35000000000002</v>
      </c>
      <c r="Q196" s="116">
        <v>6416.55</v>
      </c>
      <c r="R196">
        <v>14875</v>
      </c>
    </row>
    <row r="197" spans="1:18" x14ac:dyDescent="0.25">
      <c r="A197" s="170">
        <v>42289</v>
      </c>
      <c r="B197" s="116">
        <v>320.5</v>
      </c>
      <c r="C197" s="116">
        <v>312.83499999999998</v>
      </c>
      <c r="D197" s="116">
        <v>311.505</v>
      </c>
      <c r="E197" s="116">
        <v>320.16500000000002</v>
      </c>
      <c r="F197" s="116">
        <v>6256.7</v>
      </c>
      <c r="G197">
        <v>68098</v>
      </c>
      <c r="H197" s="116"/>
      <c r="I197" s="116"/>
      <c r="L197" s="170">
        <v>42289</v>
      </c>
      <c r="M197" s="116">
        <v>312.80500000000001</v>
      </c>
      <c r="N197" s="116">
        <v>321.5025</v>
      </c>
      <c r="O197" s="116">
        <v>311.5</v>
      </c>
      <c r="P197" s="116">
        <v>320.85000000000002</v>
      </c>
      <c r="Q197" s="116">
        <v>6256.1</v>
      </c>
      <c r="R197">
        <v>24060</v>
      </c>
    </row>
    <row r="198" spans="1:18" x14ac:dyDescent="0.25">
      <c r="A198" s="170">
        <v>42290</v>
      </c>
      <c r="B198" s="116">
        <v>315.54750000000001</v>
      </c>
      <c r="C198" s="116">
        <v>307.89499999999998</v>
      </c>
      <c r="D198" s="116">
        <v>305.45</v>
      </c>
      <c r="E198" s="116">
        <v>314.83499999999998</v>
      </c>
      <c r="F198" s="116">
        <v>6157.9</v>
      </c>
      <c r="G198">
        <v>30668</v>
      </c>
      <c r="H198" s="116"/>
      <c r="I198" s="116"/>
      <c r="L198" s="170">
        <v>42290</v>
      </c>
      <c r="M198" s="116">
        <v>307.59750000000003</v>
      </c>
      <c r="N198" s="116">
        <v>315.88</v>
      </c>
      <c r="O198" s="116">
        <v>305.25749999999999</v>
      </c>
      <c r="P198" s="116">
        <v>313.35000000000002</v>
      </c>
      <c r="Q198" s="116">
        <v>6151.95</v>
      </c>
      <c r="R198">
        <v>46265</v>
      </c>
    </row>
    <row r="199" spans="1:18" x14ac:dyDescent="0.25">
      <c r="A199" s="170">
        <v>42291</v>
      </c>
      <c r="B199" s="116">
        <v>312</v>
      </c>
      <c r="C199" s="116">
        <v>309.93</v>
      </c>
      <c r="D199" s="116">
        <v>306.20249999999999</v>
      </c>
      <c r="E199" s="116">
        <v>307.64999999999998</v>
      </c>
      <c r="F199" s="116">
        <v>6198.6</v>
      </c>
      <c r="G199">
        <v>2320</v>
      </c>
      <c r="H199" s="116"/>
      <c r="I199" s="116"/>
      <c r="L199" s="170">
        <v>42291</v>
      </c>
      <c r="M199" s="116">
        <v>310.53250000000003</v>
      </c>
      <c r="N199" s="116">
        <v>312.39999999999998</v>
      </c>
      <c r="O199" s="116">
        <v>305.55</v>
      </c>
      <c r="P199" s="116">
        <v>309.95</v>
      </c>
      <c r="Q199" s="116">
        <v>6210.65</v>
      </c>
      <c r="R199">
        <v>15619</v>
      </c>
    </row>
    <row r="200" spans="1:18" x14ac:dyDescent="0.25">
      <c r="A200" s="170">
        <v>42292</v>
      </c>
      <c r="B200" s="116">
        <v>312.45</v>
      </c>
      <c r="C200" s="116">
        <v>310.2</v>
      </c>
      <c r="D200" s="116">
        <v>307.55</v>
      </c>
      <c r="E200" s="116">
        <v>309.4325</v>
      </c>
      <c r="F200" s="116">
        <v>6204</v>
      </c>
      <c r="G200">
        <v>3043</v>
      </c>
      <c r="H200" s="116"/>
      <c r="I200" s="116"/>
      <c r="L200" s="170">
        <v>42292</v>
      </c>
      <c r="M200" s="116">
        <v>310.32499999999999</v>
      </c>
      <c r="N200" s="116">
        <v>312.94749999999999</v>
      </c>
      <c r="O200" s="116">
        <v>307.52499999999998</v>
      </c>
      <c r="P200" s="116">
        <v>309.75</v>
      </c>
      <c r="Q200" s="116">
        <v>6206.5</v>
      </c>
      <c r="R200">
        <v>24109</v>
      </c>
    </row>
    <row r="201" spans="1:18" x14ac:dyDescent="0.25">
      <c r="A201" s="170">
        <v>42293</v>
      </c>
      <c r="B201" s="116">
        <v>333.75</v>
      </c>
      <c r="C201" s="116">
        <v>329.005</v>
      </c>
      <c r="D201" s="116">
        <v>308.99</v>
      </c>
      <c r="E201" s="116">
        <v>313.95</v>
      </c>
      <c r="F201" s="116">
        <v>6580.1</v>
      </c>
      <c r="G201">
        <v>59394</v>
      </c>
      <c r="H201" s="116"/>
      <c r="I201" s="116"/>
      <c r="L201" s="170">
        <v>42293</v>
      </c>
      <c r="M201" s="116">
        <v>328.47</v>
      </c>
      <c r="N201" s="116">
        <v>333.4975</v>
      </c>
      <c r="O201" s="116">
        <v>308.5</v>
      </c>
      <c r="P201" s="116">
        <v>312.5</v>
      </c>
      <c r="Q201" s="116">
        <v>6569.4</v>
      </c>
      <c r="R201">
        <v>317373</v>
      </c>
    </row>
    <row r="202" spans="1:18" x14ac:dyDescent="0.25">
      <c r="A202" s="170">
        <v>42296</v>
      </c>
      <c r="B202" s="116">
        <v>330.92250000000001</v>
      </c>
      <c r="C202" s="116">
        <v>323.8075</v>
      </c>
      <c r="D202" s="116">
        <v>322.5</v>
      </c>
      <c r="E202" s="116">
        <v>329.95</v>
      </c>
      <c r="F202" s="116">
        <v>6476.15</v>
      </c>
      <c r="G202">
        <v>12711</v>
      </c>
      <c r="H202" s="116"/>
      <c r="I202" s="116"/>
      <c r="L202" s="170">
        <v>42296</v>
      </c>
      <c r="M202" s="116">
        <v>324.64999999999998</v>
      </c>
      <c r="N202" s="116">
        <v>330.72</v>
      </c>
      <c r="O202" s="116">
        <v>322.61250000000001</v>
      </c>
      <c r="P202" s="116">
        <v>329.9</v>
      </c>
      <c r="Q202" s="116">
        <v>6493</v>
      </c>
      <c r="R202">
        <v>71912</v>
      </c>
    </row>
    <row r="203" spans="1:18" x14ac:dyDescent="0.25">
      <c r="A203" s="170">
        <v>42297</v>
      </c>
      <c r="B203" s="116">
        <v>332.4</v>
      </c>
      <c r="C203" s="116">
        <v>326.67</v>
      </c>
      <c r="D203" s="116">
        <v>325.45</v>
      </c>
      <c r="E203" s="116">
        <v>329.75</v>
      </c>
      <c r="F203" s="116">
        <v>6533.4</v>
      </c>
      <c r="G203">
        <v>13759</v>
      </c>
      <c r="H203" s="116"/>
      <c r="I203" s="116"/>
      <c r="L203" s="170">
        <v>42297</v>
      </c>
      <c r="M203" s="116">
        <v>326.82499999999999</v>
      </c>
      <c r="N203" s="116">
        <v>332.42500000000001</v>
      </c>
      <c r="O203" s="116">
        <v>325.52499999999998</v>
      </c>
      <c r="P203" s="116">
        <v>329.92</v>
      </c>
      <c r="Q203" s="116">
        <v>6536.5</v>
      </c>
      <c r="R203">
        <v>73153</v>
      </c>
    </row>
    <row r="204" spans="1:18" x14ac:dyDescent="0.25">
      <c r="A204" s="170">
        <v>42298</v>
      </c>
      <c r="B204" s="116">
        <v>331.45</v>
      </c>
      <c r="C204" s="116">
        <v>323.04250000000002</v>
      </c>
      <c r="D204" s="116">
        <v>322.25</v>
      </c>
      <c r="E204" s="116">
        <v>329</v>
      </c>
      <c r="F204" s="116">
        <v>6460.85</v>
      </c>
      <c r="G204">
        <v>13454</v>
      </c>
      <c r="H204" s="116"/>
      <c r="I204" s="116"/>
      <c r="L204" s="170">
        <v>42298</v>
      </c>
      <c r="M204" s="116">
        <v>323.16500000000002</v>
      </c>
      <c r="N204" s="116">
        <v>331.45</v>
      </c>
      <c r="O204" s="116">
        <v>322.005</v>
      </c>
      <c r="P204" s="116">
        <v>327.25</v>
      </c>
      <c r="Q204" s="116">
        <v>6463.3</v>
      </c>
      <c r="R204">
        <v>59955</v>
      </c>
    </row>
    <row r="205" spans="1:18" x14ac:dyDescent="0.25">
      <c r="A205" s="170">
        <v>42300</v>
      </c>
      <c r="B205" s="116">
        <v>326.25</v>
      </c>
      <c r="C205" s="116">
        <v>316.41250000000002</v>
      </c>
      <c r="D205" s="116">
        <v>315.25</v>
      </c>
      <c r="E205" s="116">
        <v>325</v>
      </c>
      <c r="F205" s="116">
        <v>6328.25</v>
      </c>
      <c r="G205">
        <v>6174</v>
      </c>
      <c r="H205" s="116"/>
      <c r="I205" s="116"/>
      <c r="L205" s="170">
        <v>42300</v>
      </c>
      <c r="M205" s="116">
        <v>316.4325</v>
      </c>
      <c r="N205" s="116">
        <v>327.5</v>
      </c>
      <c r="O205" s="116">
        <v>315.56</v>
      </c>
      <c r="P205" s="116">
        <v>327.5</v>
      </c>
      <c r="Q205" s="116">
        <v>6328.65</v>
      </c>
      <c r="R205">
        <v>39067</v>
      </c>
    </row>
    <row r="206" spans="1:18" x14ac:dyDescent="0.25">
      <c r="A206" s="170">
        <v>42303</v>
      </c>
      <c r="B206" s="116">
        <v>319.5</v>
      </c>
      <c r="C206" s="116">
        <v>316.75749999999999</v>
      </c>
      <c r="D206" s="116">
        <v>314.5025</v>
      </c>
      <c r="E206" s="116">
        <v>318.32</v>
      </c>
      <c r="F206" s="116">
        <v>6335.15</v>
      </c>
      <c r="G206">
        <v>6078</v>
      </c>
      <c r="H206" s="116"/>
      <c r="I206" s="116"/>
      <c r="L206" s="170">
        <v>42303</v>
      </c>
      <c r="M206" s="116">
        <v>315.815</v>
      </c>
      <c r="N206" s="116">
        <v>321</v>
      </c>
      <c r="O206" s="116">
        <v>314</v>
      </c>
      <c r="P206" s="116">
        <v>317.89999999999998</v>
      </c>
      <c r="Q206" s="116">
        <v>6316.3</v>
      </c>
      <c r="R206">
        <v>33416</v>
      </c>
    </row>
    <row r="207" spans="1:18" x14ac:dyDescent="0.25">
      <c r="A207" s="170">
        <v>42304</v>
      </c>
      <c r="B207" s="116">
        <v>321</v>
      </c>
      <c r="C207" s="116">
        <v>317.01499999999999</v>
      </c>
      <c r="D207" s="116">
        <v>316</v>
      </c>
      <c r="E207" s="116">
        <v>321</v>
      </c>
      <c r="F207" s="116">
        <v>6340.3</v>
      </c>
      <c r="G207">
        <v>6082</v>
      </c>
      <c r="H207" s="116"/>
      <c r="I207" s="116"/>
      <c r="L207" s="170">
        <v>42304</v>
      </c>
      <c r="M207" s="116">
        <v>317.72500000000002</v>
      </c>
      <c r="N207" s="116">
        <v>320.5</v>
      </c>
      <c r="O207" s="116">
        <v>317.25</v>
      </c>
      <c r="P207" s="116">
        <v>319.95</v>
      </c>
      <c r="Q207" s="116">
        <v>6354.5</v>
      </c>
      <c r="R207">
        <v>33326</v>
      </c>
    </row>
    <row r="208" spans="1:18" x14ac:dyDescent="0.25">
      <c r="A208" s="170">
        <v>42305</v>
      </c>
      <c r="B208" s="116">
        <v>319.26249999999999</v>
      </c>
      <c r="C208" s="116">
        <v>316.29000000000002</v>
      </c>
      <c r="D208" s="116">
        <v>315.10000000000002</v>
      </c>
      <c r="E208" s="116">
        <v>317.72500000000002</v>
      </c>
      <c r="F208" s="116">
        <v>6325.8</v>
      </c>
      <c r="G208">
        <v>4893</v>
      </c>
      <c r="H208" s="116"/>
      <c r="I208" s="116"/>
      <c r="L208" s="170">
        <v>42305</v>
      </c>
      <c r="M208" s="116">
        <v>316.87</v>
      </c>
      <c r="N208" s="116">
        <v>319.0025</v>
      </c>
      <c r="O208" s="116">
        <v>315</v>
      </c>
      <c r="P208" s="116">
        <v>318.5</v>
      </c>
      <c r="Q208" s="116">
        <v>6337.4</v>
      </c>
      <c r="R208">
        <v>29844</v>
      </c>
    </row>
    <row r="209" spans="1:18" x14ac:dyDescent="0.25">
      <c r="A209" s="170">
        <v>42306</v>
      </c>
      <c r="B209" s="116">
        <v>316.60250000000002</v>
      </c>
      <c r="C209" s="116">
        <v>314.10500000000002</v>
      </c>
      <c r="D209" s="116">
        <v>312.60000000000002</v>
      </c>
      <c r="E209" s="116">
        <v>316.60250000000002</v>
      </c>
      <c r="F209" s="116">
        <v>6282.1</v>
      </c>
      <c r="G209">
        <v>4503</v>
      </c>
      <c r="H209" s="116"/>
      <c r="I209" s="116"/>
      <c r="L209" s="170">
        <v>42306</v>
      </c>
      <c r="M209" s="116">
        <v>314.52499999999998</v>
      </c>
      <c r="N209" s="116">
        <v>318.5</v>
      </c>
      <c r="O209" s="116">
        <v>312.59750000000003</v>
      </c>
      <c r="P209" s="116">
        <v>316.875</v>
      </c>
      <c r="Q209" s="116">
        <v>6290.5</v>
      </c>
      <c r="R209">
        <v>47775</v>
      </c>
    </row>
    <row r="210" spans="1:18" x14ac:dyDescent="0.25">
      <c r="A210" s="170">
        <v>42307</v>
      </c>
      <c r="B210" s="116">
        <v>312.75</v>
      </c>
      <c r="C210" s="116">
        <v>308.97500000000002</v>
      </c>
      <c r="D210" s="116">
        <v>307.82499999999999</v>
      </c>
      <c r="E210" s="116">
        <v>311</v>
      </c>
      <c r="F210" s="116">
        <v>6179.5</v>
      </c>
      <c r="G210">
        <v>9497</v>
      </c>
      <c r="H210" s="116"/>
      <c r="I210" s="116"/>
      <c r="L210" s="170">
        <v>42307</v>
      </c>
      <c r="M210" s="116">
        <v>308.69499999999999</v>
      </c>
      <c r="N210" s="116">
        <v>313.10000000000002</v>
      </c>
      <c r="O210" s="116">
        <v>307.5</v>
      </c>
      <c r="P210" s="116">
        <v>311.5</v>
      </c>
      <c r="Q210" s="116">
        <v>6173.9</v>
      </c>
      <c r="R210">
        <v>51020</v>
      </c>
    </row>
    <row r="211" spans="1:18" x14ac:dyDescent="0.25">
      <c r="A211" s="170">
        <v>42310</v>
      </c>
      <c r="B211" s="116">
        <v>314.89749999999998</v>
      </c>
      <c r="C211" s="116">
        <v>312.83999999999997</v>
      </c>
      <c r="D211" s="116">
        <v>308</v>
      </c>
      <c r="E211" s="116">
        <v>308.7</v>
      </c>
      <c r="F211" s="116">
        <v>6256.8</v>
      </c>
      <c r="G211">
        <v>6808</v>
      </c>
      <c r="H211" s="116"/>
      <c r="I211" s="116"/>
      <c r="L211" s="170">
        <v>42310</v>
      </c>
      <c r="M211" s="116">
        <v>313.80250000000001</v>
      </c>
      <c r="N211" s="116">
        <v>315.95</v>
      </c>
      <c r="O211" s="116">
        <v>307.5</v>
      </c>
      <c r="P211" s="116">
        <v>308</v>
      </c>
      <c r="Q211" s="116">
        <v>6276.05</v>
      </c>
      <c r="R211">
        <v>29690</v>
      </c>
    </row>
    <row r="212" spans="1:18" x14ac:dyDescent="0.25">
      <c r="A212" s="170">
        <v>42311</v>
      </c>
      <c r="B212" s="116">
        <v>315.73500000000001</v>
      </c>
      <c r="C212" s="116">
        <v>311.71749999999997</v>
      </c>
      <c r="D212" s="116">
        <v>310.89999999999998</v>
      </c>
      <c r="E212" s="116">
        <v>313.8</v>
      </c>
      <c r="F212" s="116">
        <v>6234.35</v>
      </c>
      <c r="G212">
        <v>3614</v>
      </c>
      <c r="H212" s="116"/>
      <c r="I212" s="116"/>
      <c r="L212" s="170">
        <v>42311</v>
      </c>
      <c r="M212" s="116">
        <v>310.88749999999999</v>
      </c>
      <c r="N212" s="116">
        <v>316</v>
      </c>
      <c r="O212" s="116">
        <v>310.25749999999999</v>
      </c>
      <c r="P212" s="116">
        <v>314.95</v>
      </c>
      <c r="Q212" s="116">
        <v>6217.75</v>
      </c>
      <c r="R212">
        <v>28500</v>
      </c>
    </row>
    <row r="213" spans="1:18" x14ac:dyDescent="0.25">
      <c r="A213" s="170">
        <v>42312</v>
      </c>
      <c r="B213" s="116">
        <v>323.95</v>
      </c>
      <c r="C213" s="116">
        <v>312.35750000000002</v>
      </c>
      <c r="D213" s="116">
        <v>311.04000000000002</v>
      </c>
      <c r="E213" s="116">
        <v>312.84249999999997</v>
      </c>
      <c r="F213" s="116">
        <v>6247.15</v>
      </c>
      <c r="G213">
        <v>33042</v>
      </c>
      <c r="H213" s="116"/>
      <c r="I213" s="116"/>
      <c r="L213" s="170">
        <v>42312</v>
      </c>
      <c r="M213" s="116">
        <v>312.5575</v>
      </c>
      <c r="N213" s="116">
        <v>323.7</v>
      </c>
      <c r="O213" s="116">
        <v>310.98750000000001</v>
      </c>
      <c r="P213" s="116">
        <v>312.5</v>
      </c>
      <c r="Q213" s="116">
        <v>6251.15</v>
      </c>
      <c r="R213">
        <v>157371</v>
      </c>
    </row>
    <row r="214" spans="1:18" x14ac:dyDescent="0.25">
      <c r="A214" s="170">
        <v>42313</v>
      </c>
      <c r="B214" s="116">
        <v>315.14999999999998</v>
      </c>
      <c r="C214" s="116">
        <v>309.08999999999997</v>
      </c>
      <c r="D214" s="116">
        <v>308</v>
      </c>
      <c r="E214" s="116">
        <v>313</v>
      </c>
      <c r="F214" s="116">
        <v>6181.8</v>
      </c>
      <c r="G214">
        <v>12017</v>
      </c>
      <c r="H214" s="116"/>
      <c r="I214" s="116"/>
      <c r="L214" s="170">
        <v>42313</v>
      </c>
      <c r="M214" s="116">
        <v>308.28250000000003</v>
      </c>
      <c r="N214" s="116">
        <v>314.95</v>
      </c>
      <c r="O214" s="116">
        <v>307.5</v>
      </c>
      <c r="P214" s="116">
        <v>313</v>
      </c>
      <c r="Q214" s="116">
        <v>6165.65</v>
      </c>
      <c r="R214">
        <v>38309</v>
      </c>
    </row>
    <row r="215" spans="1:18" x14ac:dyDescent="0.25">
      <c r="A215" s="170">
        <v>42314</v>
      </c>
      <c r="B215" s="116">
        <v>311.45</v>
      </c>
      <c r="C215" s="116">
        <v>308.59249999999997</v>
      </c>
      <c r="D215" s="116">
        <v>308.05</v>
      </c>
      <c r="E215" s="116">
        <v>310.05</v>
      </c>
      <c r="F215" s="116">
        <v>6171.85</v>
      </c>
      <c r="G215">
        <v>3371</v>
      </c>
      <c r="H215" s="116"/>
      <c r="I215" s="116"/>
      <c r="L215" s="170">
        <v>42314</v>
      </c>
      <c r="M215" s="116">
        <v>308.44749999999999</v>
      </c>
      <c r="N215" s="116">
        <v>311.7475</v>
      </c>
      <c r="O215" s="116">
        <v>307.55</v>
      </c>
      <c r="P215" s="116">
        <v>309.95</v>
      </c>
      <c r="Q215" s="116">
        <v>6168.95</v>
      </c>
      <c r="R215">
        <v>16050</v>
      </c>
    </row>
    <row r="216" spans="1:18" x14ac:dyDescent="0.25">
      <c r="A216" s="170">
        <v>42317</v>
      </c>
      <c r="B216" s="116">
        <v>310.2</v>
      </c>
      <c r="C216" s="116">
        <v>306.83499999999998</v>
      </c>
      <c r="D216" s="116">
        <v>305.45249999999999</v>
      </c>
      <c r="E216" s="116">
        <v>307.5</v>
      </c>
      <c r="F216" s="116">
        <v>6136.7</v>
      </c>
      <c r="G216">
        <v>7971</v>
      </c>
      <c r="H216" s="116"/>
      <c r="I216" s="116"/>
      <c r="L216" s="170">
        <v>42317</v>
      </c>
      <c r="M216" s="116">
        <v>305.57</v>
      </c>
      <c r="N216" s="116">
        <v>309.9975</v>
      </c>
      <c r="O216" s="116">
        <v>304.95</v>
      </c>
      <c r="P216" s="116">
        <v>306.25</v>
      </c>
      <c r="Q216" s="116">
        <v>6111.4</v>
      </c>
      <c r="R216">
        <v>51683</v>
      </c>
    </row>
    <row r="217" spans="1:18" x14ac:dyDescent="0.25">
      <c r="A217" s="170">
        <v>42318</v>
      </c>
      <c r="B217" s="116">
        <v>308.85000000000002</v>
      </c>
      <c r="C217" s="116">
        <v>303.33</v>
      </c>
      <c r="D217" s="116">
        <v>302.75</v>
      </c>
      <c r="E217" s="116">
        <v>308.8</v>
      </c>
      <c r="F217" s="116">
        <v>6066.6</v>
      </c>
      <c r="G217">
        <v>8423</v>
      </c>
      <c r="H217" s="116"/>
      <c r="I217" s="116"/>
      <c r="L217" s="170">
        <v>42318</v>
      </c>
      <c r="M217" s="116">
        <v>303.61500000000001</v>
      </c>
      <c r="N217" s="116">
        <v>309.5</v>
      </c>
      <c r="O217" s="116">
        <v>302.5</v>
      </c>
      <c r="P217" s="116">
        <v>309.5</v>
      </c>
      <c r="Q217" s="116">
        <v>6072.3</v>
      </c>
      <c r="R217">
        <v>32828</v>
      </c>
    </row>
    <row r="218" spans="1:18" x14ac:dyDescent="0.25">
      <c r="A218" s="170">
        <v>42319</v>
      </c>
      <c r="B218" s="116">
        <v>309</v>
      </c>
      <c r="C218" s="116">
        <v>308.16500000000002</v>
      </c>
      <c r="D218" s="116">
        <v>306.54000000000002</v>
      </c>
      <c r="E218" s="116">
        <v>307.5</v>
      </c>
      <c r="F218" s="116">
        <v>6163.3</v>
      </c>
      <c r="G218">
        <v>2678</v>
      </c>
      <c r="H218" s="116"/>
      <c r="I218" s="116"/>
      <c r="L218" s="170">
        <v>42319</v>
      </c>
      <c r="M218" s="116">
        <v>308.74</v>
      </c>
      <c r="N218" s="116">
        <v>309.2475</v>
      </c>
      <c r="O218" s="116">
        <v>305.82749999999999</v>
      </c>
      <c r="P218" s="116">
        <v>305.82749999999999</v>
      </c>
      <c r="Q218" s="116">
        <v>6174.8</v>
      </c>
      <c r="R218">
        <v>9049</v>
      </c>
    </row>
    <row r="219" spans="1:18" x14ac:dyDescent="0.25">
      <c r="A219" s="170">
        <v>42321</v>
      </c>
      <c r="B219" s="116">
        <v>308.89999999999998</v>
      </c>
      <c r="C219" s="116">
        <v>301.85250000000002</v>
      </c>
      <c r="D219" s="116">
        <v>301.5</v>
      </c>
      <c r="E219" s="116">
        <v>308.75</v>
      </c>
      <c r="F219" s="116">
        <v>6037.05</v>
      </c>
      <c r="G219">
        <v>8891</v>
      </c>
      <c r="H219" s="116"/>
      <c r="I219" s="116"/>
      <c r="L219" s="170">
        <v>42321</v>
      </c>
      <c r="M219" s="116">
        <v>301.70999999999998</v>
      </c>
      <c r="N219" s="116">
        <v>309.3</v>
      </c>
      <c r="O219" s="116">
        <v>300.7</v>
      </c>
      <c r="P219" s="116">
        <v>307.74</v>
      </c>
      <c r="Q219" s="116">
        <v>6034.2</v>
      </c>
      <c r="R219">
        <v>115791</v>
      </c>
    </row>
    <row r="220" spans="1:18" x14ac:dyDescent="0.25">
      <c r="A220" s="170">
        <v>42324</v>
      </c>
      <c r="B220" s="116">
        <v>303.48750000000001</v>
      </c>
      <c r="C220" s="116">
        <v>299.19499999999999</v>
      </c>
      <c r="D220" s="116">
        <v>298.5025</v>
      </c>
      <c r="E220" s="116">
        <v>303.48750000000001</v>
      </c>
      <c r="F220" s="116">
        <v>5983.9</v>
      </c>
      <c r="G220">
        <v>5823</v>
      </c>
      <c r="H220" s="116"/>
      <c r="I220" s="116"/>
      <c r="L220" s="170">
        <v>42324</v>
      </c>
      <c r="M220" s="116">
        <v>299.32249999999999</v>
      </c>
      <c r="N220" s="116">
        <v>303.5</v>
      </c>
      <c r="O220" s="116">
        <v>298.125</v>
      </c>
      <c r="P220" s="116">
        <v>302.5</v>
      </c>
      <c r="Q220" s="116">
        <v>5986.45</v>
      </c>
      <c r="R220">
        <v>110197</v>
      </c>
    </row>
    <row r="221" spans="1:18" x14ac:dyDescent="0.25">
      <c r="A221" s="170">
        <v>42325</v>
      </c>
      <c r="B221" s="116">
        <v>306.5</v>
      </c>
      <c r="C221" s="116">
        <v>303.72750000000002</v>
      </c>
      <c r="D221" s="116">
        <v>297.5</v>
      </c>
      <c r="E221" s="116">
        <v>301.75</v>
      </c>
      <c r="F221" s="116">
        <v>6074.55</v>
      </c>
      <c r="G221">
        <v>11571</v>
      </c>
      <c r="H221" s="116"/>
      <c r="I221" s="116"/>
      <c r="L221" s="170">
        <v>42325</v>
      </c>
      <c r="M221" s="116">
        <v>304.23</v>
      </c>
      <c r="N221" s="116">
        <v>306.89249999999998</v>
      </c>
      <c r="O221" s="116">
        <v>297.55</v>
      </c>
      <c r="P221" s="116">
        <v>300.25</v>
      </c>
      <c r="Q221" s="116">
        <v>6084.6</v>
      </c>
      <c r="R221">
        <v>67571</v>
      </c>
    </row>
    <row r="222" spans="1:18" x14ac:dyDescent="0.25">
      <c r="A222" s="170">
        <v>42326</v>
      </c>
      <c r="B222" s="116">
        <v>311.25</v>
      </c>
      <c r="C222" s="116">
        <v>303.90249999999997</v>
      </c>
      <c r="D222" s="116">
        <v>302.5</v>
      </c>
      <c r="E222" s="116">
        <v>311.25</v>
      </c>
      <c r="F222" s="116">
        <v>6078.05</v>
      </c>
      <c r="G222">
        <v>4763</v>
      </c>
      <c r="H222" s="116"/>
      <c r="I222" s="116"/>
      <c r="L222" s="170">
        <v>42326</v>
      </c>
      <c r="M222" s="116">
        <v>304.11500000000001</v>
      </c>
      <c r="N222" s="116">
        <v>306.745</v>
      </c>
      <c r="O222" s="116">
        <v>303.39999999999998</v>
      </c>
      <c r="P222" s="116">
        <v>305.25</v>
      </c>
      <c r="Q222" s="116">
        <v>6082.3</v>
      </c>
      <c r="R222">
        <v>27800</v>
      </c>
    </row>
    <row r="223" spans="1:18" x14ac:dyDescent="0.25">
      <c r="A223" s="170">
        <v>42327</v>
      </c>
      <c r="B223" s="116">
        <v>315</v>
      </c>
      <c r="C223" s="116">
        <v>312.58499999999998</v>
      </c>
      <c r="D223" s="116">
        <v>304.25</v>
      </c>
      <c r="E223" s="116">
        <v>305.1275</v>
      </c>
      <c r="F223" s="116">
        <v>6251.7</v>
      </c>
      <c r="G223">
        <v>9896</v>
      </c>
      <c r="H223" s="116"/>
      <c r="I223" s="116"/>
      <c r="L223" s="170">
        <v>42327</v>
      </c>
      <c r="M223" s="116">
        <v>314.00749999999999</v>
      </c>
      <c r="N223" s="116">
        <v>316.14999999999998</v>
      </c>
      <c r="O223" s="116">
        <v>304.2525</v>
      </c>
      <c r="P223" s="116">
        <v>305.45</v>
      </c>
      <c r="Q223" s="116">
        <v>6280.15</v>
      </c>
      <c r="R223">
        <v>61148</v>
      </c>
    </row>
    <row r="224" spans="1:18" x14ac:dyDescent="0.25">
      <c r="A224" s="170">
        <v>42328</v>
      </c>
      <c r="B224" s="116">
        <v>313.85000000000002</v>
      </c>
      <c r="C224" s="116">
        <v>309.14749999999998</v>
      </c>
      <c r="D224" s="116">
        <v>307.5</v>
      </c>
      <c r="E224" s="116">
        <v>312</v>
      </c>
      <c r="F224" s="116">
        <v>6182.95</v>
      </c>
      <c r="G224">
        <v>3231</v>
      </c>
      <c r="H224" s="116"/>
      <c r="I224" s="116"/>
      <c r="L224" s="170">
        <v>42328</v>
      </c>
      <c r="M224" s="116">
        <v>309.8125</v>
      </c>
      <c r="N224" s="116">
        <v>313.95</v>
      </c>
      <c r="O224" s="116">
        <v>309</v>
      </c>
      <c r="P224" s="116">
        <v>313.39999999999998</v>
      </c>
      <c r="Q224" s="116">
        <v>6196.25</v>
      </c>
      <c r="R224">
        <v>19934</v>
      </c>
    </row>
    <row r="225" spans="1:18" x14ac:dyDescent="0.25">
      <c r="A225" s="170">
        <v>42331</v>
      </c>
      <c r="B225" s="116">
        <v>310.67250000000001</v>
      </c>
      <c r="C225" s="116">
        <v>307.08749999999998</v>
      </c>
      <c r="D225" s="116">
        <v>305.79750000000001</v>
      </c>
      <c r="E225" s="116">
        <v>309.98500000000001</v>
      </c>
      <c r="F225" s="116">
        <v>6141.75</v>
      </c>
      <c r="G225">
        <v>4216</v>
      </c>
      <c r="H225" s="116"/>
      <c r="I225" s="116"/>
      <c r="L225" s="170">
        <v>42331</v>
      </c>
      <c r="M225" s="116">
        <v>307.08</v>
      </c>
      <c r="N225" s="116">
        <v>311.3</v>
      </c>
      <c r="O225" s="116">
        <v>305.5</v>
      </c>
      <c r="P225" s="116">
        <v>309.95</v>
      </c>
      <c r="Q225" s="116">
        <v>6141.6</v>
      </c>
      <c r="R225">
        <v>28203</v>
      </c>
    </row>
    <row r="226" spans="1:18" x14ac:dyDescent="0.25">
      <c r="A226" s="170">
        <v>42332</v>
      </c>
      <c r="B226" s="116">
        <v>307.5</v>
      </c>
      <c r="C226" s="116">
        <v>303.01749999999998</v>
      </c>
      <c r="D226" s="116">
        <v>302.5</v>
      </c>
      <c r="E226" s="116">
        <v>307.5</v>
      </c>
      <c r="F226" s="116">
        <v>6060.35</v>
      </c>
      <c r="G226">
        <v>3587</v>
      </c>
      <c r="H226" s="116"/>
      <c r="I226" s="116"/>
      <c r="L226" s="170">
        <v>42332</v>
      </c>
      <c r="M226" s="116">
        <v>302.8175</v>
      </c>
      <c r="N226" s="116">
        <v>308.125</v>
      </c>
      <c r="O226" s="116">
        <v>302.5</v>
      </c>
      <c r="P226" s="116">
        <v>308.125</v>
      </c>
      <c r="Q226" s="116">
        <v>6056.35</v>
      </c>
      <c r="R226">
        <v>33023</v>
      </c>
    </row>
    <row r="227" spans="1:18" x14ac:dyDescent="0.25">
      <c r="A227" s="170">
        <v>42334</v>
      </c>
      <c r="B227" s="116">
        <v>306.74250000000001</v>
      </c>
      <c r="C227" s="116">
        <v>301.08999999999997</v>
      </c>
      <c r="D227" s="116">
        <v>300.52999999999997</v>
      </c>
      <c r="E227" s="116">
        <v>303.67</v>
      </c>
      <c r="F227" s="116">
        <v>6021.8</v>
      </c>
      <c r="G227">
        <v>2799</v>
      </c>
      <c r="H227" s="116"/>
      <c r="I227" s="116"/>
      <c r="L227" s="170">
        <v>42334</v>
      </c>
      <c r="M227" s="116">
        <v>301.17750000000001</v>
      </c>
      <c r="N227" s="116">
        <v>307</v>
      </c>
      <c r="O227" s="116">
        <v>300.3</v>
      </c>
      <c r="P227" s="116">
        <v>303.69499999999999</v>
      </c>
      <c r="Q227" s="116">
        <v>6023.55</v>
      </c>
      <c r="R227">
        <v>72189</v>
      </c>
    </row>
    <row r="228" spans="1:18" x14ac:dyDescent="0.25">
      <c r="A228" s="170">
        <v>42335</v>
      </c>
      <c r="B228" s="116">
        <v>302.69</v>
      </c>
      <c r="C228" s="116">
        <v>298.19749999999999</v>
      </c>
      <c r="D228" s="116">
        <v>296.05</v>
      </c>
      <c r="E228" s="116">
        <v>301.09249999999997</v>
      </c>
      <c r="F228" s="116">
        <v>5963.95</v>
      </c>
      <c r="G228">
        <v>6058</v>
      </c>
      <c r="H228" s="116"/>
      <c r="I228" s="116"/>
      <c r="L228" s="170">
        <v>42335</v>
      </c>
      <c r="M228" s="116">
        <v>297.45</v>
      </c>
      <c r="N228" s="116">
        <v>302.16250000000002</v>
      </c>
      <c r="O228" s="116">
        <v>295.27749999999997</v>
      </c>
      <c r="P228" s="116">
        <v>301.05</v>
      </c>
      <c r="Q228" s="116">
        <v>5949</v>
      </c>
      <c r="R228">
        <v>113708</v>
      </c>
    </row>
    <row r="229" spans="1:18" x14ac:dyDescent="0.25">
      <c r="A229" s="170">
        <v>42338</v>
      </c>
      <c r="B229" s="116">
        <v>297.59500000000003</v>
      </c>
      <c r="C229" s="116">
        <v>293.63249999999999</v>
      </c>
      <c r="D229" s="116">
        <v>293</v>
      </c>
      <c r="E229" s="116">
        <v>296.75</v>
      </c>
      <c r="F229" s="116">
        <v>5872.65</v>
      </c>
      <c r="G229">
        <v>9314</v>
      </c>
      <c r="H229" s="116"/>
      <c r="I229" s="116"/>
      <c r="L229" s="170">
        <v>42338</v>
      </c>
      <c r="M229" s="116">
        <v>292.94</v>
      </c>
      <c r="N229" s="116">
        <v>298.20749999999998</v>
      </c>
      <c r="O229" s="116">
        <v>292.5</v>
      </c>
      <c r="P229" s="116">
        <v>295</v>
      </c>
      <c r="Q229" s="116">
        <v>5858.8</v>
      </c>
      <c r="R229">
        <v>142381</v>
      </c>
    </row>
    <row r="230" spans="1:18" x14ac:dyDescent="0.25">
      <c r="A230" s="170">
        <v>42339</v>
      </c>
      <c r="B230" s="116">
        <v>296.39999999999998</v>
      </c>
      <c r="C230" s="116">
        <v>293.80250000000001</v>
      </c>
      <c r="D230" s="116">
        <v>292.55</v>
      </c>
      <c r="E230" s="116">
        <v>293.25</v>
      </c>
      <c r="F230" s="116">
        <v>5876.05</v>
      </c>
      <c r="G230">
        <v>4929</v>
      </c>
      <c r="H230" s="116"/>
      <c r="I230" s="116"/>
      <c r="L230" s="170">
        <v>42339</v>
      </c>
      <c r="M230" s="116">
        <v>293.95749999999998</v>
      </c>
      <c r="N230" s="116">
        <v>297.5</v>
      </c>
      <c r="O230" s="116">
        <v>292.94499999999999</v>
      </c>
      <c r="P230" s="116">
        <v>292.94499999999999</v>
      </c>
      <c r="Q230" s="116">
        <v>5879.15</v>
      </c>
      <c r="R230">
        <v>50000</v>
      </c>
    </row>
    <row r="231" spans="1:18" x14ac:dyDescent="0.25">
      <c r="A231" s="170">
        <v>42340</v>
      </c>
      <c r="B231" s="116">
        <v>296.05</v>
      </c>
      <c r="C231" s="116">
        <v>293.53750000000002</v>
      </c>
      <c r="D231" s="116">
        <v>292.5</v>
      </c>
      <c r="E231" s="116">
        <v>293.95749999999998</v>
      </c>
      <c r="F231" s="116">
        <v>5870.75</v>
      </c>
      <c r="G231">
        <v>4144</v>
      </c>
      <c r="H231" s="116"/>
      <c r="I231" s="116"/>
      <c r="L231" s="170">
        <v>42340</v>
      </c>
      <c r="M231" s="116">
        <v>293.40499999999997</v>
      </c>
      <c r="N231" s="116">
        <v>296</v>
      </c>
      <c r="O231" s="116">
        <v>291.745</v>
      </c>
      <c r="P231" s="116">
        <v>294.26</v>
      </c>
      <c r="Q231" s="116">
        <v>5868.1</v>
      </c>
      <c r="R231">
        <v>59827</v>
      </c>
    </row>
    <row r="232" spans="1:18" x14ac:dyDescent="0.25">
      <c r="A232" s="170">
        <v>42341</v>
      </c>
      <c r="B232" s="116">
        <v>293.5</v>
      </c>
      <c r="C232" s="116">
        <v>291.82</v>
      </c>
      <c r="D232" s="116">
        <v>291.25</v>
      </c>
      <c r="E232" s="116">
        <v>293.5</v>
      </c>
      <c r="F232" s="116">
        <v>5836.4</v>
      </c>
      <c r="G232">
        <v>3121</v>
      </c>
      <c r="H232" s="116"/>
      <c r="I232" s="116"/>
      <c r="L232" s="170">
        <v>42341</v>
      </c>
      <c r="M232" s="116">
        <v>291.79500000000002</v>
      </c>
      <c r="N232" s="116">
        <v>293</v>
      </c>
      <c r="O232" s="116">
        <v>291</v>
      </c>
      <c r="P232" s="116">
        <v>293</v>
      </c>
      <c r="Q232" s="116">
        <v>5835.9</v>
      </c>
      <c r="R232">
        <v>66220</v>
      </c>
    </row>
    <row r="233" spans="1:18" x14ac:dyDescent="0.25">
      <c r="A233" s="170">
        <v>42342</v>
      </c>
      <c r="B233" s="116">
        <v>295.4975</v>
      </c>
      <c r="C233" s="116">
        <v>292.81</v>
      </c>
      <c r="D233" s="116">
        <v>290.67250000000001</v>
      </c>
      <c r="E233" s="116">
        <v>292</v>
      </c>
      <c r="F233" s="116">
        <v>5856.2</v>
      </c>
      <c r="G233">
        <v>4740</v>
      </c>
      <c r="H233" s="116"/>
      <c r="I233" s="116"/>
      <c r="L233" s="170">
        <v>42342</v>
      </c>
      <c r="M233" s="116">
        <v>292.85250000000002</v>
      </c>
      <c r="N233" s="116">
        <v>295.35000000000002</v>
      </c>
      <c r="O233" s="116">
        <v>290.25749999999999</v>
      </c>
      <c r="P233" s="116">
        <v>291.8</v>
      </c>
      <c r="Q233" s="116">
        <v>5857.05</v>
      </c>
      <c r="R233">
        <v>41218</v>
      </c>
    </row>
    <row r="234" spans="1:18" x14ac:dyDescent="0.25">
      <c r="A234" s="170">
        <v>42345</v>
      </c>
      <c r="B234" s="116">
        <v>295.56</v>
      </c>
      <c r="C234" s="116">
        <v>294.91750000000002</v>
      </c>
      <c r="D234" s="116">
        <v>291.33999999999997</v>
      </c>
      <c r="E234" s="116">
        <v>294.94749999999999</v>
      </c>
      <c r="F234" s="116">
        <v>5898.35</v>
      </c>
      <c r="G234">
        <v>3199</v>
      </c>
      <c r="H234" s="116"/>
      <c r="I234" s="116"/>
      <c r="L234" s="170">
        <v>42345</v>
      </c>
      <c r="M234" s="116">
        <v>294.68</v>
      </c>
      <c r="N234" s="116">
        <v>295.5</v>
      </c>
      <c r="O234" s="116">
        <v>290.99</v>
      </c>
      <c r="P234" s="116">
        <v>294.89999999999998</v>
      </c>
      <c r="Q234" s="116">
        <v>5893.6</v>
      </c>
      <c r="R234">
        <v>17595</v>
      </c>
    </row>
    <row r="235" spans="1:18" x14ac:dyDescent="0.25">
      <c r="A235" s="170">
        <v>42346</v>
      </c>
      <c r="B235" s="116">
        <v>294.6925</v>
      </c>
      <c r="C235" s="116">
        <v>291.245</v>
      </c>
      <c r="D235" s="116">
        <v>290.95</v>
      </c>
      <c r="E235" s="116">
        <v>294.25</v>
      </c>
      <c r="F235" s="116">
        <v>5824.9</v>
      </c>
      <c r="G235">
        <v>2359</v>
      </c>
      <c r="H235" s="116"/>
      <c r="I235" s="116"/>
      <c r="L235" s="170">
        <v>42346</v>
      </c>
      <c r="M235" s="116">
        <v>291.26749999999998</v>
      </c>
      <c r="N235" s="116">
        <v>294.98500000000001</v>
      </c>
      <c r="O235" s="116">
        <v>291</v>
      </c>
      <c r="P235" s="116">
        <v>294.64999999999998</v>
      </c>
      <c r="Q235" s="116">
        <v>5825.35</v>
      </c>
      <c r="R235">
        <v>50408</v>
      </c>
    </row>
    <row r="236" spans="1:18" x14ac:dyDescent="0.25">
      <c r="A236" s="170">
        <v>42347</v>
      </c>
      <c r="B236" s="116">
        <v>293.29750000000001</v>
      </c>
      <c r="C236" s="116">
        <v>287.95249999999999</v>
      </c>
      <c r="D236" s="116">
        <v>287.55</v>
      </c>
      <c r="E236" s="116">
        <v>293.29750000000001</v>
      </c>
      <c r="F236" s="116">
        <v>5759.05</v>
      </c>
      <c r="G236">
        <v>4418</v>
      </c>
      <c r="H236" s="116"/>
      <c r="I236" s="116"/>
      <c r="L236" s="170">
        <v>42347</v>
      </c>
      <c r="M236" s="116">
        <v>287.98500000000001</v>
      </c>
      <c r="N236" s="116">
        <v>292.45</v>
      </c>
      <c r="O236" s="116">
        <v>287.6275</v>
      </c>
      <c r="P236" s="116">
        <v>291.35500000000002</v>
      </c>
      <c r="Q236" s="116">
        <v>5759.7</v>
      </c>
      <c r="R236">
        <v>120058</v>
      </c>
    </row>
    <row r="237" spans="1:18" x14ac:dyDescent="0.25">
      <c r="A237" s="170">
        <v>42348</v>
      </c>
      <c r="B237" s="116">
        <v>290.5</v>
      </c>
      <c r="C237" s="116">
        <v>288.78750000000002</v>
      </c>
      <c r="D237" s="116">
        <v>287.64249999999998</v>
      </c>
      <c r="E237" s="116">
        <v>288.005</v>
      </c>
      <c r="F237" s="116">
        <v>5775.75</v>
      </c>
      <c r="G237">
        <v>3260</v>
      </c>
      <c r="H237" s="116"/>
      <c r="I237" s="116"/>
      <c r="L237" s="170">
        <v>42348</v>
      </c>
      <c r="M237" s="116">
        <v>288.53250000000003</v>
      </c>
      <c r="N237" s="116">
        <v>291</v>
      </c>
      <c r="O237" s="116">
        <v>287.5</v>
      </c>
      <c r="P237" s="116">
        <v>288</v>
      </c>
      <c r="Q237" s="116">
        <v>5770.65</v>
      </c>
      <c r="R237">
        <v>28579</v>
      </c>
    </row>
    <row r="238" spans="1:18" x14ac:dyDescent="0.25">
      <c r="A238" s="170">
        <v>42349</v>
      </c>
      <c r="B238" s="116">
        <v>295.5</v>
      </c>
      <c r="C238" s="116">
        <v>294.7</v>
      </c>
      <c r="D238" s="116">
        <v>287.64999999999998</v>
      </c>
      <c r="E238" s="116">
        <v>287.95249999999999</v>
      </c>
      <c r="F238" s="116">
        <v>5894</v>
      </c>
      <c r="G238">
        <v>5574</v>
      </c>
      <c r="H238" s="116"/>
      <c r="I238" s="116"/>
      <c r="L238" s="170">
        <v>42349</v>
      </c>
      <c r="M238" s="116">
        <v>295.41250000000002</v>
      </c>
      <c r="N238" s="116">
        <v>296.5</v>
      </c>
      <c r="O238" s="116">
        <v>288.25</v>
      </c>
      <c r="P238" s="116">
        <v>288.53250000000003</v>
      </c>
      <c r="Q238" s="116">
        <v>5908.25</v>
      </c>
      <c r="R238">
        <v>53452</v>
      </c>
    </row>
    <row r="239" spans="1:18" x14ac:dyDescent="0.25">
      <c r="A239" s="170">
        <v>42352</v>
      </c>
      <c r="B239" s="116">
        <v>295</v>
      </c>
      <c r="C239" s="116">
        <v>293.24250000000001</v>
      </c>
      <c r="D239" s="116">
        <v>289.36</v>
      </c>
      <c r="E239" s="116">
        <v>295</v>
      </c>
      <c r="F239" s="116">
        <v>5864.85</v>
      </c>
      <c r="G239">
        <v>2769</v>
      </c>
      <c r="H239" s="116"/>
      <c r="I239" s="116"/>
      <c r="L239" s="170">
        <v>42352</v>
      </c>
      <c r="M239" s="116">
        <v>293.98750000000001</v>
      </c>
      <c r="N239" s="116">
        <v>295.495</v>
      </c>
      <c r="O239" s="116">
        <v>289.1225</v>
      </c>
      <c r="P239" s="116">
        <v>295.495</v>
      </c>
      <c r="Q239" s="116">
        <v>5879.75</v>
      </c>
      <c r="R239">
        <v>27743</v>
      </c>
    </row>
    <row r="240" spans="1:18" x14ac:dyDescent="0.25">
      <c r="A240" s="170">
        <v>42353</v>
      </c>
      <c r="B240" s="116">
        <v>295.79250000000002</v>
      </c>
      <c r="C240" s="116">
        <v>291.51499999999999</v>
      </c>
      <c r="D240" s="116">
        <v>290.27749999999997</v>
      </c>
      <c r="E240" s="116">
        <v>295</v>
      </c>
      <c r="F240" s="116">
        <v>5830.3</v>
      </c>
      <c r="G240">
        <v>10707</v>
      </c>
      <c r="H240" s="116"/>
      <c r="I240" s="116"/>
      <c r="L240" s="170">
        <v>42353</v>
      </c>
      <c r="M240" s="116">
        <v>291.93</v>
      </c>
      <c r="N240" s="116">
        <v>295.5</v>
      </c>
      <c r="O240" s="116">
        <v>290.65249999999997</v>
      </c>
      <c r="P240" s="116">
        <v>295.35000000000002</v>
      </c>
      <c r="Q240" s="116">
        <v>5838.6</v>
      </c>
      <c r="R240">
        <v>34519</v>
      </c>
    </row>
    <row r="241" spans="1:18" x14ac:dyDescent="0.25">
      <c r="A241" s="170">
        <v>42354</v>
      </c>
      <c r="B241" s="116">
        <v>295.60000000000002</v>
      </c>
      <c r="C241" s="116">
        <v>291.03250000000003</v>
      </c>
      <c r="D241" s="116">
        <v>290.505</v>
      </c>
      <c r="E241" s="116">
        <v>293.91000000000003</v>
      </c>
      <c r="F241" s="116">
        <v>5820.65</v>
      </c>
      <c r="G241">
        <v>7726</v>
      </c>
      <c r="H241" s="116"/>
      <c r="I241" s="116"/>
      <c r="L241" s="170">
        <v>42354</v>
      </c>
      <c r="M241" s="116">
        <v>291.42</v>
      </c>
      <c r="N241" s="116">
        <v>295.75</v>
      </c>
      <c r="O241" s="116">
        <v>291.05</v>
      </c>
      <c r="P241" s="116">
        <v>294.45</v>
      </c>
      <c r="Q241" s="116">
        <v>5828.4</v>
      </c>
      <c r="R241">
        <v>31415</v>
      </c>
    </row>
    <row r="242" spans="1:18" x14ac:dyDescent="0.25">
      <c r="A242" s="170">
        <v>42355</v>
      </c>
      <c r="B242" s="116">
        <v>295</v>
      </c>
      <c r="C242" s="116">
        <v>293.51499999999999</v>
      </c>
      <c r="D242" s="116">
        <v>291</v>
      </c>
      <c r="E242" s="116">
        <v>291.10000000000002</v>
      </c>
      <c r="F242" s="116">
        <v>5870.3</v>
      </c>
      <c r="G242">
        <v>4252</v>
      </c>
      <c r="H242" s="116"/>
      <c r="I242" s="116"/>
      <c r="L242" s="170">
        <v>42355</v>
      </c>
      <c r="M242" s="116">
        <v>294.16750000000002</v>
      </c>
      <c r="N242" s="116">
        <v>295.9975</v>
      </c>
      <c r="O242" s="116">
        <v>291.04000000000002</v>
      </c>
      <c r="P242" s="116">
        <v>291.60000000000002</v>
      </c>
      <c r="Q242" s="116">
        <v>5883.35</v>
      </c>
      <c r="R242">
        <v>27911</v>
      </c>
    </row>
    <row r="243" spans="1:18" x14ac:dyDescent="0.25">
      <c r="A243" s="170">
        <v>42356</v>
      </c>
      <c r="B243" s="116">
        <v>294</v>
      </c>
      <c r="C243" s="116">
        <v>283.79250000000002</v>
      </c>
      <c r="D243" s="116">
        <v>281.10000000000002</v>
      </c>
      <c r="E243" s="116">
        <v>294</v>
      </c>
      <c r="F243" s="116">
        <v>5675.85</v>
      </c>
      <c r="G243">
        <v>7923</v>
      </c>
      <c r="H243" s="116"/>
      <c r="I243" s="116"/>
      <c r="L243" s="170">
        <v>42356</v>
      </c>
      <c r="M243" s="116">
        <v>283.64999999999998</v>
      </c>
      <c r="N243" s="116">
        <v>294.85000000000002</v>
      </c>
      <c r="O243" s="116">
        <v>281.5</v>
      </c>
      <c r="P243" s="116">
        <v>294.85000000000002</v>
      </c>
      <c r="Q243" s="116">
        <v>5673</v>
      </c>
      <c r="R243">
        <v>61457</v>
      </c>
    </row>
    <row r="244" spans="1:18" x14ac:dyDescent="0.25">
      <c r="A244" s="170">
        <v>42359</v>
      </c>
      <c r="B244" s="116">
        <v>286.35000000000002</v>
      </c>
      <c r="C244" s="116">
        <v>283.99250000000001</v>
      </c>
      <c r="D244" s="116">
        <v>283.64999999999998</v>
      </c>
      <c r="E244" s="116">
        <v>284.5</v>
      </c>
      <c r="F244" s="116">
        <v>5679.85</v>
      </c>
      <c r="G244">
        <v>3579</v>
      </c>
      <c r="H244" s="116"/>
      <c r="I244" s="116"/>
      <c r="L244" s="170">
        <v>42359</v>
      </c>
      <c r="M244" s="116">
        <v>283.71749999999997</v>
      </c>
      <c r="N244" s="116">
        <v>286.60000000000002</v>
      </c>
      <c r="O244" s="116">
        <v>283.26</v>
      </c>
      <c r="P244" s="116">
        <v>285.75</v>
      </c>
      <c r="Q244" s="116">
        <v>5674.35</v>
      </c>
      <c r="R244">
        <v>28016</v>
      </c>
    </row>
    <row r="245" spans="1:18" x14ac:dyDescent="0.25">
      <c r="A245" s="170">
        <v>42360</v>
      </c>
      <c r="B245" s="116">
        <v>287.63499999999999</v>
      </c>
      <c r="C245" s="116">
        <v>286.57749999999999</v>
      </c>
      <c r="D245" s="116">
        <v>284.39999999999998</v>
      </c>
      <c r="E245" s="116">
        <v>284.93</v>
      </c>
      <c r="F245" s="116">
        <v>5731.55</v>
      </c>
      <c r="G245">
        <v>3393</v>
      </c>
      <c r="H245" s="116"/>
      <c r="I245" s="116"/>
      <c r="L245" s="170">
        <v>42360</v>
      </c>
      <c r="M245" s="116">
        <v>286.5</v>
      </c>
      <c r="N245" s="116">
        <v>287.45</v>
      </c>
      <c r="O245" s="116">
        <v>284</v>
      </c>
      <c r="P245" s="116">
        <v>285.245</v>
      </c>
      <c r="Q245" s="116">
        <v>5730</v>
      </c>
      <c r="R245">
        <v>19130</v>
      </c>
    </row>
    <row r="246" spans="1:18" x14ac:dyDescent="0.25">
      <c r="A246" s="170">
        <v>42361</v>
      </c>
      <c r="B246" s="116">
        <v>289.64999999999998</v>
      </c>
      <c r="C246" s="116">
        <v>288.39249999999998</v>
      </c>
      <c r="D246" s="116">
        <v>286.57749999999999</v>
      </c>
      <c r="E246" s="116">
        <v>286.57749999999999</v>
      </c>
      <c r="F246" s="116">
        <v>5767.85</v>
      </c>
      <c r="G246">
        <v>2083</v>
      </c>
      <c r="H246" s="116"/>
      <c r="I246" s="116"/>
      <c r="L246" s="170">
        <v>42361</v>
      </c>
      <c r="M246" s="116">
        <v>288.89999999999998</v>
      </c>
      <c r="N246" s="116">
        <v>289.7</v>
      </c>
      <c r="O246" s="116">
        <v>286.5</v>
      </c>
      <c r="P246" s="116">
        <v>288.25</v>
      </c>
      <c r="Q246" s="116">
        <v>5778</v>
      </c>
      <c r="R246">
        <v>12253</v>
      </c>
    </row>
    <row r="247" spans="1:18" x14ac:dyDescent="0.25">
      <c r="A247" s="170">
        <v>42362</v>
      </c>
      <c r="B247" s="116">
        <v>289.95</v>
      </c>
      <c r="C247" s="116">
        <v>288.95249999999999</v>
      </c>
      <c r="D247" s="116">
        <v>286.60250000000002</v>
      </c>
      <c r="E247" s="116">
        <v>287.98250000000002</v>
      </c>
      <c r="F247" s="116">
        <v>5779.05</v>
      </c>
      <c r="G247">
        <v>7065</v>
      </c>
      <c r="H247" s="116"/>
      <c r="I247" s="116"/>
      <c r="L247" s="170">
        <v>42362</v>
      </c>
      <c r="M247" s="116">
        <v>288.79500000000002</v>
      </c>
      <c r="N247" s="116">
        <v>289.89999999999998</v>
      </c>
      <c r="O247" s="116">
        <v>286.25</v>
      </c>
      <c r="P247" s="116">
        <v>288.75</v>
      </c>
      <c r="Q247" s="116">
        <v>5775.9</v>
      </c>
      <c r="R247">
        <v>14043</v>
      </c>
    </row>
    <row r="248" spans="1:18" x14ac:dyDescent="0.25">
      <c r="A248" s="170">
        <v>42366</v>
      </c>
      <c r="B248" s="116">
        <v>292.5</v>
      </c>
      <c r="C248" s="116">
        <v>290.02499999999998</v>
      </c>
      <c r="D248" s="116">
        <v>288.55</v>
      </c>
      <c r="E248" s="116">
        <v>289.0025</v>
      </c>
      <c r="F248" s="116">
        <v>5800.5</v>
      </c>
      <c r="G248">
        <v>6569</v>
      </c>
      <c r="H248" s="116"/>
      <c r="I248" s="116"/>
      <c r="L248" s="170">
        <v>42366</v>
      </c>
      <c r="M248" s="116">
        <v>290.23250000000002</v>
      </c>
      <c r="N248" s="116">
        <v>292.53250000000003</v>
      </c>
      <c r="O248" s="116">
        <v>287.5</v>
      </c>
      <c r="P248" s="116">
        <v>288.8</v>
      </c>
      <c r="Q248" s="116">
        <v>5804.65</v>
      </c>
      <c r="R248">
        <v>22286</v>
      </c>
    </row>
    <row r="249" spans="1:18" x14ac:dyDescent="0.25">
      <c r="A249" s="170">
        <v>42367</v>
      </c>
      <c r="B249" s="116">
        <v>292.97250000000003</v>
      </c>
      <c r="C249" s="116">
        <v>291.73</v>
      </c>
      <c r="D249" s="116">
        <v>290.89749999999998</v>
      </c>
      <c r="E249" s="116">
        <v>291.2525</v>
      </c>
      <c r="F249" s="116">
        <v>5834.6</v>
      </c>
      <c r="G249">
        <v>2091</v>
      </c>
      <c r="H249" s="116"/>
      <c r="I249" s="116"/>
      <c r="L249" s="170">
        <v>42367</v>
      </c>
      <c r="M249" s="116">
        <v>291.95999999999998</v>
      </c>
      <c r="N249" s="116">
        <v>292.75</v>
      </c>
      <c r="O249" s="116">
        <v>289.7525</v>
      </c>
      <c r="P249" s="116">
        <v>291.45</v>
      </c>
      <c r="Q249" s="116">
        <v>5839.2</v>
      </c>
      <c r="R249">
        <v>14160</v>
      </c>
    </row>
    <row r="250" spans="1:18" x14ac:dyDescent="0.25">
      <c r="A250" s="170">
        <v>42368</v>
      </c>
      <c r="B250" s="116">
        <v>293.39999999999998</v>
      </c>
      <c r="C250" s="116">
        <v>291.1225</v>
      </c>
      <c r="D250" s="116">
        <v>290.35000000000002</v>
      </c>
      <c r="E250" s="116">
        <v>292.36250000000001</v>
      </c>
      <c r="F250" s="116">
        <v>5822.45</v>
      </c>
      <c r="G250">
        <v>4821</v>
      </c>
      <c r="H250" s="116"/>
      <c r="I250" s="116"/>
      <c r="L250" s="170">
        <v>42368</v>
      </c>
      <c r="M250" s="116">
        <v>291.99250000000001</v>
      </c>
      <c r="N250" s="116">
        <v>293</v>
      </c>
      <c r="O250" s="116">
        <v>289.505</v>
      </c>
      <c r="P250" s="116">
        <v>292.5</v>
      </c>
      <c r="Q250" s="116">
        <v>5839.85</v>
      </c>
      <c r="R250">
        <v>19255</v>
      </c>
    </row>
    <row r="251" spans="1:18" x14ac:dyDescent="0.25">
      <c r="A251" s="170">
        <v>42369</v>
      </c>
      <c r="B251" s="116">
        <v>293.55</v>
      </c>
      <c r="C251" s="116">
        <v>291.20499999999998</v>
      </c>
      <c r="D251" s="116">
        <v>290.05</v>
      </c>
      <c r="E251" s="116">
        <v>292.5</v>
      </c>
      <c r="F251" s="116">
        <v>5824.1</v>
      </c>
      <c r="G251">
        <v>2064</v>
      </c>
      <c r="H251" s="116"/>
      <c r="I251" s="116"/>
      <c r="L251" s="170">
        <v>42369</v>
      </c>
      <c r="M251" s="116">
        <v>291.39999999999998</v>
      </c>
      <c r="N251" s="116">
        <v>293.5025</v>
      </c>
      <c r="O251" s="116">
        <v>290.17500000000001</v>
      </c>
      <c r="P251" s="116">
        <v>293.13249999999999</v>
      </c>
      <c r="Q251" s="116">
        <v>5828</v>
      </c>
      <c r="R251">
        <v>19210</v>
      </c>
    </row>
    <row r="252" spans="1:18" x14ac:dyDescent="0.25">
      <c r="A252" s="170">
        <v>42370</v>
      </c>
      <c r="B252" s="116">
        <v>292.5</v>
      </c>
      <c r="C252" s="116">
        <v>289.3075</v>
      </c>
      <c r="D252" s="116">
        <v>288.9975</v>
      </c>
      <c r="E252" s="116">
        <v>292.5</v>
      </c>
      <c r="F252" s="116">
        <v>5786.15</v>
      </c>
      <c r="G252">
        <v>3941</v>
      </c>
      <c r="H252" s="116"/>
      <c r="I252" s="116"/>
      <c r="L252" s="170">
        <v>42370</v>
      </c>
      <c r="M252" s="116">
        <v>289.25749999999999</v>
      </c>
      <c r="N252" s="116">
        <v>292.5</v>
      </c>
      <c r="O252" s="116">
        <v>288.75</v>
      </c>
      <c r="P252" s="116">
        <v>291.0025</v>
      </c>
      <c r="Q252" s="116">
        <v>5785.15</v>
      </c>
      <c r="R252">
        <v>12085</v>
      </c>
    </row>
    <row r="253" spans="1:18" x14ac:dyDescent="0.25">
      <c r="A253" s="170">
        <v>42373</v>
      </c>
      <c r="B253" s="116">
        <v>291.25</v>
      </c>
      <c r="C253" s="116">
        <v>284.03500000000003</v>
      </c>
      <c r="D253" s="116">
        <v>283.12</v>
      </c>
      <c r="E253" s="116">
        <v>291.25</v>
      </c>
      <c r="F253" s="116">
        <v>5680.7</v>
      </c>
      <c r="G253">
        <v>4638</v>
      </c>
      <c r="H253" s="116"/>
      <c r="I253" s="116"/>
      <c r="L253" s="170">
        <v>42373</v>
      </c>
      <c r="M253" s="116">
        <v>283.49</v>
      </c>
      <c r="N253" s="116">
        <v>291.35000000000002</v>
      </c>
      <c r="O253" s="116">
        <v>282.60000000000002</v>
      </c>
      <c r="P253" s="116">
        <v>290.7</v>
      </c>
      <c r="Q253" s="116">
        <v>5669.8</v>
      </c>
      <c r="R253">
        <v>35426</v>
      </c>
    </row>
    <row r="254" spans="1:18" x14ac:dyDescent="0.25">
      <c r="A254" s="170">
        <v>42374</v>
      </c>
      <c r="B254" s="116">
        <v>287.02</v>
      </c>
      <c r="C254" s="116">
        <v>282.995</v>
      </c>
      <c r="D254" s="116">
        <v>282.5</v>
      </c>
      <c r="E254" s="116">
        <v>286.66500000000002</v>
      </c>
      <c r="F254" s="116">
        <v>5659.9</v>
      </c>
      <c r="G254">
        <v>13449</v>
      </c>
      <c r="H254" s="116"/>
      <c r="I254" s="116"/>
      <c r="L254" s="170">
        <v>42374</v>
      </c>
      <c r="M254" s="116">
        <v>283.12</v>
      </c>
      <c r="N254" s="116">
        <v>286.95</v>
      </c>
      <c r="O254" s="116">
        <v>282.5</v>
      </c>
      <c r="P254" s="116">
        <v>286.95</v>
      </c>
      <c r="Q254" s="116">
        <v>5662.4</v>
      </c>
      <c r="R254">
        <v>27112</v>
      </c>
    </row>
    <row r="255" spans="1:18" x14ac:dyDescent="0.25">
      <c r="A255" s="170">
        <v>42375</v>
      </c>
      <c r="B255" s="116">
        <v>286.48750000000001</v>
      </c>
      <c r="C255" s="116">
        <v>285.84750000000003</v>
      </c>
      <c r="D255" s="116">
        <v>283.16250000000002</v>
      </c>
      <c r="E255" s="116">
        <v>285</v>
      </c>
      <c r="F255" s="116">
        <v>5716.95</v>
      </c>
      <c r="G255">
        <v>14587</v>
      </c>
      <c r="H255" s="116"/>
      <c r="I255" s="116"/>
      <c r="L255" s="170">
        <v>42375</v>
      </c>
      <c r="M255" s="116">
        <v>285.97500000000002</v>
      </c>
      <c r="N255" s="116">
        <v>286.47750000000002</v>
      </c>
      <c r="O255" s="116">
        <v>282.75</v>
      </c>
      <c r="P255" s="116">
        <v>283.30500000000001</v>
      </c>
      <c r="Q255" s="116">
        <v>5719.5</v>
      </c>
      <c r="R255">
        <v>55372</v>
      </c>
    </row>
    <row r="256" spans="1:18" x14ac:dyDescent="0.25">
      <c r="A256" s="170">
        <v>42376</v>
      </c>
      <c r="B256" s="116">
        <v>285.34750000000003</v>
      </c>
      <c r="C256" s="116">
        <v>282.23250000000002</v>
      </c>
      <c r="D256" s="116">
        <v>281.005</v>
      </c>
      <c r="E256" s="116">
        <v>285.255</v>
      </c>
      <c r="F256" s="116">
        <v>5644.65</v>
      </c>
      <c r="G256">
        <v>2273</v>
      </c>
      <c r="H256" s="116"/>
      <c r="I256" s="116"/>
      <c r="L256" s="170">
        <v>42376</v>
      </c>
      <c r="M256" s="116">
        <v>281.94749999999999</v>
      </c>
      <c r="N256" s="116">
        <v>286.4975</v>
      </c>
      <c r="O256" s="116">
        <v>281.07</v>
      </c>
      <c r="P256" s="116">
        <v>286.4975</v>
      </c>
      <c r="Q256" s="116">
        <v>5638.95</v>
      </c>
      <c r="R256">
        <v>22220</v>
      </c>
    </row>
    <row r="257" spans="1:18" x14ac:dyDescent="0.25">
      <c r="A257" s="170">
        <v>42377</v>
      </c>
      <c r="B257" s="116">
        <v>284.30250000000001</v>
      </c>
      <c r="C257" s="116">
        <v>281.49250000000001</v>
      </c>
      <c r="D257" s="116">
        <v>281</v>
      </c>
      <c r="E257" s="116">
        <v>284.25</v>
      </c>
      <c r="F257" s="116">
        <v>5629.85</v>
      </c>
      <c r="G257">
        <v>2555</v>
      </c>
      <c r="H257" s="116"/>
      <c r="I257" s="116"/>
      <c r="L257" s="170">
        <v>42377</v>
      </c>
      <c r="M257" s="116">
        <v>281.6275</v>
      </c>
      <c r="N257" s="116">
        <v>284.55</v>
      </c>
      <c r="O257" s="116">
        <v>280.75</v>
      </c>
      <c r="P257" s="116">
        <v>284.5</v>
      </c>
      <c r="Q257" s="116">
        <v>5632.55</v>
      </c>
      <c r="R257">
        <v>44465</v>
      </c>
    </row>
    <row r="258" spans="1:18" x14ac:dyDescent="0.25">
      <c r="A258" s="170">
        <v>42380</v>
      </c>
      <c r="B258" s="116">
        <v>284</v>
      </c>
      <c r="C258" s="116">
        <v>275.745</v>
      </c>
      <c r="D258" s="116">
        <v>273</v>
      </c>
      <c r="E258" s="116">
        <v>284</v>
      </c>
      <c r="F258" s="116">
        <v>5514.9</v>
      </c>
      <c r="G258">
        <v>5713</v>
      </c>
      <c r="H258" s="116"/>
      <c r="I258" s="116"/>
      <c r="L258" s="170">
        <v>42380</v>
      </c>
      <c r="M258" s="116">
        <v>273.46249999999998</v>
      </c>
      <c r="N258" s="116">
        <v>281.25</v>
      </c>
      <c r="O258" s="116">
        <v>271.77749999999997</v>
      </c>
      <c r="P258" s="116">
        <v>281.25</v>
      </c>
      <c r="Q258" s="116">
        <v>5469.25</v>
      </c>
      <c r="R258">
        <v>50060</v>
      </c>
    </row>
    <row r="259" spans="1:18" x14ac:dyDescent="0.25">
      <c r="A259" s="170">
        <v>42381</v>
      </c>
      <c r="B259" s="116">
        <v>276.25</v>
      </c>
      <c r="C259" s="116">
        <v>272.2</v>
      </c>
      <c r="D259" s="116">
        <v>271</v>
      </c>
      <c r="E259" s="116">
        <v>276.25</v>
      </c>
      <c r="F259" s="116">
        <v>5444</v>
      </c>
      <c r="G259">
        <v>3880</v>
      </c>
      <c r="H259" s="116"/>
      <c r="I259" s="116"/>
      <c r="L259" s="170">
        <v>42381</v>
      </c>
      <c r="M259" s="116">
        <v>271.99250000000001</v>
      </c>
      <c r="N259" s="116">
        <v>275.75</v>
      </c>
      <c r="O259" s="116">
        <v>270.40750000000003</v>
      </c>
      <c r="P259" s="116">
        <v>275.75</v>
      </c>
      <c r="Q259" s="116">
        <v>5439.85</v>
      </c>
      <c r="R259">
        <v>56465</v>
      </c>
    </row>
    <row r="260" spans="1:18" x14ac:dyDescent="0.25">
      <c r="A260" s="170">
        <v>42382</v>
      </c>
      <c r="B260" s="116">
        <v>276.42500000000001</v>
      </c>
      <c r="C260" s="116">
        <v>275.09750000000003</v>
      </c>
      <c r="D260" s="116">
        <v>270.5</v>
      </c>
      <c r="E260" s="116">
        <v>276</v>
      </c>
      <c r="F260" s="116">
        <v>5501.95</v>
      </c>
      <c r="G260">
        <v>4822</v>
      </c>
      <c r="H260" s="116"/>
      <c r="I260" s="116"/>
      <c r="L260" s="170">
        <v>42382</v>
      </c>
      <c r="M260" s="116">
        <v>275.0575</v>
      </c>
      <c r="N260" s="116">
        <v>276.5</v>
      </c>
      <c r="O260" s="116">
        <v>270.02</v>
      </c>
      <c r="P260" s="116">
        <v>273.25</v>
      </c>
      <c r="Q260" s="116">
        <v>5501.15</v>
      </c>
      <c r="R260">
        <v>61874</v>
      </c>
    </row>
    <row r="261" spans="1:18" x14ac:dyDescent="0.25">
      <c r="A261" s="170">
        <v>42383</v>
      </c>
      <c r="B261" s="116">
        <v>282</v>
      </c>
      <c r="C261" s="116">
        <v>281.02999999999997</v>
      </c>
      <c r="D261" s="116">
        <v>271.39999999999998</v>
      </c>
      <c r="E261" s="116">
        <v>273</v>
      </c>
      <c r="F261" s="116">
        <v>5620.6</v>
      </c>
      <c r="G261">
        <v>5108</v>
      </c>
      <c r="H261" s="116"/>
      <c r="I261" s="116"/>
      <c r="L261" s="170">
        <v>42383</v>
      </c>
      <c r="M261" s="116">
        <v>280.8075</v>
      </c>
      <c r="N261" s="116">
        <v>281.51</v>
      </c>
      <c r="O261" s="116">
        <v>271.60000000000002</v>
      </c>
      <c r="P261" s="116">
        <v>273</v>
      </c>
      <c r="Q261" s="116">
        <v>5616.15</v>
      </c>
      <c r="R261">
        <v>34830</v>
      </c>
    </row>
    <row r="262" spans="1:18" x14ac:dyDescent="0.25">
      <c r="A262" s="170">
        <v>42384</v>
      </c>
      <c r="B262" s="116">
        <v>281.25</v>
      </c>
      <c r="C262" s="116">
        <v>279.9975</v>
      </c>
      <c r="D262" s="116">
        <v>279.0025</v>
      </c>
      <c r="E262" s="116">
        <v>281</v>
      </c>
      <c r="F262" s="116">
        <v>5599.95</v>
      </c>
      <c r="G262">
        <v>2333</v>
      </c>
      <c r="H262" s="116"/>
      <c r="I262" s="116"/>
      <c r="L262" s="170">
        <v>42384</v>
      </c>
      <c r="M262" s="116">
        <v>279.88499999999999</v>
      </c>
      <c r="N262" s="116">
        <v>281.5</v>
      </c>
      <c r="O262" s="116">
        <v>278.60250000000002</v>
      </c>
      <c r="P262" s="116">
        <v>280</v>
      </c>
      <c r="Q262" s="116">
        <v>5597.7</v>
      </c>
      <c r="R262">
        <v>27017</v>
      </c>
    </row>
    <row r="263" spans="1:18" x14ac:dyDescent="0.25">
      <c r="A263" s="170">
        <v>42387</v>
      </c>
      <c r="B263" s="116">
        <v>280.0025</v>
      </c>
      <c r="C263" s="116">
        <v>272.39999999999998</v>
      </c>
      <c r="D263" s="116">
        <v>270.14999999999998</v>
      </c>
      <c r="E263" s="116">
        <v>280.0025</v>
      </c>
      <c r="F263" s="116">
        <v>5448</v>
      </c>
      <c r="G263">
        <v>2554</v>
      </c>
      <c r="H263" s="116"/>
      <c r="I263" s="116"/>
      <c r="L263" s="170">
        <v>42387</v>
      </c>
      <c r="M263" s="116">
        <v>271.8</v>
      </c>
      <c r="N263" s="116">
        <v>280</v>
      </c>
      <c r="O263" s="116">
        <v>270</v>
      </c>
      <c r="P263" s="116">
        <v>279.88499999999999</v>
      </c>
      <c r="Q263" s="116">
        <v>5436</v>
      </c>
      <c r="R263">
        <v>21414</v>
      </c>
    </row>
    <row r="264" spans="1:18" x14ac:dyDescent="0.25">
      <c r="A264" s="170">
        <v>42388</v>
      </c>
      <c r="B264" s="116">
        <v>274.0575</v>
      </c>
      <c r="C264" s="116">
        <v>271.52749999999997</v>
      </c>
      <c r="D264" s="116">
        <v>269.565</v>
      </c>
      <c r="E264" s="116">
        <v>273.04250000000002</v>
      </c>
      <c r="F264" s="116">
        <v>5430.55</v>
      </c>
      <c r="G264">
        <v>20172</v>
      </c>
      <c r="H264" s="116"/>
      <c r="I264" s="116"/>
      <c r="L264" s="170">
        <v>42388</v>
      </c>
      <c r="M264" s="116">
        <v>271.44</v>
      </c>
      <c r="N264" s="116">
        <v>274.7</v>
      </c>
      <c r="O264" s="116">
        <v>269.5</v>
      </c>
      <c r="P264" s="116">
        <v>272.2475</v>
      </c>
      <c r="Q264" s="116">
        <v>5428.8</v>
      </c>
      <c r="R264">
        <v>21347</v>
      </c>
    </row>
    <row r="265" spans="1:18" x14ac:dyDescent="0.25">
      <c r="A265" s="170">
        <v>42389</v>
      </c>
      <c r="B265" s="116">
        <v>275.5</v>
      </c>
      <c r="C265" s="116">
        <v>273.5575</v>
      </c>
      <c r="D265" s="116">
        <v>269.5</v>
      </c>
      <c r="E265" s="116">
        <v>271.11500000000001</v>
      </c>
      <c r="F265" s="116">
        <v>5471.15</v>
      </c>
      <c r="G265">
        <v>2373</v>
      </c>
      <c r="H265" s="116"/>
      <c r="I265" s="116"/>
      <c r="L265" s="170">
        <v>42389</v>
      </c>
      <c r="M265" s="116">
        <v>274.27999999999997</v>
      </c>
      <c r="N265" s="116">
        <v>276.25</v>
      </c>
      <c r="O265" s="116">
        <v>268.75</v>
      </c>
      <c r="P265" s="116">
        <v>270.89</v>
      </c>
      <c r="Q265" s="116">
        <v>5485.6</v>
      </c>
      <c r="R265">
        <v>14685</v>
      </c>
    </row>
    <row r="266" spans="1:18" x14ac:dyDescent="0.25">
      <c r="A266" s="170">
        <v>42390</v>
      </c>
      <c r="B266" s="116">
        <v>274.76749999999998</v>
      </c>
      <c r="C266" s="116">
        <v>272.27</v>
      </c>
      <c r="D266" s="116">
        <v>270.60250000000002</v>
      </c>
      <c r="E266" s="116">
        <v>274.39249999999998</v>
      </c>
      <c r="F266" s="116">
        <v>5445.4</v>
      </c>
      <c r="G266">
        <v>1863</v>
      </c>
      <c r="H266" s="116"/>
      <c r="I266" s="116"/>
      <c r="L266" s="170">
        <v>42390</v>
      </c>
      <c r="M266" s="116">
        <v>271.49250000000001</v>
      </c>
      <c r="N266" s="116">
        <v>274.60000000000002</v>
      </c>
      <c r="O266" s="116">
        <v>270.23</v>
      </c>
      <c r="P266" s="116">
        <v>273</v>
      </c>
      <c r="Q266" s="116">
        <v>5429.85</v>
      </c>
      <c r="R266">
        <v>79144</v>
      </c>
    </row>
    <row r="267" spans="1:18" x14ac:dyDescent="0.25">
      <c r="A267" s="170">
        <v>42391</v>
      </c>
      <c r="B267" s="116">
        <v>275.4975</v>
      </c>
      <c r="C267" s="116">
        <v>272.61750000000001</v>
      </c>
      <c r="D267" s="116">
        <v>271.95</v>
      </c>
      <c r="E267" s="116">
        <v>272.70749999999998</v>
      </c>
      <c r="F267" s="116">
        <v>5452.35</v>
      </c>
      <c r="G267">
        <v>2630</v>
      </c>
      <c r="H267" s="116"/>
      <c r="I267" s="116"/>
      <c r="L267" s="170">
        <v>42391</v>
      </c>
      <c r="M267" s="116">
        <v>272.38</v>
      </c>
      <c r="N267" s="116">
        <v>275.62</v>
      </c>
      <c r="O267" s="116">
        <v>271.58249999999998</v>
      </c>
      <c r="P267" s="116">
        <v>274.5</v>
      </c>
      <c r="Q267" s="116">
        <v>5447.6</v>
      </c>
      <c r="R267">
        <v>24884</v>
      </c>
    </row>
    <row r="268" spans="1:18" x14ac:dyDescent="0.25">
      <c r="A268" s="170">
        <v>42394</v>
      </c>
      <c r="B268" s="116">
        <v>275.35500000000002</v>
      </c>
      <c r="C268" s="116">
        <v>273.20249999999999</v>
      </c>
      <c r="D268" s="116">
        <v>272.88</v>
      </c>
      <c r="E268" s="116">
        <v>274.67750000000001</v>
      </c>
      <c r="F268" s="116">
        <v>5464.05</v>
      </c>
      <c r="G268">
        <v>1645</v>
      </c>
      <c r="H268" s="116"/>
      <c r="I268" s="116"/>
      <c r="L268" s="170">
        <v>42394</v>
      </c>
      <c r="M268" s="116">
        <v>273.0675</v>
      </c>
      <c r="N268" s="116">
        <v>275.60000000000002</v>
      </c>
      <c r="O268" s="116">
        <v>272.39999999999998</v>
      </c>
      <c r="P268" s="116">
        <v>273</v>
      </c>
      <c r="Q268" s="116">
        <v>5461.35</v>
      </c>
      <c r="R268">
        <v>26417</v>
      </c>
    </row>
    <row r="269" spans="1:18" x14ac:dyDescent="0.25">
      <c r="A269" s="170">
        <v>42396</v>
      </c>
      <c r="B269" s="116">
        <v>274.68</v>
      </c>
      <c r="C269" s="116">
        <v>274.25</v>
      </c>
      <c r="D269" s="116">
        <v>272.52</v>
      </c>
      <c r="E269" s="116">
        <v>273.0625</v>
      </c>
      <c r="F269" s="116">
        <v>5485</v>
      </c>
      <c r="G269">
        <v>1176</v>
      </c>
      <c r="H269" s="116"/>
      <c r="I269" s="116"/>
      <c r="L269" s="170">
        <v>42396</v>
      </c>
      <c r="M269" s="116">
        <v>274.38499999999999</v>
      </c>
      <c r="N269" s="116">
        <v>274.72750000000002</v>
      </c>
      <c r="O269" s="116">
        <v>272.55500000000001</v>
      </c>
      <c r="P269" s="116">
        <v>274.72750000000002</v>
      </c>
      <c r="Q269" s="116">
        <v>5487.7</v>
      </c>
      <c r="R269">
        <v>59544</v>
      </c>
    </row>
    <row r="270" spans="1:18" x14ac:dyDescent="0.25">
      <c r="A270" s="170">
        <v>42397</v>
      </c>
      <c r="B270" s="116">
        <v>274.58749999999998</v>
      </c>
      <c r="C270" s="116">
        <v>273.70749999999998</v>
      </c>
      <c r="D270" s="116">
        <v>272.55</v>
      </c>
      <c r="E270" s="116">
        <v>274.25</v>
      </c>
      <c r="F270" s="116">
        <v>5474.15</v>
      </c>
      <c r="G270">
        <v>2091</v>
      </c>
      <c r="H270" s="116"/>
      <c r="I270" s="116"/>
      <c r="L270" s="170">
        <v>42397</v>
      </c>
      <c r="M270" s="116">
        <v>273.44749999999999</v>
      </c>
      <c r="N270" s="116">
        <v>274.5</v>
      </c>
      <c r="O270" s="116">
        <v>272.5</v>
      </c>
      <c r="P270" s="116">
        <v>274</v>
      </c>
      <c r="Q270" s="116">
        <v>5468.95</v>
      </c>
      <c r="R270">
        <v>40287</v>
      </c>
    </row>
    <row r="271" spans="1:18" x14ac:dyDescent="0.25">
      <c r="A271" s="170">
        <v>42398</v>
      </c>
      <c r="B271" s="116">
        <v>274.95</v>
      </c>
      <c r="C271" s="116">
        <v>274.52999999999997</v>
      </c>
      <c r="D271" s="116">
        <v>273.375</v>
      </c>
      <c r="E271" s="116">
        <v>273.7</v>
      </c>
      <c r="F271" s="116">
        <v>5490.6</v>
      </c>
      <c r="G271">
        <v>1402</v>
      </c>
      <c r="H271" s="116"/>
      <c r="I271" s="116"/>
      <c r="L271" s="170">
        <v>42398</v>
      </c>
      <c r="M271" s="116">
        <v>274.39999999999998</v>
      </c>
      <c r="N271" s="116">
        <v>275</v>
      </c>
      <c r="O271" s="116">
        <v>273.45</v>
      </c>
      <c r="P271" s="116">
        <v>274.44749999999999</v>
      </c>
      <c r="Q271" s="116">
        <v>5488</v>
      </c>
      <c r="R271">
        <v>50118</v>
      </c>
    </row>
    <row r="272" spans="1:18" x14ac:dyDescent="0.25">
      <c r="A272" s="170">
        <v>42401</v>
      </c>
      <c r="B272" s="116">
        <v>278.745</v>
      </c>
      <c r="C272" s="116">
        <v>273.14249999999998</v>
      </c>
      <c r="D272" s="116">
        <v>271.08249999999998</v>
      </c>
      <c r="E272" s="116">
        <v>275.55</v>
      </c>
      <c r="F272" s="116">
        <v>5462.85</v>
      </c>
      <c r="G272">
        <v>7542</v>
      </c>
      <c r="H272" s="116"/>
      <c r="I272" s="116"/>
      <c r="L272" s="170">
        <v>42401</v>
      </c>
      <c r="M272" s="116">
        <v>272.44749999999999</v>
      </c>
      <c r="N272" s="116">
        <v>278.75</v>
      </c>
      <c r="O272" s="116">
        <v>271.04250000000002</v>
      </c>
      <c r="P272" s="116">
        <v>278.75</v>
      </c>
      <c r="Q272" s="116">
        <v>5448.95</v>
      </c>
      <c r="R272">
        <v>19318</v>
      </c>
    </row>
    <row r="273" spans="1:18" x14ac:dyDescent="0.25">
      <c r="A273" s="170">
        <v>42402</v>
      </c>
      <c r="B273" s="116">
        <v>275.41750000000002</v>
      </c>
      <c r="C273" s="116">
        <v>272.79000000000002</v>
      </c>
      <c r="D273" s="116">
        <v>270.8</v>
      </c>
      <c r="E273" s="116">
        <v>273.05</v>
      </c>
      <c r="F273" s="116">
        <v>5455.8</v>
      </c>
      <c r="G273">
        <v>979</v>
      </c>
      <c r="H273" s="116"/>
      <c r="I273" s="116"/>
      <c r="L273" s="170">
        <v>42402</v>
      </c>
      <c r="M273" s="116">
        <v>272.86750000000001</v>
      </c>
      <c r="N273" s="116">
        <v>275.19499999999999</v>
      </c>
      <c r="O273" s="116">
        <v>271</v>
      </c>
      <c r="P273" s="116">
        <v>274</v>
      </c>
      <c r="Q273" s="116">
        <v>5457.35</v>
      </c>
      <c r="R273">
        <v>41682</v>
      </c>
    </row>
    <row r="274" spans="1:18" x14ac:dyDescent="0.25">
      <c r="A274" s="170">
        <v>42403</v>
      </c>
      <c r="B274" s="116">
        <v>271.75</v>
      </c>
      <c r="C274" s="116">
        <v>270.60750000000002</v>
      </c>
      <c r="D274" s="116">
        <v>270</v>
      </c>
      <c r="E274" s="116">
        <v>271.51</v>
      </c>
      <c r="F274" s="116">
        <v>5412.15</v>
      </c>
      <c r="G274">
        <v>1340</v>
      </c>
      <c r="H274" s="116"/>
      <c r="I274" s="116"/>
      <c r="L274" s="170">
        <v>42403</v>
      </c>
      <c r="M274" s="116">
        <v>270.41750000000002</v>
      </c>
      <c r="N274" s="116">
        <v>272.86750000000001</v>
      </c>
      <c r="O274" s="116">
        <v>270</v>
      </c>
      <c r="P274" s="116">
        <v>272.86750000000001</v>
      </c>
      <c r="Q274" s="116">
        <v>5408.35</v>
      </c>
      <c r="R274">
        <v>31939</v>
      </c>
    </row>
    <row r="275" spans="1:18" x14ac:dyDescent="0.25">
      <c r="A275" s="170">
        <v>42404</v>
      </c>
      <c r="B275" s="116">
        <v>274.99250000000001</v>
      </c>
      <c r="C275" s="116">
        <v>273.92500000000001</v>
      </c>
      <c r="D275" s="116">
        <v>271.75</v>
      </c>
      <c r="E275" s="116">
        <v>272.19</v>
      </c>
      <c r="F275" s="116">
        <v>5478.5</v>
      </c>
      <c r="G275">
        <v>2040</v>
      </c>
      <c r="H275" s="116"/>
      <c r="I275" s="116"/>
      <c r="L275" s="170">
        <v>42404</v>
      </c>
      <c r="M275" s="116">
        <v>274.26499999999999</v>
      </c>
      <c r="N275" s="116">
        <v>274.64749999999998</v>
      </c>
      <c r="O275" s="116">
        <v>271.25</v>
      </c>
      <c r="P275" s="116">
        <v>271.25</v>
      </c>
      <c r="Q275" s="116">
        <v>5485.3</v>
      </c>
      <c r="R275">
        <v>19439</v>
      </c>
    </row>
    <row r="276" spans="1:18" x14ac:dyDescent="0.25">
      <c r="A276" s="170">
        <v>42405</v>
      </c>
      <c r="B276" s="116">
        <v>276.89</v>
      </c>
      <c r="C276" s="116">
        <v>271.6825</v>
      </c>
      <c r="D276" s="116">
        <v>269.505</v>
      </c>
      <c r="E276" s="116">
        <v>273.6225</v>
      </c>
      <c r="F276" s="116">
        <v>5433.65</v>
      </c>
      <c r="G276">
        <v>3439</v>
      </c>
      <c r="H276" s="116"/>
      <c r="I276" s="116"/>
      <c r="L276" s="170">
        <v>42405</v>
      </c>
      <c r="M276" s="116">
        <v>271.07499999999999</v>
      </c>
      <c r="N276" s="116">
        <v>277.5</v>
      </c>
      <c r="O276" s="116">
        <v>269.25</v>
      </c>
      <c r="P276" s="116">
        <v>273.5</v>
      </c>
      <c r="Q276" s="116">
        <v>5421.5</v>
      </c>
      <c r="R276">
        <v>30883</v>
      </c>
    </row>
    <row r="277" spans="1:18" x14ac:dyDescent="0.25">
      <c r="A277" s="170">
        <v>42408</v>
      </c>
      <c r="B277" s="116">
        <v>274.09750000000003</v>
      </c>
      <c r="C277" s="116">
        <v>270.90750000000003</v>
      </c>
      <c r="D277" s="116">
        <v>269.51</v>
      </c>
      <c r="E277" s="116">
        <v>271.10000000000002</v>
      </c>
      <c r="F277" s="116">
        <v>5418.15</v>
      </c>
      <c r="G277">
        <v>3033</v>
      </c>
      <c r="H277" s="116"/>
      <c r="I277" s="116"/>
      <c r="L277" s="170">
        <v>42408</v>
      </c>
      <c r="M277" s="116">
        <v>270.64999999999998</v>
      </c>
      <c r="N277" s="116">
        <v>274.5</v>
      </c>
      <c r="O277" s="116">
        <v>270.09750000000003</v>
      </c>
      <c r="P277" s="116">
        <v>273.4975</v>
      </c>
      <c r="Q277" s="116">
        <v>5413</v>
      </c>
      <c r="R277">
        <v>21474</v>
      </c>
    </row>
    <row r="278" spans="1:18" x14ac:dyDescent="0.25">
      <c r="A278" s="170">
        <v>42409</v>
      </c>
      <c r="B278" s="116">
        <v>272.78750000000002</v>
      </c>
      <c r="C278" s="116">
        <v>270.92</v>
      </c>
      <c r="D278" s="116">
        <v>269.5</v>
      </c>
      <c r="E278" s="116">
        <v>270.64999999999998</v>
      </c>
      <c r="F278" s="116">
        <v>5418.4</v>
      </c>
      <c r="G278">
        <v>841</v>
      </c>
      <c r="H278" s="116"/>
      <c r="I278" s="116"/>
      <c r="L278" s="170">
        <v>42409</v>
      </c>
      <c r="M278" s="116">
        <v>270.96249999999998</v>
      </c>
      <c r="N278" s="116">
        <v>272.99250000000001</v>
      </c>
      <c r="O278" s="116">
        <v>269.5625</v>
      </c>
      <c r="P278" s="116">
        <v>272.2</v>
      </c>
      <c r="Q278" s="116">
        <v>5419.25</v>
      </c>
      <c r="R278">
        <v>24994</v>
      </c>
    </row>
    <row r="279" spans="1:18" x14ac:dyDescent="0.25">
      <c r="A279" s="170">
        <v>42410</v>
      </c>
      <c r="B279" s="116">
        <v>271.75</v>
      </c>
      <c r="C279" s="116">
        <v>264.64499999999998</v>
      </c>
      <c r="D279" s="116">
        <v>263.60000000000002</v>
      </c>
      <c r="E279" s="116">
        <v>270.85000000000002</v>
      </c>
      <c r="F279" s="116">
        <v>5292.9</v>
      </c>
      <c r="G279">
        <v>2739</v>
      </c>
      <c r="H279" s="116"/>
      <c r="I279" s="116"/>
      <c r="L279" s="170">
        <v>42410</v>
      </c>
      <c r="M279" s="116">
        <v>264.88</v>
      </c>
      <c r="N279" s="116">
        <v>272.45</v>
      </c>
      <c r="O279" s="116">
        <v>263.97000000000003</v>
      </c>
      <c r="P279" s="116">
        <v>271.95</v>
      </c>
      <c r="Q279" s="116">
        <v>5297.6</v>
      </c>
      <c r="R279">
        <v>46842</v>
      </c>
    </row>
    <row r="280" spans="1:18" x14ac:dyDescent="0.25">
      <c r="A280" s="170">
        <v>42411</v>
      </c>
      <c r="B280" s="116">
        <v>264.84750000000003</v>
      </c>
      <c r="C280" s="116">
        <v>261.21749999999997</v>
      </c>
      <c r="D280" s="116">
        <v>259.75</v>
      </c>
      <c r="E280" s="116">
        <v>264.64999999999998</v>
      </c>
      <c r="F280" s="116">
        <v>5224.3500000000004</v>
      </c>
      <c r="G280">
        <v>3808</v>
      </c>
      <c r="H280" s="116"/>
      <c r="I280" s="116"/>
      <c r="L280" s="170">
        <v>42411</v>
      </c>
      <c r="M280" s="116">
        <v>260.85250000000002</v>
      </c>
      <c r="N280" s="116">
        <v>266.19749999999999</v>
      </c>
      <c r="O280" s="116">
        <v>259.5</v>
      </c>
      <c r="P280" s="116">
        <v>266.19749999999999</v>
      </c>
      <c r="Q280" s="116">
        <v>5217.05</v>
      </c>
      <c r="R280">
        <v>58313</v>
      </c>
    </row>
    <row r="281" spans="1:18" x14ac:dyDescent="0.25">
      <c r="A281" s="170">
        <v>42412</v>
      </c>
      <c r="B281" s="116">
        <v>261.5</v>
      </c>
      <c r="C281" s="116">
        <v>252.8425</v>
      </c>
      <c r="D281" s="116">
        <v>250.51249999999999</v>
      </c>
      <c r="E281" s="116">
        <v>261.5</v>
      </c>
      <c r="F281" s="116">
        <v>5056.8500000000004</v>
      </c>
      <c r="G281">
        <v>4082</v>
      </c>
      <c r="H281" s="116"/>
      <c r="I281" s="116"/>
      <c r="L281" s="170">
        <v>42412</v>
      </c>
      <c r="M281" s="116">
        <v>252.80250000000001</v>
      </c>
      <c r="N281" s="116">
        <v>263.4325</v>
      </c>
      <c r="O281" s="116">
        <v>250.05250000000001</v>
      </c>
      <c r="P281" s="116">
        <v>261.5</v>
      </c>
      <c r="Q281" s="116">
        <v>5056.05</v>
      </c>
      <c r="R281">
        <v>37439</v>
      </c>
    </row>
    <row r="282" spans="1:18" x14ac:dyDescent="0.25">
      <c r="A282" s="170">
        <v>42415</v>
      </c>
      <c r="B282" s="116">
        <v>255.7525</v>
      </c>
      <c r="C282" s="116">
        <v>252.95750000000001</v>
      </c>
      <c r="D282" s="116">
        <v>251</v>
      </c>
      <c r="E282" s="116">
        <v>253.64500000000001</v>
      </c>
      <c r="F282" s="116">
        <v>5059.1499999999996</v>
      </c>
      <c r="G282">
        <v>2807</v>
      </c>
      <c r="H282" s="116"/>
      <c r="I282" s="116"/>
      <c r="L282" s="170">
        <v>42415</v>
      </c>
      <c r="M282" s="116">
        <v>252.88749999999999</v>
      </c>
      <c r="N282" s="116">
        <v>257.45</v>
      </c>
      <c r="O282" s="116">
        <v>250.9975</v>
      </c>
      <c r="P282" s="116">
        <v>252.9</v>
      </c>
      <c r="Q282" s="116">
        <v>5057.75</v>
      </c>
      <c r="R282">
        <v>66272</v>
      </c>
    </row>
    <row r="283" spans="1:18" x14ac:dyDescent="0.25">
      <c r="A283" s="170">
        <v>42416</v>
      </c>
      <c r="B283" s="116">
        <v>255.51</v>
      </c>
      <c r="C283" s="116">
        <v>253.17250000000001</v>
      </c>
      <c r="D283" s="116">
        <v>251.45</v>
      </c>
      <c r="E283" s="116">
        <v>255</v>
      </c>
      <c r="F283" s="116">
        <v>5063.45</v>
      </c>
      <c r="G283">
        <v>4182</v>
      </c>
      <c r="H283" s="116"/>
      <c r="I283" s="116"/>
      <c r="L283" s="170">
        <v>42416</v>
      </c>
      <c r="M283" s="116">
        <v>252.49</v>
      </c>
      <c r="N283" s="116">
        <v>255.75</v>
      </c>
      <c r="O283" s="116">
        <v>251.5</v>
      </c>
      <c r="P283" s="116">
        <v>255.75</v>
      </c>
      <c r="Q283" s="116">
        <v>5049.8</v>
      </c>
      <c r="R283">
        <v>49811</v>
      </c>
    </row>
    <row r="284" spans="1:18" x14ac:dyDescent="0.25">
      <c r="A284" s="170">
        <v>42417</v>
      </c>
      <c r="B284" s="116">
        <v>254.9</v>
      </c>
      <c r="C284" s="116">
        <v>253.51</v>
      </c>
      <c r="D284" s="116">
        <v>251.9</v>
      </c>
      <c r="E284" s="116">
        <v>253.5</v>
      </c>
      <c r="F284" s="116">
        <v>5070.2</v>
      </c>
      <c r="G284">
        <v>1524</v>
      </c>
      <c r="H284" s="116"/>
      <c r="I284" s="116"/>
      <c r="L284" s="170">
        <v>42417</v>
      </c>
      <c r="M284" s="116">
        <v>253.63499999999999</v>
      </c>
      <c r="N284" s="116">
        <v>255</v>
      </c>
      <c r="O284" s="116">
        <v>251.7</v>
      </c>
      <c r="P284" s="116">
        <v>254.5</v>
      </c>
      <c r="Q284" s="116">
        <v>5072.7</v>
      </c>
      <c r="R284">
        <v>72280</v>
      </c>
    </row>
    <row r="285" spans="1:18" x14ac:dyDescent="0.25">
      <c r="A285" s="170">
        <v>42418</v>
      </c>
      <c r="B285" s="116">
        <v>260.3</v>
      </c>
      <c r="C285" s="116">
        <v>258.92500000000001</v>
      </c>
      <c r="D285" s="116">
        <v>253.7</v>
      </c>
      <c r="E285" s="116">
        <v>254.5</v>
      </c>
      <c r="F285" s="116">
        <v>5178.5</v>
      </c>
      <c r="G285">
        <v>2498</v>
      </c>
      <c r="H285" s="116"/>
      <c r="I285" s="116"/>
      <c r="L285" s="170">
        <v>42418</v>
      </c>
      <c r="M285" s="116">
        <v>259.14249999999998</v>
      </c>
      <c r="N285" s="116">
        <v>260.25</v>
      </c>
      <c r="O285" s="116">
        <v>253</v>
      </c>
      <c r="P285" s="116">
        <v>254.75</v>
      </c>
      <c r="Q285" s="116">
        <v>5182.8500000000004</v>
      </c>
      <c r="R285">
        <v>26633</v>
      </c>
    </row>
    <row r="286" spans="1:18" x14ac:dyDescent="0.25">
      <c r="A286" s="170">
        <v>42419</v>
      </c>
      <c r="B286" s="116">
        <v>261.25</v>
      </c>
      <c r="C286" s="116">
        <v>260.40750000000003</v>
      </c>
      <c r="D286" s="116">
        <v>258.85000000000002</v>
      </c>
      <c r="E286" s="116">
        <v>260.3</v>
      </c>
      <c r="F286" s="116">
        <v>5208.1499999999996</v>
      </c>
      <c r="G286">
        <v>1243</v>
      </c>
      <c r="H286" s="116"/>
      <c r="I286" s="116"/>
      <c r="L286" s="170">
        <v>42419</v>
      </c>
      <c r="M286" s="116">
        <v>260.48500000000001</v>
      </c>
      <c r="N286" s="116">
        <v>262</v>
      </c>
      <c r="O286" s="116">
        <v>258.755</v>
      </c>
      <c r="P286" s="116">
        <v>260.34750000000003</v>
      </c>
      <c r="Q286" s="116">
        <v>5209.7</v>
      </c>
      <c r="R286">
        <v>12939</v>
      </c>
    </row>
    <row r="287" spans="1:18" x14ac:dyDescent="0.25">
      <c r="A287" s="170">
        <v>42422</v>
      </c>
      <c r="B287" s="116">
        <v>264.75</v>
      </c>
      <c r="C287" s="116">
        <v>263.71249999999998</v>
      </c>
      <c r="D287" s="116">
        <v>260.2</v>
      </c>
      <c r="E287" s="116">
        <v>260.5</v>
      </c>
      <c r="F287" s="116">
        <v>5274.25</v>
      </c>
      <c r="G287">
        <v>95422</v>
      </c>
      <c r="H287" s="116"/>
      <c r="I287" s="116"/>
      <c r="L287" s="170">
        <v>42422</v>
      </c>
      <c r="M287" s="116">
        <v>263.96749999999997</v>
      </c>
      <c r="N287" s="116">
        <v>264.89999999999998</v>
      </c>
      <c r="O287" s="116">
        <v>258.10750000000002</v>
      </c>
      <c r="P287" s="116">
        <v>260.39999999999998</v>
      </c>
      <c r="Q287" s="116">
        <v>5279.35</v>
      </c>
      <c r="R287">
        <v>85293</v>
      </c>
    </row>
    <row r="288" spans="1:18" x14ac:dyDescent="0.25">
      <c r="A288" s="170">
        <v>42423</v>
      </c>
      <c r="B288" s="116">
        <v>264</v>
      </c>
      <c r="C288" s="116">
        <v>259.51249999999999</v>
      </c>
      <c r="D288" s="116">
        <v>258.76749999999998</v>
      </c>
      <c r="E288" s="116">
        <v>263.8125</v>
      </c>
      <c r="F288" s="116">
        <v>5190.25</v>
      </c>
      <c r="G288">
        <v>1267</v>
      </c>
      <c r="H288" s="116"/>
      <c r="I288" s="116"/>
      <c r="L288" s="170">
        <v>42423</v>
      </c>
      <c r="M288" s="116">
        <v>259.61250000000001</v>
      </c>
      <c r="N288" s="116">
        <v>265.4975</v>
      </c>
      <c r="O288" s="116">
        <v>259</v>
      </c>
      <c r="P288" s="116">
        <v>265.4975</v>
      </c>
      <c r="Q288" s="116">
        <v>5192.25</v>
      </c>
      <c r="R288">
        <v>21387</v>
      </c>
    </row>
    <row r="289" spans="1:18" x14ac:dyDescent="0.25">
      <c r="A289" s="170">
        <v>42424</v>
      </c>
      <c r="B289" s="116">
        <v>260.58249999999998</v>
      </c>
      <c r="C289" s="116">
        <v>260</v>
      </c>
      <c r="D289" s="116">
        <v>256.60000000000002</v>
      </c>
      <c r="E289" s="116">
        <v>259.51249999999999</v>
      </c>
      <c r="F289" s="116">
        <v>5200</v>
      </c>
      <c r="G289">
        <v>2019</v>
      </c>
      <c r="H289" s="116"/>
      <c r="I289" s="116"/>
      <c r="L289" s="170">
        <v>42424</v>
      </c>
      <c r="M289" s="116">
        <v>259.97000000000003</v>
      </c>
      <c r="N289" s="116">
        <v>260.245</v>
      </c>
      <c r="O289" s="116">
        <v>256.75</v>
      </c>
      <c r="P289" s="116">
        <v>259.25</v>
      </c>
      <c r="Q289" s="116">
        <v>5199.3999999999996</v>
      </c>
      <c r="R289">
        <v>11843</v>
      </c>
    </row>
    <row r="290" spans="1:18" x14ac:dyDescent="0.25">
      <c r="A290" s="170">
        <v>42425</v>
      </c>
      <c r="B290" s="116">
        <v>260.10000000000002</v>
      </c>
      <c r="C290" s="116">
        <v>256.65499999999997</v>
      </c>
      <c r="D290" s="116">
        <v>255</v>
      </c>
      <c r="E290" s="116">
        <v>260.10000000000002</v>
      </c>
      <c r="F290" s="116">
        <v>5133.1000000000004</v>
      </c>
      <c r="G290">
        <v>4386</v>
      </c>
      <c r="H290" s="116"/>
      <c r="I290" s="116"/>
      <c r="L290" s="170">
        <v>42425</v>
      </c>
      <c r="M290" s="116">
        <v>257.14499999999998</v>
      </c>
      <c r="N290" s="116">
        <v>260</v>
      </c>
      <c r="O290" s="116">
        <v>254.54750000000001</v>
      </c>
      <c r="P290" s="116">
        <v>259.97000000000003</v>
      </c>
      <c r="Q290" s="116">
        <v>5142.8999999999996</v>
      </c>
      <c r="R290">
        <v>31388</v>
      </c>
    </row>
    <row r="291" spans="1:18" x14ac:dyDescent="0.25">
      <c r="A291" s="170">
        <v>42426</v>
      </c>
      <c r="B291" s="116">
        <v>259</v>
      </c>
      <c r="C291" s="116">
        <v>255.3725</v>
      </c>
      <c r="D291" s="116">
        <v>254.5025</v>
      </c>
      <c r="E291" s="116">
        <v>258.64749999999998</v>
      </c>
      <c r="F291" s="116">
        <v>5107.45</v>
      </c>
      <c r="G291">
        <v>1616</v>
      </c>
      <c r="H291" s="116"/>
      <c r="I291" s="116"/>
      <c r="L291" s="170">
        <v>42426</v>
      </c>
      <c r="M291" s="116">
        <v>255.56</v>
      </c>
      <c r="N291" s="116">
        <v>259.5</v>
      </c>
      <c r="O291" s="116">
        <v>255.05</v>
      </c>
      <c r="P291" s="116">
        <v>259.5</v>
      </c>
      <c r="Q291" s="116">
        <v>5111.2</v>
      </c>
      <c r="R291">
        <v>36011</v>
      </c>
    </row>
    <row r="292" spans="1:18" x14ac:dyDescent="0.25">
      <c r="A292" s="170">
        <v>42429</v>
      </c>
      <c r="B292" s="116">
        <v>256.0025</v>
      </c>
      <c r="C292" s="116">
        <v>250.61750000000001</v>
      </c>
      <c r="D292" s="116">
        <v>249.5</v>
      </c>
      <c r="E292" s="116">
        <v>256</v>
      </c>
      <c r="F292" s="116">
        <v>5012.3500000000004</v>
      </c>
      <c r="G292">
        <v>96509</v>
      </c>
      <c r="H292" s="116"/>
      <c r="I292" s="116"/>
      <c r="L292" s="170">
        <v>42429</v>
      </c>
      <c r="M292" s="116">
        <v>250.4</v>
      </c>
      <c r="N292" s="116">
        <v>257.245</v>
      </c>
      <c r="O292" s="116">
        <v>249.05</v>
      </c>
      <c r="P292" s="116">
        <v>257.245</v>
      </c>
      <c r="Q292" s="116">
        <v>5008</v>
      </c>
      <c r="R292">
        <v>52942</v>
      </c>
    </row>
    <row r="293" spans="1:18" x14ac:dyDescent="0.25">
      <c r="A293" s="170">
        <v>42430</v>
      </c>
      <c r="B293" s="116">
        <v>255.3</v>
      </c>
      <c r="C293" s="116">
        <v>252.45</v>
      </c>
      <c r="D293" s="116">
        <v>250.3</v>
      </c>
      <c r="E293" s="116">
        <v>251.8</v>
      </c>
      <c r="F293" s="116">
        <v>5049</v>
      </c>
      <c r="G293">
        <v>2647</v>
      </c>
      <c r="H293" s="116"/>
      <c r="I293" s="116"/>
      <c r="L293" s="170">
        <v>42430</v>
      </c>
      <c r="M293" s="116">
        <v>252.61250000000001</v>
      </c>
      <c r="N293" s="116">
        <v>255.86250000000001</v>
      </c>
      <c r="O293" s="116">
        <v>250.0275</v>
      </c>
      <c r="P293" s="116">
        <v>252.5</v>
      </c>
      <c r="Q293" s="116">
        <v>5052.25</v>
      </c>
      <c r="R293">
        <v>41530</v>
      </c>
    </row>
    <row r="294" spans="1:18" x14ac:dyDescent="0.25">
      <c r="A294" s="170">
        <v>42431</v>
      </c>
      <c r="B294" s="116">
        <v>255.23</v>
      </c>
      <c r="C294" s="116">
        <v>254.11750000000001</v>
      </c>
      <c r="D294" s="116">
        <v>252.45</v>
      </c>
      <c r="E294" s="116">
        <v>252.65</v>
      </c>
      <c r="F294" s="116">
        <v>5082.3500000000004</v>
      </c>
      <c r="G294">
        <v>2098</v>
      </c>
      <c r="H294" s="116"/>
      <c r="I294" s="116"/>
      <c r="L294" s="170">
        <v>42431</v>
      </c>
      <c r="M294" s="116">
        <v>253.91</v>
      </c>
      <c r="N294" s="116">
        <v>255.25</v>
      </c>
      <c r="O294" s="116">
        <v>252.25</v>
      </c>
      <c r="P294" s="116">
        <v>254</v>
      </c>
      <c r="Q294" s="116">
        <v>5078.2</v>
      </c>
      <c r="R294">
        <v>29138</v>
      </c>
    </row>
    <row r="295" spans="1:18" x14ac:dyDescent="0.25">
      <c r="A295" s="170">
        <v>42432</v>
      </c>
      <c r="B295" s="116">
        <v>262.14249999999998</v>
      </c>
      <c r="C295" s="116">
        <v>260.67500000000001</v>
      </c>
      <c r="D295" s="116">
        <v>254.4025</v>
      </c>
      <c r="E295" s="116">
        <v>254.7525</v>
      </c>
      <c r="F295" s="116">
        <v>5213.5</v>
      </c>
      <c r="G295">
        <v>3485</v>
      </c>
      <c r="H295" s="116"/>
      <c r="I295" s="116"/>
      <c r="L295" s="170">
        <v>42432</v>
      </c>
      <c r="M295" s="116">
        <v>260.88749999999999</v>
      </c>
      <c r="N295" s="116">
        <v>262.14999999999998</v>
      </c>
      <c r="O295" s="116">
        <v>254</v>
      </c>
      <c r="P295" s="116">
        <v>255.5</v>
      </c>
      <c r="Q295" s="116">
        <v>5217.75</v>
      </c>
      <c r="R295">
        <v>33110</v>
      </c>
    </row>
    <row r="296" spans="1:18" x14ac:dyDescent="0.25">
      <c r="A296" s="170">
        <v>42433</v>
      </c>
      <c r="B296" s="116">
        <v>266.10250000000002</v>
      </c>
      <c r="C296" s="116">
        <v>264.15499999999997</v>
      </c>
      <c r="D296" s="116">
        <v>259.04750000000001</v>
      </c>
      <c r="E296" s="116">
        <v>261.25</v>
      </c>
      <c r="F296" s="116">
        <v>5283.1</v>
      </c>
      <c r="G296">
        <v>2909</v>
      </c>
      <c r="H296" s="116"/>
      <c r="I296" s="116"/>
      <c r="L296" s="170">
        <v>42433</v>
      </c>
      <c r="M296" s="116">
        <v>264.26249999999999</v>
      </c>
      <c r="N296" s="116">
        <v>266.2525</v>
      </c>
      <c r="O296" s="116">
        <v>258.3</v>
      </c>
      <c r="P296" s="116">
        <v>260.89999999999998</v>
      </c>
      <c r="Q296" s="116">
        <v>5285.25</v>
      </c>
      <c r="R296">
        <v>26291</v>
      </c>
    </row>
    <row r="297" spans="1:18" x14ac:dyDescent="0.25">
      <c r="A297" s="170">
        <v>42437</v>
      </c>
      <c r="B297" s="116">
        <v>270.73250000000002</v>
      </c>
      <c r="C297" s="116">
        <v>265.22250000000003</v>
      </c>
      <c r="D297" s="116">
        <v>260.3</v>
      </c>
      <c r="E297" s="116">
        <v>264.995</v>
      </c>
      <c r="F297" s="116">
        <v>5304.45</v>
      </c>
      <c r="G297">
        <v>5265</v>
      </c>
      <c r="H297" s="116"/>
      <c r="I297" s="116"/>
      <c r="L297" s="170">
        <v>42437</v>
      </c>
      <c r="M297" s="116">
        <v>266.04000000000002</v>
      </c>
      <c r="N297" s="116">
        <v>271.45</v>
      </c>
      <c r="O297" s="116">
        <v>263.80500000000001</v>
      </c>
      <c r="P297" s="116">
        <v>265</v>
      </c>
      <c r="Q297" s="116">
        <v>5320.8</v>
      </c>
      <c r="R297">
        <v>53547</v>
      </c>
    </row>
    <row r="298" spans="1:18" x14ac:dyDescent="0.25">
      <c r="A298" s="170">
        <v>42438</v>
      </c>
      <c r="B298" s="116">
        <v>264.125</v>
      </c>
      <c r="C298" s="116">
        <v>260.1825</v>
      </c>
      <c r="D298" s="116">
        <v>258.755</v>
      </c>
      <c r="E298" s="116">
        <v>264.1225</v>
      </c>
      <c r="F298" s="116">
        <v>5203.6499999999996</v>
      </c>
      <c r="G298">
        <v>1624</v>
      </c>
      <c r="H298" s="116"/>
      <c r="I298" s="116"/>
      <c r="L298" s="170">
        <v>42438</v>
      </c>
      <c r="M298" s="116">
        <v>260.49</v>
      </c>
      <c r="N298" s="116">
        <v>265.3725</v>
      </c>
      <c r="O298" s="116">
        <v>259.10000000000002</v>
      </c>
      <c r="P298" s="116">
        <v>263.76499999999999</v>
      </c>
      <c r="Q298" s="116">
        <v>5209.8</v>
      </c>
      <c r="R298">
        <v>47123</v>
      </c>
    </row>
    <row r="299" spans="1:18" x14ac:dyDescent="0.25">
      <c r="A299" s="170">
        <v>42439</v>
      </c>
      <c r="B299" s="116">
        <v>262.5</v>
      </c>
      <c r="C299" s="116">
        <v>259.29250000000002</v>
      </c>
      <c r="D299" s="116">
        <v>255.8</v>
      </c>
      <c r="E299" s="116">
        <v>262.5</v>
      </c>
      <c r="F299" s="116">
        <v>5185.8500000000004</v>
      </c>
      <c r="G299">
        <v>2423</v>
      </c>
      <c r="H299" s="116"/>
      <c r="I299" s="116"/>
      <c r="L299" s="170">
        <v>42439</v>
      </c>
      <c r="M299" s="116">
        <v>258.89</v>
      </c>
      <c r="N299" s="116">
        <v>262.08249999999998</v>
      </c>
      <c r="O299" s="116">
        <v>255.3175</v>
      </c>
      <c r="P299" s="116">
        <v>261.14999999999998</v>
      </c>
      <c r="Q299" s="116">
        <v>5177.8</v>
      </c>
      <c r="R299">
        <v>63711</v>
      </c>
    </row>
    <row r="300" spans="1:18" x14ac:dyDescent="0.25">
      <c r="A300" s="170">
        <v>42440</v>
      </c>
      <c r="B300" s="116">
        <v>262.26249999999999</v>
      </c>
      <c r="C300" s="116">
        <v>258.8075</v>
      </c>
      <c r="D300" s="116">
        <v>255.2475</v>
      </c>
      <c r="E300" s="116">
        <v>260.97250000000003</v>
      </c>
      <c r="F300" s="116">
        <v>5176.1499999999996</v>
      </c>
      <c r="G300">
        <v>5064</v>
      </c>
      <c r="H300" s="116"/>
      <c r="I300" s="116"/>
      <c r="L300" s="170">
        <v>42440</v>
      </c>
      <c r="M300" s="116">
        <v>258.15750000000003</v>
      </c>
      <c r="N300" s="116">
        <v>262.495</v>
      </c>
      <c r="O300" s="116">
        <v>255</v>
      </c>
      <c r="P300" s="116">
        <v>259.4975</v>
      </c>
      <c r="Q300" s="116">
        <v>5163.1499999999996</v>
      </c>
      <c r="R300">
        <v>35312</v>
      </c>
    </row>
    <row r="301" spans="1:18" x14ac:dyDescent="0.25">
      <c r="A301" s="170">
        <v>42443</v>
      </c>
      <c r="B301" s="116">
        <v>258.14999999999998</v>
      </c>
      <c r="C301" s="116">
        <v>255.25</v>
      </c>
      <c r="D301" s="116">
        <v>254.95</v>
      </c>
      <c r="E301" s="116">
        <v>258.14999999999998</v>
      </c>
      <c r="F301" s="116">
        <v>5105</v>
      </c>
      <c r="G301">
        <v>22624</v>
      </c>
      <c r="H301" s="116"/>
      <c r="I301" s="116"/>
      <c r="L301" s="170">
        <v>42443</v>
      </c>
      <c r="M301" s="116">
        <v>255.155</v>
      </c>
      <c r="N301" s="116">
        <v>258.64999999999998</v>
      </c>
      <c r="O301" s="116">
        <v>254.5</v>
      </c>
      <c r="P301" s="116">
        <v>258.64999999999998</v>
      </c>
      <c r="Q301" s="116">
        <v>5103.1000000000004</v>
      </c>
      <c r="R301">
        <v>61213</v>
      </c>
    </row>
    <row r="302" spans="1:18" x14ac:dyDescent="0.25">
      <c r="A302" s="170">
        <v>42444</v>
      </c>
      <c r="B302" s="116">
        <v>255.15</v>
      </c>
      <c r="C302" s="116">
        <v>252.6925</v>
      </c>
      <c r="D302" s="116">
        <v>252.3</v>
      </c>
      <c r="E302" s="116">
        <v>255.15</v>
      </c>
      <c r="F302" s="116">
        <v>5053.8500000000004</v>
      </c>
      <c r="G302">
        <v>6910</v>
      </c>
      <c r="H302" s="116"/>
      <c r="I302" s="116"/>
      <c r="L302" s="170">
        <v>42444</v>
      </c>
      <c r="M302" s="116">
        <v>252.6875</v>
      </c>
      <c r="N302" s="116">
        <v>255.87</v>
      </c>
      <c r="O302" s="116">
        <v>252.04</v>
      </c>
      <c r="P302" s="116">
        <v>255.87</v>
      </c>
      <c r="Q302" s="116">
        <v>5053.75</v>
      </c>
      <c r="R302">
        <v>99413</v>
      </c>
    </row>
    <row r="303" spans="1:18" x14ac:dyDescent="0.25">
      <c r="A303" s="170">
        <v>42445</v>
      </c>
      <c r="B303" s="116">
        <v>253.9975</v>
      </c>
      <c r="C303" s="116">
        <v>251.32</v>
      </c>
      <c r="D303" s="116">
        <v>250.5</v>
      </c>
      <c r="E303" s="116">
        <v>253.9975</v>
      </c>
      <c r="F303" s="116">
        <v>5026.3999999999996</v>
      </c>
      <c r="G303">
        <v>4613</v>
      </c>
      <c r="H303" s="116"/>
      <c r="I303" s="116"/>
      <c r="L303" s="170">
        <v>42445</v>
      </c>
      <c r="M303" s="116">
        <v>250.58750000000001</v>
      </c>
      <c r="N303" s="116">
        <v>252.9975</v>
      </c>
      <c r="O303" s="116">
        <v>250.25</v>
      </c>
      <c r="P303" s="116">
        <v>252.745</v>
      </c>
      <c r="Q303" s="116">
        <v>5011.75</v>
      </c>
      <c r="R303">
        <v>91850</v>
      </c>
    </row>
    <row r="304" spans="1:18" x14ac:dyDescent="0.25">
      <c r="A304" s="170">
        <v>42446</v>
      </c>
      <c r="B304" s="116">
        <v>255.24</v>
      </c>
      <c r="C304" s="116">
        <v>254.45750000000001</v>
      </c>
      <c r="D304" s="116">
        <v>252.34</v>
      </c>
      <c r="E304" s="116">
        <v>252.75</v>
      </c>
      <c r="F304" s="116">
        <v>5089.1499999999996</v>
      </c>
      <c r="G304">
        <v>3858</v>
      </c>
      <c r="H304" s="116"/>
      <c r="I304" s="116"/>
      <c r="L304" s="170">
        <v>42446</v>
      </c>
      <c r="M304" s="116">
        <v>254.8425</v>
      </c>
      <c r="N304" s="116">
        <v>255.73500000000001</v>
      </c>
      <c r="O304" s="116">
        <v>251.5025</v>
      </c>
      <c r="P304" s="116">
        <v>252</v>
      </c>
      <c r="Q304" s="116">
        <v>5096.8500000000004</v>
      </c>
      <c r="R304">
        <v>34979</v>
      </c>
    </row>
    <row r="305" spans="1:18" x14ac:dyDescent="0.25">
      <c r="A305" s="170">
        <v>42447</v>
      </c>
      <c r="B305" s="116">
        <v>262.62</v>
      </c>
      <c r="C305" s="116">
        <v>259.98</v>
      </c>
      <c r="D305" s="116">
        <v>251.9725</v>
      </c>
      <c r="E305" s="116">
        <v>254.45750000000001</v>
      </c>
      <c r="F305" s="116">
        <v>5199.6000000000004</v>
      </c>
      <c r="G305">
        <v>9199</v>
      </c>
      <c r="H305" s="116"/>
      <c r="I305" s="116"/>
      <c r="L305" s="170">
        <v>42447</v>
      </c>
      <c r="M305" s="116">
        <v>259.3125</v>
      </c>
      <c r="N305" s="116">
        <v>263</v>
      </c>
      <c r="O305" s="116">
        <v>252.15</v>
      </c>
      <c r="P305" s="116">
        <v>254.86500000000001</v>
      </c>
      <c r="Q305" s="116">
        <v>5186.25</v>
      </c>
      <c r="R305">
        <v>51696</v>
      </c>
    </row>
    <row r="306" spans="1:18" x14ac:dyDescent="0.25">
      <c r="A306" s="170">
        <v>42450</v>
      </c>
      <c r="B306" s="116">
        <v>264</v>
      </c>
      <c r="C306" s="116">
        <v>262.90499999999997</v>
      </c>
      <c r="D306" s="116">
        <v>260</v>
      </c>
      <c r="E306" s="116">
        <v>262.75</v>
      </c>
      <c r="F306" s="116">
        <v>5258.1</v>
      </c>
      <c r="G306">
        <v>14382</v>
      </c>
      <c r="H306" s="116"/>
      <c r="I306" s="116"/>
      <c r="L306" s="170">
        <v>42450</v>
      </c>
      <c r="M306" s="116">
        <v>261.57749999999999</v>
      </c>
      <c r="N306" s="116">
        <v>262.5</v>
      </c>
      <c r="O306" s="116">
        <v>260</v>
      </c>
      <c r="P306" s="116">
        <v>260</v>
      </c>
      <c r="Q306" s="116">
        <v>5231.55</v>
      </c>
      <c r="R306">
        <v>52834</v>
      </c>
    </row>
    <row r="307" spans="1:18" x14ac:dyDescent="0.25">
      <c r="A307" s="170">
        <v>42451</v>
      </c>
      <c r="B307" s="116">
        <v>267.47000000000003</v>
      </c>
      <c r="C307" s="116">
        <v>263.71749999999997</v>
      </c>
      <c r="D307" s="116">
        <v>258</v>
      </c>
      <c r="E307" s="116">
        <v>263.5</v>
      </c>
      <c r="F307" s="116">
        <v>5274.35</v>
      </c>
      <c r="G307">
        <v>13361</v>
      </c>
      <c r="H307" s="116"/>
      <c r="I307" s="116"/>
      <c r="L307" s="170">
        <v>42451</v>
      </c>
      <c r="M307" s="116">
        <v>263.01749999999998</v>
      </c>
      <c r="N307" s="116">
        <v>267.45</v>
      </c>
      <c r="O307" s="116">
        <v>257.75</v>
      </c>
      <c r="P307" s="116">
        <v>262.5</v>
      </c>
      <c r="Q307" s="116">
        <v>5260.35</v>
      </c>
      <c r="R307">
        <v>46192</v>
      </c>
    </row>
    <row r="308" spans="1:18" x14ac:dyDescent="0.25">
      <c r="A308" s="170">
        <v>42452</v>
      </c>
      <c r="B308" s="116">
        <v>267.33499999999998</v>
      </c>
      <c r="C308" s="116">
        <v>263.0575</v>
      </c>
      <c r="D308" s="116">
        <v>260.5</v>
      </c>
      <c r="E308" s="116">
        <v>264.95</v>
      </c>
      <c r="F308" s="116">
        <v>5261.15</v>
      </c>
      <c r="G308">
        <v>3514</v>
      </c>
      <c r="H308" s="116"/>
      <c r="I308" s="116"/>
      <c r="L308" s="170">
        <v>42452</v>
      </c>
      <c r="M308" s="116">
        <v>262.65750000000003</v>
      </c>
      <c r="N308" s="116">
        <v>267</v>
      </c>
      <c r="O308" s="116">
        <v>260.5</v>
      </c>
      <c r="P308" s="116">
        <v>265.55500000000001</v>
      </c>
      <c r="Q308" s="116">
        <v>5253.15</v>
      </c>
      <c r="R308">
        <v>107792</v>
      </c>
    </row>
    <row r="309" spans="1:18" x14ac:dyDescent="0.25">
      <c r="A309" s="170">
        <v>42457</v>
      </c>
      <c r="B309" s="116">
        <v>268.94499999999999</v>
      </c>
      <c r="C309" s="116">
        <v>267.65750000000003</v>
      </c>
      <c r="D309" s="116">
        <v>263.0575</v>
      </c>
      <c r="E309" s="116">
        <v>263.0575</v>
      </c>
      <c r="F309" s="116">
        <v>5353.15</v>
      </c>
      <c r="G309">
        <v>6538</v>
      </c>
      <c r="H309" s="116"/>
      <c r="I309" s="116"/>
      <c r="L309" s="170">
        <v>42457</v>
      </c>
      <c r="M309" s="116">
        <v>267.67500000000001</v>
      </c>
      <c r="N309" s="116">
        <v>268.75</v>
      </c>
      <c r="O309" s="116">
        <v>264.1275</v>
      </c>
      <c r="P309" s="116">
        <v>264.95</v>
      </c>
      <c r="Q309" s="116">
        <v>5353.5</v>
      </c>
      <c r="R309">
        <v>69661</v>
      </c>
    </row>
    <row r="310" spans="1:18" x14ac:dyDescent="0.25">
      <c r="A310" s="170">
        <v>42458</v>
      </c>
      <c r="B310" s="116">
        <v>269.35000000000002</v>
      </c>
      <c r="C310" s="116">
        <v>266.3075</v>
      </c>
      <c r="D310" s="116">
        <v>265</v>
      </c>
      <c r="E310" s="116">
        <v>266.85000000000002</v>
      </c>
      <c r="F310" s="116">
        <v>5326.15</v>
      </c>
      <c r="G310">
        <v>1411</v>
      </c>
      <c r="H310" s="116"/>
      <c r="I310" s="116"/>
      <c r="L310" s="170">
        <v>42458</v>
      </c>
      <c r="M310" s="116">
        <v>266.79500000000002</v>
      </c>
      <c r="N310" s="116">
        <v>269.5</v>
      </c>
      <c r="O310" s="116">
        <v>265.5</v>
      </c>
      <c r="P310" s="116">
        <v>267</v>
      </c>
      <c r="Q310" s="116">
        <v>5335.9</v>
      </c>
      <c r="R310">
        <v>15640</v>
      </c>
    </row>
    <row r="311" spans="1:18" x14ac:dyDescent="0.25">
      <c r="A311" s="170">
        <v>42459</v>
      </c>
      <c r="B311" s="116">
        <v>275.14999999999998</v>
      </c>
      <c r="C311" s="116">
        <v>273.82</v>
      </c>
      <c r="D311" s="116">
        <v>268.64</v>
      </c>
      <c r="E311" s="116">
        <v>268.64999999999998</v>
      </c>
      <c r="F311" s="116">
        <v>5476.4</v>
      </c>
      <c r="G311">
        <v>2815</v>
      </c>
      <c r="H311" s="116"/>
      <c r="I311" s="116"/>
      <c r="L311" s="170">
        <v>42459</v>
      </c>
      <c r="M311" s="116">
        <v>273.99</v>
      </c>
      <c r="N311" s="116">
        <v>275.08249999999998</v>
      </c>
      <c r="O311" s="116">
        <v>267.74</v>
      </c>
      <c r="P311" s="116">
        <v>267.74</v>
      </c>
      <c r="Q311" s="116">
        <v>5479.8</v>
      </c>
      <c r="R311">
        <v>47816</v>
      </c>
    </row>
    <row r="312" spans="1:18" x14ac:dyDescent="0.25">
      <c r="A312" s="170">
        <v>42460</v>
      </c>
      <c r="B312" s="116">
        <v>291.3075</v>
      </c>
      <c r="C312" s="116">
        <v>288.44749999999999</v>
      </c>
      <c r="D312" s="116">
        <v>270.255</v>
      </c>
      <c r="E312" s="116">
        <v>272.55</v>
      </c>
      <c r="F312" s="116">
        <v>5768.95</v>
      </c>
      <c r="G312">
        <v>4060</v>
      </c>
      <c r="H312" s="116"/>
      <c r="I312" s="116"/>
      <c r="L312" s="170">
        <v>42460</v>
      </c>
      <c r="M312" s="116">
        <v>287.86750000000001</v>
      </c>
      <c r="N312" s="116">
        <v>292.45</v>
      </c>
      <c r="O312" s="116">
        <v>270</v>
      </c>
      <c r="P312" s="116">
        <v>272.2525</v>
      </c>
      <c r="Q312" s="116">
        <v>5757.35</v>
      </c>
      <c r="R312">
        <v>72171</v>
      </c>
    </row>
    <row r="313" spans="1:18" x14ac:dyDescent="0.25">
      <c r="A313" s="170">
        <v>42461</v>
      </c>
      <c r="B313" s="116">
        <v>283.35750000000002</v>
      </c>
      <c r="C313" s="116">
        <v>281.7475</v>
      </c>
      <c r="D313" s="116">
        <v>278.63749999999999</v>
      </c>
      <c r="E313" s="116">
        <v>283.25</v>
      </c>
      <c r="F313" s="116">
        <v>5634.95</v>
      </c>
      <c r="G313">
        <v>2427</v>
      </c>
      <c r="H313" s="116"/>
      <c r="I313" s="116"/>
      <c r="L313" s="170">
        <v>42461</v>
      </c>
      <c r="M313" s="116">
        <v>281.91000000000003</v>
      </c>
      <c r="N313" s="116">
        <v>287.45</v>
      </c>
      <c r="O313" s="116">
        <v>277.90249999999997</v>
      </c>
      <c r="P313" s="116">
        <v>284.5</v>
      </c>
      <c r="Q313" s="116">
        <v>5638.2</v>
      </c>
      <c r="R313">
        <v>37393</v>
      </c>
    </row>
    <row r="314" spans="1:18" x14ac:dyDescent="0.25">
      <c r="A314" s="170">
        <v>42464</v>
      </c>
      <c r="B314" s="116">
        <v>286</v>
      </c>
      <c r="C314" s="116">
        <v>283.74250000000001</v>
      </c>
      <c r="D314" s="116">
        <v>281.2</v>
      </c>
      <c r="E314" s="116">
        <v>283</v>
      </c>
      <c r="F314" s="116">
        <v>5674.85</v>
      </c>
      <c r="G314">
        <v>9367</v>
      </c>
      <c r="H314" s="116"/>
      <c r="I314" s="116"/>
      <c r="L314" s="170">
        <v>42464</v>
      </c>
      <c r="M314" s="116">
        <v>284.17750000000001</v>
      </c>
      <c r="N314" s="116">
        <v>286.2475</v>
      </c>
      <c r="O314" s="116">
        <v>280.35000000000002</v>
      </c>
      <c r="P314" s="116">
        <v>281.5</v>
      </c>
      <c r="Q314" s="116">
        <v>5683.55</v>
      </c>
      <c r="R314">
        <v>21694</v>
      </c>
    </row>
    <row r="315" spans="1:18" x14ac:dyDescent="0.25">
      <c r="A315" s="170">
        <v>42465</v>
      </c>
      <c r="B315" s="116">
        <v>289</v>
      </c>
      <c r="C315" s="116">
        <v>286.20249999999999</v>
      </c>
      <c r="D315" s="116">
        <v>268</v>
      </c>
      <c r="E315" s="116">
        <v>268</v>
      </c>
      <c r="F315" s="116">
        <v>5724.05</v>
      </c>
      <c r="G315">
        <v>13464</v>
      </c>
      <c r="H315" s="116"/>
      <c r="I315" s="116"/>
      <c r="L315" s="170">
        <v>42465</v>
      </c>
      <c r="M315" s="116">
        <v>286.94749999999999</v>
      </c>
      <c r="N315" s="116">
        <v>288.85000000000002</v>
      </c>
      <c r="O315" s="116">
        <v>281.60000000000002</v>
      </c>
      <c r="P315" s="116">
        <v>281.60000000000002</v>
      </c>
      <c r="Q315" s="116">
        <v>5738.95</v>
      </c>
      <c r="R315">
        <v>31231</v>
      </c>
    </row>
    <row r="316" spans="1:18" x14ac:dyDescent="0.25">
      <c r="A316" s="170">
        <v>42466</v>
      </c>
      <c r="B316" s="116">
        <v>287.09750000000003</v>
      </c>
      <c r="C316" s="116">
        <v>285.40750000000003</v>
      </c>
      <c r="D316" s="116">
        <v>284.9325</v>
      </c>
      <c r="E316" s="116">
        <v>287.09750000000003</v>
      </c>
      <c r="F316" s="116">
        <v>5708.15</v>
      </c>
      <c r="G316">
        <v>3166</v>
      </c>
      <c r="H316" s="116"/>
      <c r="I316" s="116"/>
      <c r="L316" s="170">
        <v>42466</v>
      </c>
      <c r="M316" s="116">
        <v>286.20749999999998</v>
      </c>
      <c r="N316" s="116">
        <v>287.45249999999999</v>
      </c>
      <c r="O316" s="116">
        <v>285.2</v>
      </c>
      <c r="P316" s="116">
        <v>286.89999999999998</v>
      </c>
      <c r="Q316" s="116">
        <v>5724.15</v>
      </c>
      <c r="R316">
        <v>30696</v>
      </c>
    </row>
    <row r="317" spans="1:18" x14ac:dyDescent="0.25">
      <c r="A317" s="170">
        <v>42467</v>
      </c>
      <c r="B317" s="116">
        <v>296.05</v>
      </c>
      <c r="C317" s="116">
        <v>293.05</v>
      </c>
      <c r="D317" s="116">
        <v>287.4975</v>
      </c>
      <c r="E317" s="116">
        <v>289.5</v>
      </c>
      <c r="F317" s="116">
        <v>5861</v>
      </c>
      <c r="G317">
        <v>10576</v>
      </c>
      <c r="H317" s="116"/>
      <c r="I317" s="116"/>
      <c r="L317" s="170">
        <v>42467</v>
      </c>
      <c r="M317" s="116">
        <v>294.42750000000001</v>
      </c>
      <c r="N317" s="116">
        <v>297.5025</v>
      </c>
      <c r="O317" s="116">
        <v>287.39999999999998</v>
      </c>
      <c r="P317" s="116">
        <v>289.97250000000003</v>
      </c>
      <c r="Q317" s="116">
        <v>5888.55</v>
      </c>
      <c r="R317">
        <v>39466</v>
      </c>
    </row>
    <row r="318" spans="1:18" x14ac:dyDescent="0.25">
      <c r="A318" s="170">
        <v>42468</v>
      </c>
      <c r="B318" s="116">
        <v>299.7</v>
      </c>
      <c r="C318" s="116">
        <v>298.11750000000001</v>
      </c>
      <c r="D318" s="116">
        <v>292.75</v>
      </c>
      <c r="E318" s="116">
        <v>295.8</v>
      </c>
      <c r="F318" s="116">
        <v>5962.35</v>
      </c>
      <c r="G318">
        <v>8101</v>
      </c>
      <c r="H318" s="116"/>
      <c r="I318" s="116"/>
      <c r="L318" s="170">
        <v>42468</v>
      </c>
      <c r="M318" s="116">
        <v>298.78250000000003</v>
      </c>
      <c r="N318" s="116">
        <v>300.3</v>
      </c>
      <c r="O318" s="116">
        <v>292.55</v>
      </c>
      <c r="P318" s="116">
        <v>296.2475</v>
      </c>
      <c r="Q318" s="116">
        <v>5975.65</v>
      </c>
      <c r="R318">
        <v>22133</v>
      </c>
    </row>
    <row r="319" spans="1:18" x14ac:dyDescent="0.25">
      <c r="A319" s="170">
        <v>42471</v>
      </c>
      <c r="B319" s="116">
        <v>299.95</v>
      </c>
      <c r="C319" s="116">
        <v>293.63499999999999</v>
      </c>
      <c r="D319" s="116">
        <v>292.5025</v>
      </c>
      <c r="E319" s="116">
        <v>299.5</v>
      </c>
      <c r="F319" s="116">
        <v>5872.7</v>
      </c>
      <c r="G319">
        <v>5560</v>
      </c>
      <c r="H319" s="116"/>
      <c r="I319" s="116"/>
      <c r="L319" s="170">
        <v>42471</v>
      </c>
      <c r="M319" s="116">
        <v>293.53750000000002</v>
      </c>
      <c r="N319" s="116">
        <v>300.44749999999999</v>
      </c>
      <c r="O319" s="116">
        <v>292.77</v>
      </c>
      <c r="P319" s="116">
        <v>299</v>
      </c>
      <c r="Q319" s="116">
        <v>5870.75</v>
      </c>
      <c r="R319">
        <v>25180</v>
      </c>
    </row>
    <row r="320" spans="1:18" x14ac:dyDescent="0.25">
      <c r="A320" s="170">
        <v>42472</v>
      </c>
      <c r="B320" s="116">
        <v>309</v>
      </c>
      <c r="C320" s="116">
        <v>306.79000000000002</v>
      </c>
      <c r="D320" s="116">
        <v>301.99</v>
      </c>
      <c r="E320" s="116">
        <v>301.99</v>
      </c>
      <c r="F320" s="116">
        <v>6135.8</v>
      </c>
      <c r="G320">
        <v>10076</v>
      </c>
      <c r="H320" s="116"/>
      <c r="I320" s="116"/>
      <c r="L320" s="170">
        <v>42472</v>
      </c>
      <c r="M320" s="116">
        <v>307.39</v>
      </c>
      <c r="N320" s="116">
        <v>309.2525</v>
      </c>
      <c r="O320" s="116">
        <v>302.52749999999997</v>
      </c>
      <c r="P320" s="116">
        <v>304.95</v>
      </c>
      <c r="Q320" s="116">
        <v>6147.8</v>
      </c>
      <c r="R320">
        <v>62801</v>
      </c>
    </row>
    <row r="321" spans="1:18" x14ac:dyDescent="0.25">
      <c r="A321" s="170">
        <v>42473</v>
      </c>
      <c r="B321" s="116">
        <v>308.55</v>
      </c>
      <c r="C321" s="116">
        <v>305.29000000000002</v>
      </c>
      <c r="D321" s="116">
        <v>300.60500000000002</v>
      </c>
      <c r="E321" s="116">
        <v>307.10000000000002</v>
      </c>
      <c r="F321" s="116">
        <v>6105.8</v>
      </c>
      <c r="G321">
        <v>11298</v>
      </c>
      <c r="H321" s="116"/>
      <c r="I321" s="116"/>
      <c r="L321" s="170">
        <v>42473</v>
      </c>
      <c r="M321" s="116">
        <v>305.82499999999999</v>
      </c>
      <c r="N321" s="116">
        <v>308.75</v>
      </c>
      <c r="O321" s="116">
        <v>301.05500000000001</v>
      </c>
      <c r="P321" s="116">
        <v>307.85000000000002</v>
      </c>
      <c r="Q321" s="116">
        <v>6116.5</v>
      </c>
      <c r="R321">
        <v>32898</v>
      </c>
    </row>
    <row r="322" spans="1:18" x14ac:dyDescent="0.25">
      <c r="A322" s="170">
        <v>42478</v>
      </c>
      <c r="B322" s="116">
        <v>312.45</v>
      </c>
      <c r="C322" s="116">
        <v>306.25</v>
      </c>
      <c r="D322" s="116">
        <v>302.75</v>
      </c>
      <c r="E322" s="116">
        <v>306.5</v>
      </c>
      <c r="F322" s="116">
        <v>6125</v>
      </c>
      <c r="G322">
        <v>8351</v>
      </c>
      <c r="H322" s="116"/>
      <c r="I322" s="116"/>
      <c r="L322" s="170">
        <v>42478</v>
      </c>
      <c r="M322" s="116">
        <v>306.73</v>
      </c>
      <c r="N322" s="116">
        <v>312.33749999999998</v>
      </c>
      <c r="O322" s="116">
        <v>302.85000000000002</v>
      </c>
      <c r="P322" s="116">
        <v>306</v>
      </c>
      <c r="Q322" s="116">
        <v>6134.6</v>
      </c>
      <c r="R322">
        <v>47449</v>
      </c>
    </row>
    <row r="323" spans="1:18" x14ac:dyDescent="0.25">
      <c r="A323" s="170">
        <v>42480</v>
      </c>
      <c r="B323" s="116">
        <v>309.5</v>
      </c>
      <c r="C323" s="116">
        <v>301.78500000000003</v>
      </c>
      <c r="D323" s="116">
        <v>300.10000000000002</v>
      </c>
      <c r="E323" s="116">
        <v>309.2475</v>
      </c>
      <c r="F323" s="116">
        <v>6035.7</v>
      </c>
      <c r="G323">
        <v>3340</v>
      </c>
      <c r="H323" s="116"/>
      <c r="I323" s="116"/>
      <c r="L323" s="170">
        <v>42480</v>
      </c>
      <c r="M323" s="116">
        <v>301.8</v>
      </c>
      <c r="N323" s="116">
        <v>309.8</v>
      </c>
      <c r="O323" s="116">
        <v>300.10000000000002</v>
      </c>
      <c r="P323" s="116">
        <v>309</v>
      </c>
      <c r="Q323" s="116">
        <v>6036</v>
      </c>
      <c r="R323">
        <v>43665</v>
      </c>
    </row>
    <row r="324" spans="1:18" x14ac:dyDescent="0.25">
      <c r="A324" s="170">
        <v>42481</v>
      </c>
      <c r="B324" s="116">
        <v>301.78500000000003</v>
      </c>
      <c r="C324" s="116">
        <v>298.54250000000002</v>
      </c>
      <c r="D324" s="116">
        <v>297.55500000000001</v>
      </c>
      <c r="E324" s="116">
        <v>301.78500000000003</v>
      </c>
      <c r="F324" s="116">
        <v>5970.85</v>
      </c>
      <c r="G324">
        <v>23461</v>
      </c>
      <c r="H324" s="116"/>
      <c r="I324" s="116"/>
      <c r="L324" s="170">
        <v>42481</v>
      </c>
      <c r="M324" s="116">
        <v>298.34249999999997</v>
      </c>
      <c r="N324" s="116">
        <v>302.5</v>
      </c>
      <c r="O324" s="116">
        <v>297.35000000000002</v>
      </c>
      <c r="P324" s="116">
        <v>301.8</v>
      </c>
      <c r="Q324" s="116">
        <v>5966.85</v>
      </c>
      <c r="R324">
        <v>75844</v>
      </c>
    </row>
    <row r="325" spans="1:18" x14ac:dyDescent="0.25">
      <c r="A325" s="170">
        <v>42482</v>
      </c>
      <c r="B325" s="116">
        <v>301.34750000000003</v>
      </c>
      <c r="C325" s="116">
        <v>297.76249999999999</v>
      </c>
      <c r="D325" s="116">
        <v>296.505</v>
      </c>
      <c r="E325" s="116">
        <v>298.2</v>
      </c>
      <c r="F325" s="116">
        <v>5955.25</v>
      </c>
      <c r="G325">
        <v>1511</v>
      </c>
      <c r="H325" s="116"/>
      <c r="I325" s="116"/>
      <c r="L325" s="170">
        <v>42482</v>
      </c>
      <c r="M325" s="116">
        <v>298.48750000000001</v>
      </c>
      <c r="N325" s="116">
        <v>301.98</v>
      </c>
      <c r="O325" s="116">
        <v>298</v>
      </c>
      <c r="P325" s="116">
        <v>298</v>
      </c>
      <c r="Q325" s="116">
        <v>5969.75</v>
      </c>
      <c r="R325">
        <v>15566</v>
      </c>
    </row>
    <row r="326" spans="1:18" x14ac:dyDescent="0.25">
      <c r="A326" s="170">
        <v>42485</v>
      </c>
      <c r="B326" s="116">
        <v>301.14999999999998</v>
      </c>
      <c r="C326" s="116">
        <v>294.46499999999997</v>
      </c>
      <c r="D326" s="116">
        <v>293.05</v>
      </c>
      <c r="E326" s="116">
        <v>298.01749999999998</v>
      </c>
      <c r="F326" s="116">
        <v>5889.3</v>
      </c>
      <c r="G326">
        <v>2608</v>
      </c>
      <c r="H326" s="116"/>
      <c r="I326" s="116"/>
      <c r="L326" s="170">
        <v>42485</v>
      </c>
      <c r="M326" s="116">
        <v>294.08249999999998</v>
      </c>
      <c r="N326" s="116">
        <v>301.25749999999999</v>
      </c>
      <c r="O326" s="116">
        <v>292.5</v>
      </c>
      <c r="P326" s="116">
        <v>298.5</v>
      </c>
      <c r="Q326" s="116">
        <v>5881.65</v>
      </c>
      <c r="R326">
        <v>60089</v>
      </c>
    </row>
    <row r="327" spans="1:18" x14ac:dyDescent="0.25">
      <c r="A327" s="170">
        <v>42486</v>
      </c>
      <c r="B327" s="116">
        <v>294.33749999999998</v>
      </c>
      <c r="C327" s="116">
        <v>292.35500000000002</v>
      </c>
      <c r="D327" s="116">
        <v>290.60000000000002</v>
      </c>
      <c r="E327" s="116">
        <v>292.5</v>
      </c>
      <c r="F327" s="116">
        <v>5847.1</v>
      </c>
      <c r="G327">
        <v>2592</v>
      </c>
      <c r="H327" s="116"/>
      <c r="I327" s="116"/>
      <c r="L327" s="170">
        <v>42486</v>
      </c>
      <c r="M327" s="116">
        <v>291.53250000000003</v>
      </c>
      <c r="N327" s="116">
        <v>294.995</v>
      </c>
      <c r="O327" s="116">
        <v>290.25</v>
      </c>
      <c r="P327" s="116">
        <v>294.73</v>
      </c>
      <c r="Q327" s="116">
        <v>5830.65</v>
      </c>
      <c r="R327">
        <v>70732</v>
      </c>
    </row>
    <row r="328" spans="1:18" x14ac:dyDescent="0.25">
      <c r="A328" s="170">
        <v>42487</v>
      </c>
      <c r="B328" s="116">
        <v>298.57</v>
      </c>
      <c r="C328" s="116">
        <v>294.435</v>
      </c>
      <c r="D328" s="116">
        <v>291.19749999999999</v>
      </c>
      <c r="E328" s="116">
        <v>292.35000000000002</v>
      </c>
      <c r="F328" s="116">
        <v>5888.7</v>
      </c>
      <c r="G328">
        <v>6287</v>
      </c>
      <c r="H328" s="116"/>
      <c r="I328" s="116"/>
      <c r="L328" s="170">
        <v>42487</v>
      </c>
      <c r="M328" s="116">
        <v>294.29250000000002</v>
      </c>
      <c r="N328" s="116">
        <v>298.2525</v>
      </c>
      <c r="O328" s="116">
        <v>290.13</v>
      </c>
      <c r="P328" s="116">
        <v>291.53250000000003</v>
      </c>
      <c r="Q328" s="116">
        <v>5885.85</v>
      </c>
      <c r="R328">
        <v>18309</v>
      </c>
    </row>
    <row r="329" spans="1:18" x14ac:dyDescent="0.25">
      <c r="A329" s="170">
        <v>42488</v>
      </c>
      <c r="B329" s="116">
        <v>297.45</v>
      </c>
      <c r="C329" s="116">
        <v>295.54000000000002</v>
      </c>
      <c r="D329" s="116">
        <v>288.55</v>
      </c>
      <c r="E329" s="116">
        <v>294.60000000000002</v>
      </c>
      <c r="F329" s="116">
        <v>5910.8</v>
      </c>
      <c r="G329">
        <v>7246</v>
      </c>
      <c r="H329" s="116"/>
      <c r="I329" s="116"/>
      <c r="L329" s="170">
        <v>42488</v>
      </c>
      <c r="M329" s="116">
        <v>295.40249999999997</v>
      </c>
      <c r="N329" s="116">
        <v>297.745</v>
      </c>
      <c r="O329" s="116">
        <v>287.75</v>
      </c>
      <c r="P329" s="116">
        <v>293.89999999999998</v>
      </c>
      <c r="Q329" s="116">
        <v>5908.05</v>
      </c>
      <c r="R329">
        <v>39851</v>
      </c>
    </row>
    <row r="330" spans="1:18" x14ac:dyDescent="0.25">
      <c r="A330" s="170">
        <v>42489</v>
      </c>
      <c r="B330" s="116">
        <v>295.25</v>
      </c>
      <c r="C330" s="116">
        <v>287.1925</v>
      </c>
      <c r="D330" s="116">
        <v>286.16750000000002</v>
      </c>
      <c r="E330" s="116">
        <v>295.25</v>
      </c>
      <c r="F330" s="116">
        <v>5743.85</v>
      </c>
      <c r="G330">
        <v>6354</v>
      </c>
      <c r="H330" s="116"/>
      <c r="I330" s="116"/>
      <c r="L330" s="170">
        <v>42489</v>
      </c>
      <c r="M330" s="116">
        <v>286.27249999999998</v>
      </c>
      <c r="N330" s="116">
        <v>296.5</v>
      </c>
      <c r="O330" s="116">
        <v>285.15249999999997</v>
      </c>
      <c r="P330" s="116">
        <v>296.5</v>
      </c>
      <c r="Q330" s="116">
        <v>5725.45</v>
      </c>
      <c r="R330">
        <v>34469</v>
      </c>
    </row>
    <row r="331" spans="1:18" x14ac:dyDescent="0.25">
      <c r="A331" s="170">
        <v>42492</v>
      </c>
      <c r="B331" s="116">
        <v>289.55</v>
      </c>
      <c r="C331" s="116">
        <v>287.19499999999999</v>
      </c>
      <c r="D331" s="116">
        <v>285.71499999999997</v>
      </c>
      <c r="E331" s="116">
        <v>287.60000000000002</v>
      </c>
      <c r="F331" s="116">
        <v>5743.9</v>
      </c>
      <c r="G331">
        <v>1541</v>
      </c>
      <c r="H331" s="116"/>
      <c r="I331" s="116"/>
      <c r="L331" s="170">
        <v>42492</v>
      </c>
      <c r="M331" s="116">
        <v>287.71249999999998</v>
      </c>
      <c r="N331" s="116">
        <v>290</v>
      </c>
      <c r="O331" s="116">
        <v>285.61750000000001</v>
      </c>
      <c r="P331" s="116">
        <v>286.9975</v>
      </c>
      <c r="Q331" s="116">
        <v>5754.25</v>
      </c>
      <c r="R331">
        <v>20305</v>
      </c>
    </row>
    <row r="332" spans="1:18" x14ac:dyDescent="0.25">
      <c r="A332" s="170">
        <v>42493</v>
      </c>
      <c r="B332" s="116">
        <v>289.64999999999998</v>
      </c>
      <c r="C332" s="116">
        <v>280.26</v>
      </c>
      <c r="D332" s="116">
        <v>279</v>
      </c>
      <c r="E332" s="116">
        <v>287.75749999999999</v>
      </c>
      <c r="F332" s="116">
        <v>5605.2</v>
      </c>
      <c r="G332">
        <v>3017</v>
      </c>
      <c r="H332" s="116"/>
      <c r="I332" s="116"/>
      <c r="L332" s="170">
        <v>42493</v>
      </c>
      <c r="M332" s="116">
        <v>279.58</v>
      </c>
      <c r="N332" s="116">
        <v>289.7</v>
      </c>
      <c r="O332" s="116">
        <v>278.75</v>
      </c>
      <c r="P332" s="116">
        <v>288.4975</v>
      </c>
      <c r="Q332" s="116">
        <v>5591.6</v>
      </c>
      <c r="R332">
        <v>34263</v>
      </c>
    </row>
    <row r="333" spans="1:18" x14ac:dyDescent="0.25">
      <c r="A333" s="170">
        <v>42494</v>
      </c>
      <c r="B333" s="116">
        <v>282.8</v>
      </c>
      <c r="C333" s="116">
        <v>277.72250000000003</v>
      </c>
      <c r="D333" s="116">
        <v>276.5</v>
      </c>
      <c r="E333" s="116">
        <v>280.3</v>
      </c>
      <c r="F333" s="116">
        <v>5554.45</v>
      </c>
      <c r="G333">
        <v>2939</v>
      </c>
      <c r="H333" s="116"/>
      <c r="I333" s="116"/>
      <c r="L333" s="170">
        <v>42494</v>
      </c>
      <c r="M333" s="116">
        <v>277.11250000000001</v>
      </c>
      <c r="N333" s="116">
        <v>282.47000000000003</v>
      </c>
      <c r="O333" s="116">
        <v>275.61500000000001</v>
      </c>
      <c r="P333" s="116">
        <v>279.60500000000002</v>
      </c>
      <c r="Q333" s="116">
        <v>5542.25</v>
      </c>
      <c r="R333">
        <v>23847</v>
      </c>
    </row>
    <row r="334" spans="1:18" x14ac:dyDescent="0.25">
      <c r="A334" s="170">
        <v>42495</v>
      </c>
      <c r="B334" s="116">
        <v>278.64749999999998</v>
      </c>
      <c r="C334" s="116">
        <v>276.72750000000002</v>
      </c>
      <c r="D334" s="116">
        <v>275.05</v>
      </c>
      <c r="E334" s="116">
        <v>277.995</v>
      </c>
      <c r="F334" s="116">
        <v>5534.55</v>
      </c>
      <c r="G334">
        <v>1584</v>
      </c>
      <c r="H334" s="116"/>
      <c r="I334" s="116"/>
      <c r="L334" s="170">
        <v>42495</v>
      </c>
      <c r="M334" s="116">
        <v>277.04250000000002</v>
      </c>
      <c r="N334" s="116">
        <v>278.4975</v>
      </c>
      <c r="O334" s="116">
        <v>275.005</v>
      </c>
      <c r="P334" s="116">
        <v>277.55</v>
      </c>
      <c r="Q334" s="116">
        <v>5540.85</v>
      </c>
      <c r="R334">
        <v>24819</v>
      </c>
    </row>
    <row r="335" spans="1:18" x14ac:dyDescent="0.25">
      <c r="A335" s="170">
        <v>42496</v>
      </c>
      <c r="B335" s="116">
        <v>282</v>
      </c>
      <c r="C335" s="116">
        <v>281.54750000000001</v>
      </c>
      <c r="D335" s="116">
        <v>277</v>
      </c>
      <c r="E335" s="116">
        <v>277</v>
      </c>
      <c r="F335" s="116">
        <v>5630.95</v>
      </c>
      <c r="G335">
        <v>1873</v>
      </c>
      <c r="H335" s="116"/>
      <c r="I335" s="116"/>
      <c r="L335" s="170">
        <v>42496</v>
      </c>
      <c r="M335" s="116">
        <v>280.54500000000002</v>
      </c>
      <c r="N335" s="116">
        <v>282</v>
      </c>
      <c r="O335" s="116">
        <v>276.56</v>
      </c>
      <c r="P335" s="116">
        <v>277.25</v>
      </c>
      <c r="Q335" s="116">
        <v>5610.9</v>
      </c>
      <c r="R335">
        <v>51851</v>
      </c>
    </row>
    <row r="336" spans="1:18" x14ac:dyDescent="0.25">
      <c r="A336" s="170">
        <v>42499</v>
      </c>
      <c r="B336" s="116">
        <v>284.63749999999999</v>
      </c>
      <c r="C336" s="116">
        <v>276.1825</v>
      </c>
      <c r="D336" s="116">
        <v>275</v>
      </c>
      <c r="E336" s="116">
        <v>282</v>
      </c>
      <c r="F336" s="116">
        <v>5523.65</v>
      </c>
      <c r="G336">
        <v>2315</v>
      </c>
      <c r="H336" s="116"/>
      <c r="I336" s="116"/>
      <c r="L336" s="170">
        <v>42499</v>
      </c>
      <c r="M336" s="116">
        <v>275.47750000000002</v>
      </c>
      <c r="N336" s="116">
        <v>284.2</v>
      </c>
      <c r="O336" s="116">
        <v>274.10250000000002</v>
      </c>
      <c r="P336" s="116">
        <v>280.54500000000002</v>
      </c>
      <c r="Q336" s="116">
        <v>5509.55</v>
      </c>
      <c r="R336">
        <v>35654</v>
      </c>
    </row>
    <row r="337" spans="1:18" x14ac:dyDescent="0.25">
      <c r="A337" s="170">
        <v>42500</v>
      </c>
      <c r="B337" s="116">
        <v>277.8725</v>
      </c>
      <c r="C337" s="116">
        <v>276.15499999999997</v>
      </c>
      <c r="D337" s="116">
        <v>275</v>
      </c>
      <c r="E337" s="116">
        <v>276.25</v>
      </c>
      <c r="F337" s="116">
        <v>5523.1</v>
      </c>
      <c r="G337">
        <v>2019</v>
      </c>
      <c r="H337" s="116"/>
      <c r="I337" s="116"/>
      <c r="L337" s="170">
        <v>42500</v>
      </c>
      <c r="M337" s="116">
        <v>276.02</v>
      </c>
      <c r="N337" s="116">
        <v>278.02999999999997</v>
      </c>
      <c r="O337" s="116">
        <v>275.29250000000002</v>
      </c>
      <c r="P337" s="116">
        <v>276.0675</v>
      </c>
      <c r="Q337" s="116">
        <v>5520.4</v>
      </c>
      <c r="R337">
        <v>59945</v>
      </c>
    </row>
    <row r="338" spans="1:18" x14ac:dyDescent="0.25">
      <c r="A338" s="170">
        <v>42501</v>
      </c>
      <c r="B338" s="116">
        <v>280.495</v>
      </c>
      <c r="C338" s="116">
        <v>279.86750000000001</v>
      </c>
      <c r="D338" s="116">
        <v>274.5</v>
      </c>
      <c r="E338" s="116">
        <v>277.5</v>
      </c>
      <c r="F338" s="116">
        <v>5597.35</v>
      </c>
      <c r="G338">
        <v>2196</v>
      </c>
      <c r="H338" s="116"/>
      <c r="I338" s="116"/>
      <c r="L338" s="170">
        <v>42501</v>
      </c>
      <c r="M338" s="116">
        <v>280.08249999999998</v>
      </c>
      <c r="N338" s="116">
        <v>280.80250000000001</v>
      </c>
      <c r="O338" s="116">
        <v>274.81</v>
      </c>
      <c r="P338" s="116">
        <v>276</v>
      </c>
      <c r="Q338" s="116">
        <v>5601.65</v>
      </c>
      <c r="R338">
        <v>17803</v>
      </c>
    </row>
    <row r="339" spans="1:18" x14ac:dyDescent="0.25">
      <c r="A339" s="170">
        <v>42502</v>
      </c>
      <c r="B339" s="116">
        <v>286.25</v>
      </c>
      <c r="C339" s="116">
        <v>285.1925</v>
      </c>
      <c r="D339" s="116">
        <v>280.0625</v>
      </c>
      <c r="E339" s="116">
        <v>283</v>
      </c>
      <c r="F339" s="116">
        <v>5703.85</v>
      </c>
      <c r="G339">
        <v>5000</v>
      </c>
      <c r="H339" s="116"/>
      <c r="I339" s="116"/>
      <c r="L339" s="170">
        <v>42502</v>
      </c>
      <c r="M339" s="116">
        <v>285.51499999999999</v>
      </c>
      <c r="N339" s="116">
        <v>286.55</v>
      </c>
      <c r="O339" s="116">
        <v>280.65249999999997</v>
      </c>
      <c r="P339" s="116">
        <v>281.2</v>
      </c>
      <c r="Q339" s="116">
        <v>5710.3</v>
      </c>
      <c r="R339">
        <v>25891</v>
      </c>
    </row>
    <row r="340" spans="1:18" x14ac:dyDescent="0.25">
      <c r="A340" s="170">
        <v>42503</v>
      </c>
      <c r="B340" s="116">
        <v>307.8</v>
      </c>
      <c r="C340" s="116">
        <v>306.42500000000001</v>
      </c>
      <c r="D340" s="116">
        <v>285.5</v>
      </c>
      <c r="E340" s="116">
        <v>285.51499999999999</v>
      </c>
      <c r="F340" s="116">
        <v>6128.5</v>
      </c>
      <c r="G340">
        <v>22215</v>
      </c>
      <c r="H340" s="116"/>
      <c r="I340" s="116"/>
      <c r="L340" s="170">
        <v>42503</v>
      </c>
      <c r="M340" s="116">
        <v>306.08249999999998</v>
      </c>
      <c r="N340" s="116">
        <v>308</v>
      </c>
      <c r="O340" s="116">
        <v>284.55</v>
      </c>
      <c r="P340" s="116">
        <v>284.7525</v>
      </c>
      <c r="Q340" s="116">
        <v>6121.65</v>
      </c>
      <c r="R340">
        <v>196377</v>
      </c>
    </row>
    <row r="341" spans="1:18" x14ac:dyDescent="0.25">
      <c r="A341" s="170">
        <v>42506</v>
      </c>
      <c r="B341" s="116">
        <v>317.5</v>
      </c>
      <c r="C341" s="116">
        <v>314.22250000000003</v>
      </c>
      <c r="D341" s="116">
        <v>299.70499999999998</v>
      </c>
      <c r="E341" s="116">
        <v>306.75</v>
      </c>
      <c r="F341" s="116">
        <v>6284.45</v>
      </c>
      <c r="G341">
        <v>9941</v>
      </c>
      <c r="H341" s="116"/>
      <c r="I341" s="116"/>
      <c r="L341" s="170">
        <v>42506</v>
      </c>
      <c r="M341" s="116">
        <v>314.22250000000003</v>
      </c>
      <c r="N341" s="116">
        <v>317.39999999999998</v>
      </c>
      <c r="O341" s="116">
        <v>300.2</v>
      </c>
      <c r="P341" s="116">
        <v>305</v>
      </c>
      <c r="Q341" s="116">
        <v>6284.45</v>
      </c>
      <c r="R341">
        <v>79610</v>
      </c>
    </row>
    <row r="342" spans="1:18" x14ac:dyDescent="0.25">
      <c r="A342" s="170">
        <v>42507</v>
      </c>
      <c r="B342" s="116">
        <v>313.10000000000002</v>
      </c>
      <c r="C342" s="116">
        <v>310.44</v>
      </c>
      <c r="D342" s="116">
        <v>307.8</v>
      </c>
      <c r="E342" s="116">
        <v>313.10000000000002</v>
      </c>
      <c r="F342" s="116">
        <v>6208.8</v>
      </c>
      <c r="G342">
        <v>5705</v>
      </c>
      <c r="H342" s="116"/>
      <c r="I342" s="116"/>
      <c r="L342" s="170">
        <v>42507</v>
      </c>
      <c r="M342" s="116">
        <v>310.98</v>
      </c>
      <c r="N342" s="116">
        <v>314.25</v>
      </c>
      <c r="O342" s="116">
        <v>307.60000000000002</v>
      </c>
      <c r="P342" s="116">
        <v>314</v>
      </c>
      <c r="Q342" s="116">
        <v>6219.6</v>
      </c>
      <c r="R342">
        <v>74498</v>
      </c>
    </row>
    <row r="343" spans="1:18" x14ac:dyDescent="0.25">
      <c r="A343" s="170">
        <v>42508</v>
      </c>
      <c r="B343" s="116">
        <v>311.5</v>
      </c>
      <c r="C343" s="116">
        <v>309.65249999999997</v>
      </c>
      <c r="D343" s="116">
        <v>306.25</v>
      </c>
      <c r="E343" s="116">
        <v>310.44</v>
      </c>
      <c r="F343" s="116">
        <v>6193.05</v>
      </c>
      <c r="G343">
        <v>1988</v>
      </c>
      <c r="H343" s="116"/>
      <c r="I343" s="116"/>
      <c r="L343" s="170">
        <v>42508</v>
      </c>
      <c r="M343" s="116">
        <v>310.00749999999999</v>
      </c>
      <c r="N343" s="116">
        <v>311.745</v>
      </c>
      <c r="O343" s="116">
        <v>306.13249999999999</v>
      </c>
      <c r="P343" s="116">
        <v>308.02</v>
      </c>
      <c r="Q343" s="116">
        <v>6200.15</v>
      </c>
      <c r="R343">
        <v>19838</v>
      </c>
    </row>
    <row r="344" spans="1:18" x14ac:dyDescent="0.25">
      <c r="A344" s="170">
        <v>42509</v>
      </c>
      <c r="B344" s="116">
        <v>309.30250000000001</v>
      </c>
      <c r="C344" s="116">
        <v>304.59500000000003</v>
      </c>
      <c r="D344" s="116">
        <v>292.60000000000002</v>
      </c>
      <c r="E344" s="116">
        <v>308.10000000000002</v>
      </c>
      <c r="F344" s="116">
        <v>6091.9</v>
      </c>
      <c r="G344">
        <v>2191</v>
      </c>
      <c r="H344" s="116"/>
      <c r="I344" s="116"/>
      <c r="L344" s="170">
        <v>42509</v>
      </c>
      <c r="M344" s="116">
        <v>304.60000000000002</v>
      </c>
      <c r="N344" s="116">
        <v>310</v>
      </c>
      <c r="O344" s="116">
        <v>303</v>
      </c>
      <c r="P344" s="116">
        <v>309.505</v>
      </c>
      <c r="Q344" s="116">
        <v>6092</v>
      </c>
      <c r="R344">
        <v>17051</v>
      </c>
    </row>
    <row r="345" spans="1:18" x14ac:dyDescent="0.25">
      <c r="A345" s="170">
        <v>42510</v>
      </c>
      <c r="B345" s="116">
        <v>308.41750000000002</v>
      </c>
      <c r="C345" s="116">
        <v>298.77</v>
      </c>
      <c r="D345" s="116">
        <v>295</v>
      </c>
      <c r="E345" s="116">
        <v>304.59500000000003</v>
      </c>
      <c r="F345" s="116">
        <v>5975.4</v>
      </c>
      <c r="G345">
        <v>2250</v>
      </c>
      <c r="H345" s="116"/>
      <c r="I345" s="116"/>
      <c r="L345" s="170">
        <v>42510</v>
      </c>
      <c r="M345" s="116">
        <v>300.28500000000003</v>
      </c>
      <c r="N345" s="116">
        <v>308.5025</v>
      </c>
      <c r="O345" s="116">
        <v>294.29750000000001</v>
      </c>
      <c r="P345" s="116">
        <v>304.95</v>
      </c>
      <c r="Q345" s="116">
        <v>6005.7</v>
      </c>
      <c r="R345">
        <v>40528</v>
      </c>
    </row>
    <row r="346" spans="1:18" x14ac:dyDescent="0.25">
      <c r="A346" s="170">
        <v>42513</v>
      </c>
      <c r="B346" s="116">
        <v>302.06</v>
      </c>
      <c r="C346" s="116">
        <v>297.71749999999997</v>
      </c>
      <c r="D346" s="116">
        <v>296.64749999999998</v>
      </c>
      <c r="E346" s="116">
        <v>301.25</v>
      </c>
      <c r="F346" s="116">
        <v>5954.35</v>
      </c>
      <c r="G346">
        <v>1181</v>
      </c>
      <c r="H346" s="116"/>
      <c r="I346" s="116"/>
      <c r="L346" s="170">
        <v>42513</v>
      </c>
      <c r="M346" s="116">
        <v>298.32749999999999</v>
      </c>
      <c r="N346" s="116">
        <v>302.44</v>
      </c>
      <c r="O346" s="116">
        <v>296.64999999999998</v>
      </c>
      <c r="P346" s="116">
        <v>300.14999999999998</v>
      </c>
      <c r="Q346" s="116">
        <v>5966.55</v>
      </c>
      <c r="R346">
        <v>17554</v>
      </c>
    </row>
    <row r="347" spans="1:18" x14ac:dyDescent="0.25">
      <c r="A347" s="170">
        <v>42514</v>
      </c>
      <c r="B347" s="116">
        <v>303.8</v>
      </c>
      <c r="C347" s="116">
        <v>300.57749999999999</v>
      </c>
      <c r="D347" s="116">
        <v>290.05</v>
      </c>
      <c r="E347" s="116">
        <v>299.23500000000001</v>
      </c>
      <c r="F347" s="116">
        <v>6011.55</v>
      </c>
      <c r="G347">
        <v>2639</v>
      </c>
      <c r="H347" s="116"/>
      <c r="I347" s="116"/>
      <c r="L347" s="170">
        <v>42514</v>
      </c>
      <c r="M347" s="116">
        <v>300.19499999999999</v>
      </c>
      <c r="N347" s="116">
        <v>304.24250000000001</v>
      </c>
      <c r="O347" s="116">
        <v>297.70499999999998</v>
      </c>
      <c r="P347" s="116">
        <v>299.89249999999998</v>
      </c>
      <c r="Q347" s="116">
        <v>6003.9</v>
      </c>
      <c r="R347">
        <v>59051</v>
      </c>
    </row>
    <row r="348" spans="1:18" x14ac:dyDescent="0.25">
      <c r="A348" s="170">
        <v>42515</v>
      </c>
      <c r="B348" s="116">
        <v>308</v>
      </c>
      <c r="C348" s="116">
        <v>306.38249999999999</v>
      </c>
      <c r="D348" s="116">
        <v>301.495</v>
      </c>
      <c r="E348" s="116">
        <v>301.7</v>
      </c>
      <c r="F348" s="116">
        <v>6127.65</v>
      </c>
      <c r="G348">
        <v>2505</v>
      </c>
      <c r="H348" s="116"/>
      <c r="I348" s="116"/>
      <c r="L348" s="170">
        <v>42515</v>
      </c>
      <c r="M348" s="116">
        <v>307.29250000000002</v>
      </c>
      <c r="N348" s="116">
        <v>308.45499999999998</v>
      </c>
      <c r="O348" s="116">
        <v>300.30250000000001</v>
      </c>
      <c r="P348" s="116">
        <v>300.4975</v>
      </c>
      <c r="Q348" s="116">
        <v>6145.85</v>
      </c>
      <c r="R348">
        <v>28959</v>
      </c>
    </row>
    <row r="349" spans="1:18" x14ac:dyDescent="0.25">
      <c r="A349" s="170">
        <v>42516</v>
      </c>
      <c r="B349" s="116">
        <v>308</v>
      </c>
      <c r="C349" s="116">
        <v>305.73500000000001</v>
      </c>
      <c r="D349" s="116">
        <v>298.005</v>
      </c>
      <c r="E349" s="116">
        <v>305.8</v>
      </c>
      <c r="F349" s="116">
        <v>6114.7</v>
      </c>
      <c r="G349">
        <v>3254</v>
      </c>
      <c r="H349" s="116"/>
      <c r="I349" s="116"/>
      <c r="L349" s="170">
        <v>42516</v>
      </c>
      <c r="M349" s="116">
        <v>307.10000000000002</v>
      </c>
      <c r="N349" s="116">
        <v>309.85000000000002</v>
      </c>
      <c r="O349" s="116">
        <v>290</v>
      </c>
      <c r="P349" s="116">
        <v>290</v>
      </c>
      <c r="Q349" s="116">
        <v>6142</v>
      </c>
      <c r="R349">
        <v>33253</v>
      </c>
    </row>
    <row r="350" spans="1:18" x14ac:dyDescent="0.25">
      <c r="A350" s="170">
        <v>42517</v>
      </c>
      <c r="B350" s="116">
        <v>312</v>
      </c>
      <c r="C350" s="116">
        <v>308.495</v>
      </c>
      <c r="D350" s="116">
        <v>306.55250000000001</v>
      </c>
      <c r="E350" s="116">
        <v>308.25</v>
      </c>
      <c r="F350" s="116">
        <v>6169.9</v>
      </c>
      <c r="G350">
        <v>3045</v>
      </c>
      <c r="H350" s="116"/>
      <c r="I350" s="116"/>
      <c r="L350" s="170">
        <v>42517</v>
      </c>
      <c r="M350" s="116">
        <v>308.69749999999999</v>
      </c>
      <c r="N350" s="116">
        <v>312</v>
      </c>
      <c r="O350" s="116">
        <v>306.0025</v>
      </c>
      <c r="P350" s="116">
        <v>306.75</v>
      </c>
      <c r="Q350" s="116">
        <v>6173.95</v>
      </c>
      <c r="R350">
        <v>32211</v>
      </c>
    </row>
    <row r="351" spans="1:18" x14ac:dyDescent="0.25">
      <c r="A351" s="170">
        <v>42520</v>
      </c>
      <c r="B351" s="116">
        <v>317.14999999999998</v>
      </c>
      <c r="C351" s="116">
        <v>314.315</v>
      </c>
      <c r="D351" s="116">
        <v>309.19749999999999</v>
      </c>
      <c r="E351" s="116">
        <v>309.19749999999999</v>
      </c>
      <c r="F351" s="116">
        <v>6286.3</v>
      </c>
      <c r="G351">
        <v>3469</v>
      </c>
      <c r="H351" s="116"/>
      <c r="I351" s="116"/>
      <c r="L351" s="170">
        <v>42520</v>
      </c>
      <c r="M351" s="116">
        <v>315.39749999999998</v>
      </c>
      <c r="N351" s="116">
        <v>317.95</v>
      </c>
      <c r="O351" s="116">
        <v>308.7</v>
      </c>
      <c r="P351" s="116">
        <v>309</v>
      </c>
      <c r="Q351" s="116">
        <v>6307.95</v>
      </c>
      <c r="R351">
        <v>34258</v>
      </c>
    </row>
    <row r="352" spans="1:18" x14ac:dyDescent="0.25">
      <c r="A352" s="170">
        <v>42521</v>
      </c>
      <c r="B352" s="116">
        <v>317.3</v>
      </c>
      <c r="C352" s="116">
        <v>304.9425</v>
      </c>
      <c r="D352" s="116">
        <v>301.3075</v>
      </c>
      <c r="E352" s="116">
        <v>312.75</v>
      </c>
      <c r="F352" s="116">
        <v>6098.85</v>
      </c>
      <c r="G352">
        <v>2588</v>
      </c>
      <c r="H352" s="116"/>
      <c r="I352" s="116"/>
      <c r="L352" s="170">
        <v>42521</v>
      </c>
      <c r="M352" s="116">
        <v>304.86750000000001</v>
      </c>
      <c r="N352" s="116">
        <v>317.74250000000001</v>
      </c>
      <c r="O352" s="116">
        <v>300.10000000000002</v>
      </c>
      <c r="P352" s="116">
        <v>314</v>
      </c>
      <c r="Q352" s="116">
        <v>6097.35</v>
      </c>
      <c r="R352">
        <v>75860</v>
      </c>
    </row>
    <row r="353" spans="1:18" x14ac:dyDescent="0.25">
      <c r="A353" s="170">
        <v>42522</v>
      </c>
      <c r="B353" s="116">
        <v>321.10000000000002</v>
      </c>
      <c r="C353" s="116">
        <v>317.6275</v>
      </c>
      <c r="D353" s="116">
        <v>306.25</v>
      </c>
      <c r="E353" s="116">
        <v>306.25</v>
      </c>
      <c r="F353" s="116">
        <v>6352.55</v>
      </c>
      <c r="G353">
        <v>6533</v>
      </c>
      <c r="H353" s="116"/>
      <c r="I353" s="116"/>
      <c r="L353" s="170">
        <v>42522</v>
      </c>
      <c r="M353" s="116">
        <v>319.54000000000002</v>
      </c>
      <c r="N353" s="116">
        <v>322.45</v>
      </c>
      <c r="O353" s="116">
        <v>305.45249999999999</v>
      </c>
      <c r="P353" s="116">
        <v>305.8</v>
      </c>
      <c r="Q353" s="116">
        <v>6390.8</v>
      </c>
      <c r="R353">
        <v>63791</v>
      </c>
    </row>
    <row r="354" spans="1:18" x14ac:dyDescent="0.25">
      <c r="A354" s="170">
        <v>42523</v>
      </c>
      <c r="B354" s="116">
        <v>319.95</v>
      </c>
      <c r="C354" s="116">
        <v>315.70749999999998</v>
      </c>
      <c r="D354" s="116">
        <v>314</v>
      </c>
      <c r="E354" s="116">
        <v>316.8</v>
      </c>
      <c r="F354" s="116">
        <v>6314.15</v>
      </c>
      <c r="G354">
        <v>2183</v>
      </c>
      <c r="H354" s="116"/>
      <c r="I354" s="116"/>
      <c r="L354" s="170">
        <v>42523</v>
      </c>
      <c r="M354" s="116">
        <v>315.10250000000002</v>
      </c>
      <c r="N354" s="116">
        <v>319.505</v>
      </c>
      <c r="O354" s="116">
        <v>312.8</v>
      </c>
      <c r="P354" s="116">
        <v>317.44499999999999</v>
      </c>
      <c r="Q354" s="116">
        <v>6302.05</v>
      </c>
      <c r="R354">
        <v>72774</v>
      </c>
    </row>
    <row r="355" spans="1:18" x14ac:dyDescent="0.25">
      <c r="A355" s="170">
        <v>42524</v>
      </c>
      <c r="B355" s="116">
        <v>318.55</v>
      </c>
      <c r="C355" s="116">
        <v>313.97000000000003</v>
      </c>
      <c r="D355" s="116">
        <v>312.5</v>
      </c>
      <c r="E355" s="116">
        <v>316.45749999999998</v>
      </c>
      <c r="F355" s="116">
        <v>6279.4</v>
      </c>
      <c r="G355">
        <v>1774</v>
      </c>
      <c r="H355" s="116"/>
      <c r="I355" s="116"/>
      <c r="L355" s="170">
        <v>42524</v>
      </c>
      <c r="M355" s="116">
        <v>315.26</v>
      </c>
      <c r="N355" s="116">
        <v>318.75</v>
      </c>
      <c r="O355" s="116">
        <v>313.25</v>
      </c>
      <c r="P355" s="116">
        <v>318.75</v>
      </c>
      <c r="Q355" s="116">
        <v>6305.2</v>
      </c>
      <c r="R355">
        <v>35337</v>
      </c>
    </row>
    <row r="356" spans="1:18" x14ac:dyDescent="0.25">
      <c r="A356" s="170">
        <v>42527</v>
      </c>
      <c r="B356" s="116">
        <v>335</v>
      </c>
      <c r="C356" s="116">
        <v>322.96749999999997</v>
      </c>
      <c r="D356" s="116">
        <v>310</v>
      </c>
      <c r="E356" s="116">
        <v>314.75</v>
      </c>
      <c r="F356" s="116">
        <v>6459.35</v>
      </c>
      <c r="G356">
        <v>4092</v>
      </c>
      <c r="H356" s="116"/>
      <c r="I356" s="116"/>
      <c r="L356" s="170">
        <v>42527</v>
      </c>
      <c r="M356" s="116">
        <v>323.97000000000003</v>
      </c>
      <c r="N356" s="116">
        <v>335.25</v>
      </c>
      <c r="O356" s="116">
        <v>307.8075</v>
      </c>
      <c r="P356" s="116">
        <v>313.76499999999999</v>
      </c>
      <c r="Q356" s="116">
        <v>6479.4</v>
      </c>
      <c r="R356">
        <v>75989</v>
      </c>
    </row>
    <row r="357" spans="1:18" x14ac:dyDescent="0.25">
      <c r="A357" s="170">
        <v>42528</v>
      </c>
      <c r="B357" s="116">
        <v>334.5</v>
      </c>
      <c r="C357" s="116">
        <v>322.52249999999998</v>
      </c>
      <c r="D357" s="116">
        <v>319.55</v>
      </c>
      <c r="E357" s="116">
        <v>326.97500000000002</v>
      </c>
      <c r="F357" s="116">
        <v>6450.45</v>
      </c>
      <c r="G357">
        <v>7354</v>
      </c>
      <c r="H357" s="116"/>
      <c r="I357" s="116"/>
      <c r="L357" s="170">
        <v>42528</v>
      </c>
      <c r="M357" s="116">
        <v>322.51249999999999</v>
      </c>
      <c r="N357" s="116">
        <v>334.95</v>
      </c>
      <c r="O357" s="116">
        <v>318.70499999999998</v>
      </c>
      <c r="P357" s="116">
        <v>326</v>
      </c>
      <c r="Q357" s="116">
        <v>6450.25</v>
      </c>
      <c r="R357">
        <v>64157</v>
      </c>
    </row>
    <row r="358" spans="1:18" x14ac:dyDescent="0.25">
      <c r="A358" s="170">
        <v>42529</v>
      </c>
      <c r="B358" s="116">
        <v>326.75</v>
      </c>
      <c r="C358" s="116">
        <v>323.74</v>
      </c>
      <c r="D358" s="116">
        <v>319.8</v>
      </c>
      <c r="E358" s="116">
        <v>322.51499999999999</v>
      </c>
      <c r="F358" s="116">
        <v>6474.8</v>
      </c>
      <c r="G358">
        <v>2148</v>
      </c>
      <c r="H358" s="116"/>
      <c r="I358" s="116"/>
      <c r="L358" s="170">
        <v>42529</v>
      </c>
      <c r="M358" s="116">
        <v>324.04500000000002</v>
      </c>
      <c r="N358" s="116">
        <v>327.08249999999998</v>
      </c>
      <c r="O358" s="116">
        <v>319.05500000000001</v>
      </c>
      <c r="P358" s="116">
        <v>323.69499999999999</v>
      </c>
      <c r="Q358" s="116">
        <v>6480.9</v>
      </c>
      <c r="R358">
        <v>26412</v>
      </c>
    </row>
    <row r="359" spans="1:18" x14ac:dyDescent="0.25">
      <c r="A359" s="170">
        <v>42530</v>
      </c>
      <c r="B359" s="116">
        <v>326.75</v>
      </c>
      <c r="C359" s="116">
        <v>322.17500000000001</v>
      </c>
      <c r="D359" s="116">
        <v>319.5</v>
      </c>
      <c r="E359" s="116">
        <v>322.5</v>
      </c>
      <c r="F359" s="116">
        <v>6443.5</v>
      </c>
      <c r="G359">
        <v>1942</v>
      </c>
      <c r="H359" s="116"/>
      <c r="I359" s="116"/>
      <c r="L359" s="170">
        <v>42530</v>
      </c>
      <c r="M359" s="116">
        <v>321.55250000000001</v>
      </c>
      <c r="N359" s="116">
        <v>327.25</v>
      </c>
      <c r="O359" s="116">
        <v>320</v>
      </c>
      <c r="P359" s="116">
        <v>323.8</v>
      </c>
      <c r="Q359" s="116">
        <v>6431.05</v>
      </c>
      <c r="R359">
        <v>16224</v>
      </c>
    </row>
    <row r="360" spans="1:18" x14ac:dyDescent="0.25">
      <c r="A360" s="170">
        <v>42531</v>
      </c>
      <c r="B360" s="116">
        <v>330</v>
      </c>
      <c r="C360" s="116">
        <v>326.62</v>
      </c>
      <c r="D360" s="116">
        <v>321.5</v>
      </c>
      <c r="E360" s="116">
        <v>321.55250000000001</v>
      </c>
      <c r="F360" s="116">
        <v>6532.4</v>
      </c>
      <c r="G360">
        <v>2338</v>
      </c>
      <c r="H360" s="116"/>
      <c r="I360" s="116"/>
      <c r="L360" s="170">
        <v>42531</v>
      </c>
      <c r="M360" s="116">
        <v>327.20749999999998</v>
      </c>
      <c r="N360" s="116">
        <v>330</v>
      </c>
      <c r="O360" s="116">
        <v>321.64999999999998</v>
      </c>
      <c r="P360" s="116">
        <v>322.66500000000002</v>
      </c>
      <c r="Q360" s="116">
        <v>6544.15</v>
      </c>
      <c r="R360">
        <v>27431</v>
      </c>
    </row>
    <row r="361" spans="1:18" x14ac:dyDescent="0.25">
      <c r="A361" s="170">
        <v>42534</v>
      </c>
      <c r="B361" s="116">
        <v>328.25</v>
      </c>
      <c r="C361" s="116">
        <v>326.45249999999999</v>
      </c>
      <c r="D361" s="116">
        <v>323.2525</v>
      </c>
      <c r="E361" s="116">
        <v>325</v>
      </c>
      <c r="F361" s="116">
        <v>6529.05</v>
      </c>
      <c r="G361">
        <v>2984</v>
      </c>
      <c r="H361" s="116"/>
      <c r="I361" s="116"/>
      <c r="L361" s="170">
        <v>42534</v>
      </c>
      <c r="M361" s="116">
        <v>326.89999999999998</v>
      </c>
      <c r="N361" s="116">
        <v>329.45</v>
      </c>
      <c r="O361" s="116">
        <v>322.71749999999997</v>
      </c>
      <c r="P361" s="116">
        <v>323.75</v>
      </c>
      <c r="Q361" s="116">
        <v>6538</v>
      </c>
      <c r="R361">
        <v>28530</v>
      </c>
    </row>
    <row r="362" spans="1:18" x14ac:dyDescent="0.25">
      <c r="A362" s="170">
        <v>42535</v>
      </c>
      <c r="B362" s="116">
        <v>329.94749999999999</v>
      </c>
      <c r="C362" s="116">
        <v>329.245</v>
      </c>
      <c r="D362" s="116">
        <v>325.55</v>
      </c>
      <c r="E362" s="116">
        <v>326.89999999999998</v>
      </c>
      <c r="F362" s="116">
        <v>6584.9</v>
      </c>
      <c r="G362">
        <v>2028</v>
      </c>
      <c r="H362" s="116"/>
      <c r="I362" s="116"/>
      <c r="L362" s="170">
        <v>42535</v>
      </c>
      <c r="M362" s="116">
        <v>329.45249999999999</v>
      </c>
      <c r="N362" s="116">
        <v>329.95</v>
      </c>
      <c r="O362" s="116">
        <v>326.25</v>
      </c>
      <c r="P362" s="116">
        <v>326.25</v>
      </c>
      <c r="Q362" s="116">
        <v>6589.05</v>
      </c>
      <c r="R362">
        <v>17846</v>
      </c>
    </row>
    <row r="363" spans="1:18" x14ac:dyDescent="0.25">
      <c r="A363" s="170">
        <v>42536</v>
      </c>
      <c r="B363" s="116">
        <v>329.25</v>
      </c>
      <c r="C363" s="116">
        <v>324.13749999999999</v>
      </c>
      <c r="D363" s="116">
        <v>323</v>
      </c>
      <c r="E363" s="116">
        <v>327.55</v>
      </c>
      <c r="F363" s="116">
        <v>6482.75</v>
      </c>
      <c r="G363">
        <v>3774</v>
      </c>
      <c r="H363" s="116"/>
      <c r="I363" s="116"/>
      <c r="L363" s="170">
        <v>42536</v>
      </c>
      <c r="M363" s="116">
        <v>324.60500000000002</v>
      </c>
      <c r="N363" s="116">
        <v>329.59500000000003</v>
      </c>
      <c r="O363" s="116">
        <v>322.8075</v>
      </c>
      <c r="P363" s="116">
        <v>328.5</v>
      </c>
      <c r="Q363" s="116">
        <v>6492.1</v>
      </c>
      <c r="R363">
        <v>31345</v>
      </c>
    </row>
    <row r="364" spans="1:18" x14ac:dyDescent="0.25">
      <c r="A364" s="170">
        <v>42537</v>
      </c>
      <c r="B364" s="116">
        <v>327.58</v>
      </c>
      <c r="C364" s="116">
        <v>324.745</v>
      </c>
      <c r="D364" s="116">
        <v>323.34750000000003</v>
      </c>
      <c r="E364" s="116">
        <v>325.66250000000002</v>
      </c>
      <c r="F364" s="116">
        <v>6494.9</v>
      </c>
      <c r="G364">
        <v>2005</v>
      </c>
      <c r="H364" s="116"/>
      <c r="I364" s="116"/>
      <c r="L364" s="170">
        <v>42537</v>
      </c>
      <c r="M364" s="116">
        <v>324.53750000000002</v>
      </c>
      <c r="N364" s="116">
        <v>327.75</v>
      </c>
      <c r="O364" s="116">
        <v>323.5</v>
      </c>
      <c r="P364" s="116">
        <v>324.60000000000002</v>
      </c>
      <c r="Q364" s="116">
        <v>6490.75</v>
      </c>
      <c r="R364">
        <v>33083</v>
      </c>
    </row>
    <row r="365" spans="1:18" x14ac:dyDescent="0.25">
      <c r="A365" s="170">
        <v>42538</v>
      </c>
      <c r="B365" s="116">
        <v>327.4975</v>
      </c>
      <c r="C365" s="116">
        <v>323.11</v>
      </c>
      <c r="D365" s="116">
        <v>322</v>
      </c>
      <c r="E365" s="116">
        <v>326.21749999999997</v>
      </c>
      <c r="F365" s="116">
        <v>6462.2</v>
      </c>
      <c r="G365">
        <v>798</v>
      </c>
      <c r="H365" s="116"/>
      <c r="I365" s="116"/>
      <c r="L365" s="170">
        <v>42538</v>
      </c>
      <c r="M365" s="116">
        <v>323.20999999999998</v>
      </c>
      <c r="N365" s="116">
        <v>327.5</v>
      </c>
      <c r="O365" s="116">
        <v>321.90249999999997</v>
      </c>
      <c r="P365" s="116">
        <v>325</v>
      </c>
      <c r="Q365" s="116">
        <v>6464.2</v>
      </c>
      <c r="R365">
        <v>22197</v>
      </c>
    </row>
    <row r="366" spans="1:18" x14ac:dyDescent="0.25">
      <c r="A366" s="170">
        <v>42541</v>
      </c>
      <c r="B366" s="116">
        <v>329.6925</v>
      </c>
      <c r="C366" s="116">
        <v>325.91000000000003</v>
      </c>
      <c r="D366" s="116">
        <v>321.4325</v>
      </c>
      <c r="E366" s="116">
        <v>323.11</v>
      </c>
      <c r="F366" s="116">
        <v>6518.2</v>
      </c>
      <c r="G366">
        <v>2934</v>
      </c>
      <c r="H366" s="116"/>
      <c r="I366" s="116"/>
      <c r="L366" s="170">
        <v>42541</v>
      </c>
      <c r="M366" s="116">
        <v>327.40750000000003</v>
      </c>
      <c r="N366" s="116">
        <v>329.95</v>
      </c>
      <c r="O366" s="116">
        <v>322.15499999999997</v>
      </c>
      <c r="P366" s="116">
        <v>322.2</v>
      </c>
      <c r="Q366" s="116">
        <v>6548.15</v>
      </c>
      <c r="R366">
        <v>29420</v>
      </c>
    </row>
    <row r="367" spans="1:18" x14ac:dyDescent="0.25">
      <c r="A367" s="170">
        <v>42542</v>
      </c>
      <c r="B367" s="116">
        <v>329.52249999999998</v>
      </c>
      <c r="C367" s="116">
        <v>326.08249999999998</v>
      </c>
      <c r="D367" s="116">
        <v>324.5</v>
      </c>
      <c r="E367" s="116">
        <v>327.40750000000003</v>
      </c>
      <c r="F367" s="116">
        <v>6521.65</v>
      </c>
      <c r="G367">
        <v>2535</v>
      </c>
      <c r="H367" s="116"/>
      <c r="I367" s="116"/>
      <c r="L367" s="170">
        <v>42542</v>
      </c>
      <c r="M367" s="116">
        <v>326.87</v>
      </c>
      <c r="N367" s="116">
        <v>329.97250000000003</v>
      </c>
      <c r="O367" s="116">
        <v>324.11500000000001</v>
      </c>
      <c r="P367" s="116">
        <v>328.1</v>
      </c>
      <c r="Q367" s="116">
        <v>6537.4</v>
      </c>
      <c r="R367">
        <v>18216</v>
      </c>
    </row>
    <row r="368" spans="1:18" x14ac:dyDescent="0.25">
      <c r="A368" s="170">
        <v>42543</v>
      </c>
      <c r="B368" s="116">
        <v>327.75</v>
      </c>
      <c r="C368" s="116">
        <v>324.51499999999999</v>
      </c>
      <c r="D368" s="116">
        <v>323</v>
      </c>
      <c r="E368" s="116">
        <v>326.75749999999999</v>
      </c>
      <c r="F368" s="116">
        <v>6490.3</v>
      </c>
      <c r="G368">
        <v>1400</v>
      </c>
      <c r="H368" s="116"/>
      <c r="I368" s="116"/>
      <c r="L368" s="170">
        <v>42543</v>
      </c>
      <c r="M368" s="116">
        <v>324.47750000000002</v>
      </c>
      <c r="N368" s="116">
        <v>327.75</v>
      </c>
      <c r="O368" s="116">
        <v>322.5</v>
      </c>
      <c r="P368" s="116">
        <v>327</v>
      </c>
      <c r="Q368" s="116">
        <v>6489.55</v>
      </c>
      <c r="R368">
        <v>20002</v>
      </c>
    </row>
    <row r="369" spans="1:18" x14ac:dyDescent="0.25">
      <c r="A369" s="170">
        <v>42544</v>
      </c>
      <c r="B369" s="116">
        <v>326.25</v>
      </c>
      <c r="C369" s="116">
        <v>321.45749999999998</v>
      </c>
      <c r="D369" s="116">
        <v>320.16250000000002</v>
      </c>
      <c r="E369" s="116">
        <v>325.75</v>
      </c>
      <c r="F369" s="116">
        <v>6429.15</v>
      </c>
      <c r="G369">
        <v>1101</v>
      </c>
      <c r="H369" s="116"/>
      <c r="I369" s="116"/>
      <c r="L369" s="170">
        <v>42544</v>
      </c>
      <c r="M369" s="116">
        <v>321.58749999999998</v>
      </c>
      <c r="N369" s="116">
        <v>326.64999999999998</v>
      </c>
      <c r="O369" s="116">
        <v>320.05</v>
      </c>
      <c r="P369" s="116">
        <v>325.64999999999998</v>
      </c>
      <c r="Q369" s="116">
        <v>6431.75</v>
      </c>
      <c r="R369">
        <v>26171</v>
      </c>
    </row>
    <row r="370" spans="1:18" x14ac:dyDescent="0.25">
      <c r="A370" s="170">
        <v>42545</v>
      </c>
      <c r="B370" s="116">
        <v>325.72000000000003</v>
      </c>
      <c r="C370" s="116">
        <v>323.88</v>
      </c>
      <c r="D370" s="116">
        <v>311.3</v>
      </c>
      <c r="E370" s="116">
        <v>318.3</v>
      </c>
      <c r="F370" s="116">
        <v>6477.6</v>
      </c>
      <c r="G370">
        <v>7420</v>
      </c>
      <c r="H370" s="116"/>
      <c r="I370" s="116"/>
      <c r="L370" s="170">
        <v>42545</v>
      </c>
      <c r="M370" s="116">
        <v>324.82499999999999</v>
      </c>
      <c r="N370" s="116">
        <v>326.33</v>
      </c>
      <c r="O370" s="116">
        <v>310</v>
      </c>
      <c r="P370" s="116">
        <v>315.3125</v>
      </c>
      <c r="Q370" s="116">
        <v>6496.5</v>
      </c>
      <c r="R370">
        <v>21109</v>
      </c>
    </row>
    <row r="371" spans="1:18" x14ac:dyDescent="0.25">
      <c r="A371" s="170">
        <v>42548</v>
      </c>
      <c r="B371" s="116">
        <v>326.60500000000002</v>
      </c>
      <c r="C371" s="116">
        <v>322.26749999999998</v>
      </c>
      <c r="D371" s="116">
        <v>321.26499999999999</v>
      </c>
      <c r="E371" s="116">
        <v>322.35000000000002</v>
      </c>
      <c r="F371" s="116">
        <v>6445.35</v>
      </c>
      <c r="G371">
        <v>1068</v>
      </c>
      <c r="H371" s="116"/>
      <c r="I371" s="116"/>
      <c r="L371" s="170">
        <v>42548</v>
      </c>
      <c r="M371" s="116">
        <v>322.39</v>
      </c>
      <c r="N371" s="116">
        <v>326.72500000000002</v>
      </c>
      <c r="O371" s="116">
        <v>320</v>
      </c>
      <c r="P371" s="116">
        <v>320</v>
      </c>
      <c r="Q371" s="116">
        <v>6447.8</v>
      </c>
      <c r="R371">
        <v>17117</v>
      </c>
    </row>
    <row r="372" spans="1:18" x14ac:dyDescent="0.25">
      <c r="A372" s="170">
        <v>42549</v>
      </c>
      <c r="B372" s="116">
        <v>324.88749999999999</v>
      </c>
      <c r="C372" s="116">
        <v>322.83249999999998</v>
      </c>
      <c r="D372" s="116">
        <v>321.65249999999997</v>
      </c>
      <c r="E372" s="116">
        <v>324.7475</v>
      </c>
      <c r="F372" s="116">
        <v>6456.65</v>
      </c>
      <c r="G372">
        <v>689</v>
      </c>
      <c r="H372" s="116"/>
      <c r="I372" s="116"/>
      <c r="L372" s="170">
        <v>42549</v>
      </c>
      <c r="M372" s="116">
        <v>324.69</v>
      </c>
      <c r="N372" s="116">
        <v>325.29750000000001</v>
      </c>
      <c r="O372" s="116">
        <v>322.45</v>
      </c>
      <c r="P372" s="116">
        <v>322.45</v>
      </c>
      <c r="Q372" s="116">
        <v>6493.8</v>
      </c>
      <c r="R372">
        <v>41820</v>
      </c>
    </row>
    <row r="373" spans="1:18" x14ac:dyDescent="0.25">
      <c r="A373" s="170">
        <v>42550</v>
      </c>
      <c r="B373" s="116">
        <v>324.64249999999998</v>
      </c>
      <c r="C373" s="116">
        <v>322.1825</v>
      </c>
      <c r="D373" s="116">
        <v>321.8</v>
      </c>
      <c r="E373" s="116">
        <v>322.5</v>
      </c>
      <c r="F373" s="116">
        <v>6443.65</v>
      </c>
      <c r="G373">
        <v>1423</v>
      </c>
      <c r="H373" s="116"/>
      <c r="I373" s="116"/>
      <c r="L373" s="170">
        <v>42550</v>
      </c>
      <c r="M373" s="116">
        <v>322.22750000000002</v>
      </c>
      <c r="N373" s="116">
        <v>325</v>
      </c>
      <c r="O373" s="116">
        <v>321.11750000000001</v>
      </c>
      <c r="P373" s="116">
        <v>324.2</v>
      </c>
      <c r="Q373" s="116">
        <v>6444.55</v>
      </c>
      <c r="R373">
        <v>12424</v>
      </c>
    </row>
    <row r="374" spans="1:18" x14ac:dyDescent="0.25">
      <c r="A374" s="170">
        <v>42551</v>
      </c>
      <c r="B374" s="116">
        <v>327.06</v>
      </c>
      <c r="C374" s="116">
        <v>324.4375</v>
      </c>
      <c r="D374" s="116">
        <v>322.1825</v>
      </c>
      <c r="E374" s="116">
        <v>322.1825</v>
      </c>
      <c r="F374" s="116">
        <v>6488.75</v>
      </c>
      <c r="G374">
        <v>1956</v>
      </c>
      <c r="H374" s="116"/>
      <c r="I374" s="116"/>
      <c r="L374" s="170">
        <v>42551</v>
      </c>
      <c r="M374" s="116">
        <v>324.61750000000001</v>
      </c>
      <c r="N374" s="116">
        <v>327.25</v>
      </c>
      <c r="O374" s="116">
        <v>322.22000000000003</v>
      </c>
      <c r="P374" s="116">
        <v>322.22000000000003</v>
      </c>
      <c r="Q374" s="116">
        <v>6492.35</v>
      </c>
      <c r="R374">
        <v>125414</v>
      </c>
    </row>
    <row r="375" spans="1:18" x14ac:dyDescent="0.25">
      <c r="A375" s="170">
        <v>42552</v>
      </c>
      <c r="B375" s="116">
        <v>326.7</v>
      </c>
      <c r="C375" s="116">
        <v>325.37</v>
      </c>
      <c r="D375" s="116">
        <v>323.5</v>
      </c>
      <c r="E375" s="116">
        <v>326.36250000000001</v>
      </c>
      <c r="F375" s="116">
        <v>6507.4</v>
      </c>
      <c r="G375">
        <v>1879</v>
      </c>
      <c r="H375" s="116"/>
      <c r="I375" s="116"/>
      <c r="L375" s="170">
        <v>42552</v>
      </c>
      <c r="M375" s="116">
        <v>325.48500000000001</v>
      </c>
      <c r="N375" s="116">
        <v>327</v>
      </c>
      <c r="O375" s="116">
        <v>322.8075</v>
      </c>
      <c r="P375" s="116">
        <v>325.745</v>
      </c>
      <c r="Q375" s="116">
        <v>6509.7</v>
      </c>
      <c r="R375">
        <v>22119</v>
      </c>
    </row>
    <row r="376" spans="1:18" x14ac:dyDescent="0.25">
      <c r="A376" s="170">
        <v>42555</v>
      </c>
      <c r="B376" s="116">
        <v>327.55</v>
      </c>
      <c r="C376" s="116">
        <v>326.04000000000002</v>
      </c>
      <c r="D376" s="116">
        <v>324.55</v>
      </c>
      <c r="E376" s="116">
        <v>325</v>
      </c>
      <c r="F376" s="116">
        <v>6520.8</v>
      </c>
      <c r="G376">
        <v>997</v>
      </c>
      <c r="H376" s="116"/>
      <c r="I376" s="116"/>
      <c r="L376" s="170">
        <v>42555</v>
      </c>
      <c r="M376" s="116">
        <v>326.39999999999998</v>
      </c>
      <c r="N376" s="116">
        <v>328</v>
      </c>
      <c r="O376" s="116">
        <v>324.82499999999999</v>
      </c>
      <c r="P376" s="116">
        <v>324.95</v>
      </c>
      <c r="Q376" s="116">
        <v>6528</v>
      </c>
      <c r="R376">
        <v>15027</v>
      </c>
    </row>
    <row r="377" spans="1:18" x14ac:dyDescent="0.25">
      <c r="A377" s="170">
        <v>42556</v>
      </c>
      <c r="B377" s="116">
        <v>327.46749999999997</v>
      </c>
      <c r="C377" s="116">
        <v>326.59750000000003</v>
      </c>
      <c r="D377" s="116">
        <v>324.40499999999997</v>
      </c>
      <c r="E377" s="116">
        <v>324.40499999999997</v>
      </c>
      <c r="F377" s="116">
        <v>6531.95</v>
      </c>
      <c r="G377">
        <v>385</v>
      </c>
      <c r="H377" s="116"/>
      <c r="I377" s="116"/>
      <c r="L377" s="170">
        <v>42556</v>
      </c>
      <c r="M377" s="116">
        <v>326.64499999999998</v>
      </c>
      <c r="N377" s="116">
        <v>327.48500000000001</v>
      </c>
      <c r="O377" s="116">
        <v>325.10000000000002</v>
      </c>
      <c r="P377" s="116">
        <v>325.10000000000002</v>
      </c>
      <c r="Q377" s="116">
        <v>6532.9</v>
      </c>
      <c r="R377">
        <v>20359</v>
      </c>
    </row>
    <row r="378" spans="1:18" x14ac:dyDescent="0.25">
      <c r="A378" s="170">
        <v>42558</v>
      </c>
      <c r="B378" s="116">
        <v>328.5</v>
      </c>
      <c r="C378" s="116">
        <v>325.4325</v>
      </c>
      <c r="D378" s="116">
        <v>324.89999999999998</v>
      </c>
      <c r="E378" s="116">
        <v>325.75</v>
      </c>
      <c r="F378" s="116">
        <v>6508.65</v>
      </c>
      <c r="G378">
        <v>746</v>
      </c>
      <c r="H378" s="116"/>
      <c r="I378" s="116"/>
      <c r="L378" s="170">
        <v>42558</v>
      </c>
      <c r="M378" s="116">
        <v>325.565</v>
      </c>
      <c r="N378" s="116">
        <v>327.5</v>
      </c>
      <c r="O378" s="116">
        <v>324</v>
      </c>
      <c r="P378" s="116">
        <v>325.5</v>
      </c>
      <c r="Q378" s="116">
        <v>6511.3</v>
      </c>
      <c r="R378">
        <v>11999</v>
      </c>
    </row>
    <row r="379" spans="1:18" x14ac:dyDescent="0.25">
      <c r="A379" s="170">
        <v>42559</v>
      </c>
      <c r="B379" s="116">
        <v>325.4325</v>
      </c>
      <c r="C379" s="116">
        <v>321.02</v>
      </c>
      <c r="D379" s="116">
        <v>320</v>
      </c>
      <c r="E379" s="116">
        <v>325.4325</v>
      </c>
      <c r="F379" s="116">
        <v>6420.4</v>
      </c>
      <c r="G379">
        <v>2891</v>
      </c>
      <c r="H379" s="116"/>
      <c r="I379" s="116"/>
      <c r="L379" s="170">
        <v>42559</v>
      </c>
      <c r="M379" s="116">
        <v>320.60750000000002</v>
      </c>
      <c r="N379" s="116">
        <v>326.98750000000001</v>
      </c>
      <c r="O379" s="116">
        <v>319.5</v>
      </c>
      <c r="P379" s="116">
        <v>325.5</v>
      </c>
      <c r="Q379" s="116">
        <v>6412.15</v>
      </c>
      <c r="R379">
        <v>37875</v>
      </c>
    </row>
    <row r="380" spans="1:18" x14ac:dyDescent="0.25">
      <c r="A380" s="170">
        <v>42562</v>
      </c>
      <c r="B380" s="116">
        <v>324.95</v>
      </c>
      <c r="C380" s="116">
        <v>324.13</v>
      </c>
      <c r="D380" s="116">
        <v>320.7</v>
      </c>
      <c r="E380" s="116">
        <v>321.61</v>
      </c>
      <c r="F380" s="116">
        <v>6482.6</v>
      </c>
      <c r="G380">
        <v>8225</v>
      </c>
      <c r="H380" s="116"/>
      <c r="I380" s="116"/>
      <c r="L380" s="170">
        <v>42562</v>
      </c>
      <c r="M380" s="116">
        <v>324.36</v>
      </c>
      <c r="N380" s="116">
        <v>325.30250000000001</v>
      </c>
      <c r="O380" s="116">
        <v>320.83999999999997</v>
      </c>
      <c r="P380" s="116">
        <v>322.47500000000002</v>
      </c>
      <c r="Q380" s="116">
        <v>6487.2</v>
      </c>
      <c r="R380">
        <v>43840</v>
      </c>
    </row>
    <row r="381" spans="1:18" x14ac:dyDescent="0.25">
      <c r="A381" s="170">
        <v>42563</v>
      </c>
      <c r="B381" s="116">
        <v>325.2</v>
      </c>
      <c r="C381" s="116">
        <v>321.13749999999999</v>
      </c>
      <c r="D381" s="116">
        <v>321.005</v>
      </c>
      <c r="E381" s="116">
        <v>325.2</v>
      </c>
      <c r="F381" s="116">
        <v>6422.75</v>
      </c>
      <c r="G381">
        <v>872</v>
      </c>
      <c r="H381" s="116"/>
      <c r="I381" s="116"/>
      <c r="L381" s="170">
        <v>42563</v>
      </c>
      <c r="M381" s="116">
        <v>321.36250000000001</v>
      </c>
      <c r="N381" s="116">
        <v>324.89999999999998</v>
      </c>
      <c r="O381" s="116">
        <v>321.05</v>
      </c>
      <c r="P381" s="116">
        <v>324.35000000000002</v>
      </c>
      <c r="Q381" s="116">
        <v>6427.25</v>
      </c>
      <c r="R381">
        <v>32864</v>
      </c>
    </row>
    <row r="382" spans="1:18" x14ac:dyDescent="0.25">
      <c r="A382" s="170">
        <v>42564</v>
      </c>
      <c r="B382" s="116">
        <v>329.7475</v>
      </c>
      <c r="C382" s="116">
        <v>329.11750000000001</v>
      </c>
      <c r="D382" s="116">
        <v>323.7475</v>
      </c>
      <c r="E382" s="116">
        <v>323.7475</v>
      </c>
      <c r="F382" s="116">
        <v>6582.35</v>
      </c>
      <c r="G382">
        <v>16666</v>
      </c>
      <c r="H382" s="116"/>
      <c r="I382" s="116"/>
      <c r="L382" s="170">
        <v>42564</v>
      </c>
      <c r="M382" s="116">
        <v>329.06</v>
      </c>
      <c r="N382" s="116">
        <v>329.64</v>
      </c>
      <c r="O382" s="116">
        <v>322.7</v>
      </c>
      <c r="P382" s="116">
        <v>322.7475</v>
      </c>
      <c r="Q382" s="116">
        <v>6581.2</v>
      </c>
      <c r="R382">
        <v>83086</v>
      </c>
    </row>
    <row r="383" spans="1:18" x14ac:dyDescent="0.25">
      <c r="A383" s="170">
        <v>42565</v>
      </c>
      <c r="B383" s="116">
        <v>329.95</v>
      </c>
      <c r="C383" s="116">
        <v>327.55250000000001</v>
      </c>
      <c r="D383" s="116">
        <v>326.8175</v>
      </c>
      <c r="E383" s="116">
        <v>328.75</v>
      </c>
      <c r="F383" s="116">
        <v>6551.05</v>
      </c>
      <c r="G383">
        <v>7835</v>
      </c>
      <c r="H383" s="116"/>
      <c r="I383" s="116"/>
      <c r="L383" s="170">
        <v>42565</v>
      </c>
      <c r="M383" s="116">
        <v>328.35</v>
      </c>
      <c r="N383" s="116">
        <v>329.5</v>
      </c>
      <c r="O383" s="116">
        <v>326.5</v>
      </c>
      <c r="P383" s="116">
        <v>328.7525</v>
      </c>
      <c r="Q383" s="116">
        <v>6567</v>
      </c>
      <c r="R383">
        <v>23764</v>
      </c>
    </row>
    <row r="384" spans="1:18" x14ac:dyDescent="0.25">
      <c r="A384" s="170">
        <v>42566</v>
      </c>
      <c r="B384" s="116">
        <v>332.75</v>
      </c>
      <c r="C384" s="116">
        <v>331.4375</v>
      </c>
      <c r="D384" s="116">
        <v>328.0025</v>
      </c>
      <c r="E384" s="116">
        <v>328.0025</v>
      </c>
      <c r="F384" s="116">
        <v>6628.75</v>
      </c>
      <c r="G384">
        <v>2565</v>
      </c>
      <c r="H384" s="116"/>
      <c r="I384" s="116"/>
      <c r="L384" s="170">
        <v>42566</v>
      </c>
      <c r="M384" s="116">
        <v>331.64749999999998</v>
      </c>
      <c r="N384" s="116">
        <v>333.33</v>
      </c>
      <c r="O384" s="116">
        <v>328.04750000000001</v>
      </c>
      <c r="P384" s="116">
        <v>328.75</v>
      </c>
      <c r="Q384" s="116">
        <v>6632.95</v>
      </c>
      <c r="R384">
        <v>44875</v>
      </c>
    </row>
    <row r="385" spans="1:18" x14ac:dyDescent="0.25">
      <c r="A385" s="170">
        <v>42569</v>
      </c>
      <c r="B385" s="116">
        <v>333</v>
      </c>
      <c r="C385" s="116">
        <v>329.86500000000001</v>
      </c>
      <c r="D385" s="116">
        <v>329.13749999999999</v>
      </c>
      <c r="E385" s="116">
        <v>330.55</v>
      </c>
      <c r="F385" s="116">
        <v>6597.3</v>
      </c>
      <c r="G385">
        <v>1420</v>
      </c>
      <c r="H385" s="116"/>
      <c r="I385" s="116"/>
      <c r="L385" s="170">
        <v>42569</v>
      </c>
      <c r="M385" s="116">
        <v>330.9325</v>
      </c>
      <c r="N385" s="116">
        <v>333.245</v>
      </c>
      <c r="O385" s="116">
        <v>328</v>
      </c>
      <c r="P385" s="116">
        <v>331.65</v>
      </c>
      <c r="Q385" s="116">
        <v>6618.65</v>
      </c>
      <c r="R385">
        <v>39417</v>
      </c>
    </row>
    <row r="386" spans="1:18" x14ac:dyDescent="0.25">
      <c r="A386" s="170">
        <v>42570</v>
      </c>
      <c r="B386" s="116">
        <v>333</v>
      </c>
      <c r="C386" s="116">
        <v>331.73500000000001</v>
      </c>
      <c r="D386" s="116">
        <v>329.38249999999999</v>
      </c>
      <c r="E386" s="116">
        <v>329.73250000000002</v>
      </c>
      <c r="F386" s="116">
        <v>6634.7</v>
      </c>
      <c r="G386">
        <v>918</v>
      </c>
      <c r="H386" s="116"/>
      <c r="I386" s="116"/>
      <c r="L386" s="170">
        <v>42570</v>
      </c>
      <c r="M386" s="116">
        <v>332.13499999999999</v>
      </c>
      <c r="N386" s="116">
        <v>334.5025</v>
      </c>
      <c r="O386" s="116">
        <v>328.55</v>
      </c>
      <c r="P386" s="116">
        <v>330.5575</v>
      </c>
      <c r="Q386" s="116">
        <v>6642.7</v>
      </c>
      <c r="R386">
        <v>45611</v>
      </c>
    </row>
    <row r="387" spans="1:18" x14ac:dyDescent="0.25">
      <c r="A387" s="170">
        <v>42571</v>
      </c>
      <c r="B387" s="116">
        <v>333.75</v>
      </c>
      <c r="C387" s="116">
        <v>332.98500000000001</v>
      </c>
      <c r="D387" s="116">
        <v>331.7</v>
      </c>
      <c r="E387" s="116">
        <v>331.7</v>
      </c>
      <c r="F387" s="116">
        <v>6659.7</v>
      </c>
      <c r="G387">
        <v>2326</v>
      </c>
      <c r="H387" s="116"/>
      <c r="I387" s="116"/>
      <c r="L387" s="170">
        <v>42571</v>
      </c>
      <c r="M387" s="116">
        <v>333.71499999999997</v>
      </c>
      <c r="N387" s="116">
        <v>334.75</v>
      </c>
      <c r="O387" s="116">
        <v>331.25</v>
      </c>
      <c r="P387" s="116">
        <v>331.25</v>
      </c>
      <c r="Q387" s="116">
        <v>6674.3</v>
      </c>
      <c r="R387">
        <v>37115</v>
      </c>
    </row>
    <row r="388" spans="1:18" x14ac:dyDescent="0.25">
      <c r="A388" s="170">
        <v>42572</v>
      </c>
      <c r="B388" s="116">
        <v>343.75</v>
      </c>
      <c r="C388" s="116">
        <v>341.68</v>
      </c>
      <c r="D388" s="116">
        <v>329.11</v>
      </c>
      <c r="E388" s="116">
        <v>333.28</v>
      </c>
      <c r="F388" s="116">
        <v>6833.6</v>
      </c>
      <c r="G388">
        <v>4123</v>
      </c>
      <c r="H388" s="116"/>
      <c r="I388" s="116"/>
      <c r="L388" s="170">
        <v>42572</v>
      </c>
      <c r="M388" s="116">
        <v>343.38499999999999</v>
      </c>
      <c r="N388" s="116">
        <v>344.98500000000001</v>
      </c>
      <c r="O388" s="116">
        <v>333.7</v>
      </c>
      <c r="P388" s="116">
        <v>333.7</v>
      </c>
      <c r="Q388" s="116">
        <v>6867.7</v>
      </c>
      <c r="R388">
        <v>33795</v>
      </c>
    </row>
    <row r="389" spans="1:18" x14ac:dyDescent="0.25">
      <c r="A389" s="170">
        <v>42573</v>
      </c>
      <c r="B389" s="116">
        <v>356.2</v>
      </c>
      <c r="C389" s="116">
        <v>353.40750000000003</v>
      </c>
      <c r="D389" s="116">
        <v>341.5</v>
      </c>
      <c r="E389" s="116">
        <v>341.9</v>
      </c>
      <c r="F389" s="116">
        <v>7068.15</v>
      </c>
      <c r="G389">
        <v>7043</v>
      </c>
      <c r="H389" s="116"/>
      <c r="I389" s="116"/>
      <c r="L389" s="170">
        <v>42573</v>
      </c>
      <c r="M389" s="116">
        <v>353.91750000000002</v>
      </c>
      <c r="N389" s="116">
        <v>356.7</v>
      </c>
      <c r="O389" s="116">
        <v>343.85250000000002</v>
      </c>
      <c r="P389" s="116">
        <v>343.85250000000002</v>
      </c>
      <c r="Q389" s="116">
        <v>7078.35</v>
      </c>
      <c r="R389">
        <v>71345</v>
      </c>
    </row>
    <row r="390" spans="1:18" x14ac:dyDescent="0.25">
      <c r="A390" s="170">
        <v>42576</v>
      </c>
      <c r="B390" s="116">
        <v>357.75</v>
      </c>
      <c r="C390" s="116">
        <v>355.315</v>
      </c>
      <c r="D390" s="116">
        <v>350</v>
      </c>
      <c r="E390" s="116">
        <v>353.495</v>
      </c>
      <c r="F390" s="116">
        <v>7106.3</v>
      </c>
      <c r="G390">
        <v>2203</v>
      </c>
      <c r="H390" s="116"/>
      <c r="I390" s="116"/>
      <c r="L390" s="170">
        <v>42576</v>
      </c>
      <c r="M390" s="116">
        <v>356.32499999999999</v>
      </c>
      <c r="N390" s="116">
        <v>358.4975</v>
      </c>
      <c r="O390" s="116">
        <v>349.55</v>
      </c>
      <c r="P390" s="116">
        <v>353.5</v>
      </c>
      <c r="Q390" s="116">
        <v>7126.5</v>
      </c>
      <c r="R390">
        <v>30950</v>
      </c>
    </row>
    <row r="391" spans="1:18" x14ac:dyDescent="0.25">
      <c r="A391" s="170">
        <v>42577</v>
      </c>
      <c r="B391" s="116">
        <v>360.2475</v>
      </c>
      <c r="C391" s="116">
        <v>357.04</v>
      </c>
      <c r="D391" s="116">
        <v>353.35250000000002</v>
      </c>
      <c r="E391" s="116">
        <v>355.5</v>
      </c>
      <c r="F391" s="116">
        <v>7140.8</v>
      </c>
      <c r="G391">
        <v>1853</v>
      </c>
      <c r="H391" s="116"/>
      <c r="I391" s="116"/>
      <c r="L391" s="170">
        <v>42577</v>
      </c>
      <c r="M391" s="116">
        <v>358.20749999999998</v>
      </c>
      <c r="N391" s="116">
        <v>360.495</v>
      </c>
      <c r="O391" s="116">
        <v>353.25</v>
      </c>
      <c r="P391" s="116">
        <v>355.995</v>
      </c>
      <c r="Q391" s="116">
        <v>7164.15</v>
      </c>
      <c r="R391">
        <v>24699</v>
      </c>
    </row>
    <row r="392" spans="1:18" x14ac:dyDescent="0.25">
      <c r="A392" s="170">
        <v>42578</v>
      </c>
      <c r="B392" s="116">
        <v>357.5</v>
      </c>
      <c r="C392" s="116">
        <v>352.65</v>
      </c>
      <c r="D392" s="116">
        <v>351.5</v>
      </c>
      <c r="E392" s="116">
        <v>357.5</v>
      </c>
      <c r="F392" s="116">
        <v>7053</v>
      </c>
      <c r="G392">
        <v>1483</v>
      </c>
      <c r="H392" s="116"/>
      <c r="I392" s="116"/>
      <c r="L392" s="170">
        <v>42578</v>
      </c>
      <c r="M392" s="116">
        <v>353.8175</v>
      </c>
      <c r="N392" s="116">
        <v>358.01</v>
      </c>
      <c r="O392" s="116">
        <v>352.20249999999999</v>
      </c>
      <c r="P392" s="116">
        <v>357.05</v>
      </c>
      <c r="Q392" s="116">
        <v>7076.35</v>
      </c>
      <c r="R392">
        <v>27120</v>
      </c>
    </row>
    <row r="393" spans="1:18" x14ac:dyDescent="0.25">
      <c r="A393" s="170">
        <v>42579</v>
      </c>
      <c r="B393" s="116">
        <v>364.25</v>
      </c>
      <c r="C393" s="116">
        <v>361.14749999999998</v>
      </c>
      <c r="D393" s="116">
        <v>353.5</v>
      </c>
      <c r="E393" s="116">
        <v>353.5</v>
      </c>
      <c r="F393" s="116">
        <v>7222.95</v>
      </c>
      <c r="G393">
        <v>3365</v>
      </c>
      <c r="H393" s="116"/>
      <c r="I393" s="116"/>
      <c r="L393" s="170">
        <v>42579</v>
      </c>
      <c r="M393" s="116">
        <v>361.86500000000001</v>
      </c>
      <c r="N393" s="116">
        <v>365</v>
      </c>
      <c r="O393" s="116">
        <v>354.11250000000001</v>
      </c>
      <c r="P393" s="116">
        <v>354.9975</v>
      </c>
      <c r="Q393" s="116">
        <v>7237.3</v>
      </c>
      <c r="R393">
        <v>58771</v>
      </c>
    </row>
    <row r="394" spans="1:18" x14ac:dyDescent="0.25">
      <c r="A394" s="170">
        <v>42580</v>
      </c>
      <c r="B394" s="116">
        <v>369.5</v>
      </c>
      <c r="C394" s="116">
        <v>358.28</v>
      </c>
      <c r="D394" s="116">
        <v>351.25</v>
      </c>
      <c r="E394" s="116">
        <v>361.27499999999998</v>
      </c>
      <c r="F394" s="116">
        <v>7165.6</v>
      </c>
      <c r="G394">
        <v>6877</v>
      </c>
      <c r="H394" s="116"/>
      <c r="I394" s="116"/>
      <c r="L394" s="170">
        <v>42580</v>
      </c>
      <c r="M394" s="116">
        <v>359.41750000000002</v>
      </c>
      <c r="N394" s="116">
        <v>368.45</v>
      </c>
      <c r="O394" s="116">
        <v>350.5575</v>
      </c>
      <c r="P394" s="116">
        <v>363.2</v>
      </c>
      <c r="Q394" s="116">
        <v>7188.35</v>
      </c>
      <c r="R394">
        <v>58090</v>
      </c>
    </row>
    <row r="395" spans="1:18" x14ac:dyDescent="0.25">
      <c r="A395" s="170">
        <v>42583</v>
      </c>
      <c r="B395" s="116">
        <v>361.5</v>
      </c>
      <c r="C395" s="116">
        <v>347.34750000000003</v>
      </c>
      <c r="D395" s="116">
        <v>343.86</v>
      </c>
      <c r="E395" s="116">
        <v>358.28</v>
      </c>
      <c r="F395" s="116">
        <v>6946.95</v>
      </c>
      <c r="G395">
        <v>5858</v>
      </c>
      <c r="H395" s="116"/>
      <c r="I395" s="116"/>
      <c r="L395" s="170">
        <v>42583</v>
      </c>
      <c r="M395" s="116">
        <v>347.59750000000003</v>
      </c>
      <c r="N395" s="116">
        <v>360.75749999999999</v>
      </c>
      <c r="O395" s="116">
        <v>343.79250000000002</v>
      </c>
      <c r="P395" s="116">
        <v>358.6</v>
      </c>
      <c r="Q395" s="116">
        <v>6951.95</v>
      </c>
      <c r="R395">
        <v>76085</v>
      </c>
    </row>
    <row r="396" spans="1:18" x14ac:dyDescent="0.25">
      <c r="A396" s="170">
        <v>42584</v>
      </c>
      <c r="B396" s="116">
        <v>354.95</v>
      </c>
      <c r="C396" s="116">
        <v>341.61250000000001</v>
      </c>
      <c r="D396" s="116">
        <v>340.13249999999999</v>
      </c>
      <c r="E396" s="116">
        <v>349.6825</v>
      </c>
      <c r="F396" s="116">
        <v>6832.25</v>
      </c>
      <c r="G396">
        <v>2670</v>
      </c>
      <c r="H396" s="116"/>
      <c r="I396" s="116"/>
      <c r="L396" s="170">
        <v>42584</v>
      </c>
      <c r="M396" s="116">
        <v>341.67500000000001</v>
      </c>
      <c r="N396" s="116">
        <v>352.995</v>
      </c>
      <c r="O396" s="116">
        <v>340.5</v>
      </c>
      <c r="P396" s="116">
        <v>347.75</v>
      </c>
      <c r="Q396" s="116">
        <v>6833.5</v>
      </c>
      <c r="R396">
        <v>33594</v>
      </c>
    </row>
    <row r="397" spans="1:18" x14ac:dyDescent="0.25">
      <c r="A397" s="170">
        <v>42585</v>
      </c>
      <c r="B397" s="116">
        <v>348.45</v>
      </c>
      <c r="C397" s="116">
        <v>340.42</v>
      </c>
      <c r="D397" s="116">
        <v>337.9</v>
      </c>
      <c r="E397" s="116">
        <v>341.75</v>
      </c>
      <c r="F397" s="116">
        <v>6808.4</v>
      </c>
      <c r="G397">
        <v>2719</v>
      </c>
      <c r="H397" s="116"/>
      <c r="I397" s="116"/>
      <c r="L397" s="170">
        <v>42585</v>
      </c>
      <c r="M397" s="116">
        <v>338.83249999999998</v>
      </c>
      <c r="N397" s="116">
        <v>348.95</v>
      </c>
      <c r="O397" s="116">
        <v>337.1</v>
      </c>
      <c r="P397" s="116">
        <v>341.4</v>
      </c>
      <c r="Q397" s="116">
        <v>6776.65</v>
      </c>
      <c r="R397">
        <v>20610</v>
      </c>
    </row>
    <row r="398" spans="1:18" x14ac:dyDescent="0.25">
      <c r="A398" s="170">
        <v>42586</v>
      </c>
      <c r="B398" s="116">
        <v>345</v>
      </c>
      <c r="C398" s="116">
        <v>339.35750000000002</v>
      </c>
      <c r="D398" s="116">
        <v>337.36500000000001</v>
      </c>
      <c r="E398" s="116">
        <v>340.45</v>
      </c>
      <c r="F398" s="116">
        <v>6787.15</v>
      </c>
      <c r="G398">
        <v>2029</v>
      </c>
      <c r="H398" s="116"/>
      <c r="I398" s="116"/>
      <c r="L398" s="170">
        <v>42586</v>
      </c>
      <c r="M398" s="116">
        <v>340.26</v>
      </c>
      <c r="N398" s="116">
        <v>344.51499999999999</v>
      </c>
      <c r="O398" s="116">
        <v>337.5</v>
      </c>
      <c r="P398" s="116">
        <v>339.5</v>
      </c>
      <c r="Q398" s="116">
        <v>6805.2</v>
      </c>
      <c r="R398">
        <v>16549</v>
      </c>
    </row>
    <row r="399" spans="1:18" x14ac:dyDescent="0.25">
      <c r="A399" s="170">
        <v>42587</v>
      </c>
      <c r="B399" s="116">
        <v>344.95</v>
      </c>
      <c r="C399" s="116">
        <v>340.95499999999998</v>
      </c>
      <c r="D399" s="116">
        <v>340.54</v>
      </c>
      <c r="E399" s="116">
        <v>344.95</v>
      </c>
      <c r="F399" s="116">
        <v>6819.1</v>
      </c>
      <c r="G399">
        <v>1123</v>
      </c>
      <c r="H399" s="116"/>
      <c r="I399" s="116"/>
      <c r="L399" s="170">
        <v>42587</v>
      </c>
      <c r="M399" s="116">
        <v>341.90249999999997</v>
      </c>
      <c r="N399" s="116">
        <v>344.6</v>
      </c>
      <c r="O399" s="116">
        <v>341</v>
      </c>
      <c r="P399" s="116">
        <v>342</v>
      </c>
      <c r="Q399" s="116">
        <v>6838.05</v>
      </c>
      <c r="R399">
        <v>21689</v>
      </c>
    </row>
    <row r="400" spans="1:18" x14ac:dyDescent="0.25">
      <c r="A400" s="170">
        <v>42590</v>
      </c>
      <c r="B400" s="116">
        <v>344.745</v>
      </c>
      <c r="C400" s="116">
        <v>342.59249999999997</v>
      </c>
      <c r="D400" s="116">
        <v>337.5</v>
      </c>
      <c r="E400" s="116">
        <v>342.76749999999998</v>
      </c>
      <c r="F400" s="116">
        <v>6851.85</v>
      </c>
      <c r="G400">
        <v>1712</v>
      </c>
      <c r="H400" s="116"/>
      <c r="I400" s="116"/>
      <c r="L400" s="170">
        <v>42590</v>
      </c>
      <c r="M400" s="116">
        <v>342.745</v>
      </c>
      <c r="N400" s="116">
        <v>345.25</v>
      </c>
      <c r="O400" s="116">
        <v>339</v>
      </c>
      <c r="P400" s="116">
        <v>344.55</v>
      </c>
      <c r="Q400" s="116">
        <v>6854.9</v>
      </c>
      <c r="R400">
        <v>27211</v>
      </c>
    </row>
    <row r="401" spans="1:18" x14ac:dyDescent="0.25">
      <c r="A401" s="170">
        <v>42591</v>
      </c>
      <c r="B401" s="116">
        <v>344.95</v>
      </c>
      <c r="C401" s="116">
        <v>343.48</v>
      </c>
      <c r="D401" s="116">
        <v>340.1</v>
      </c>
      <c r="E401" s="116">
        <v>344.15249999999997</v>
      </c>
      <c r="F401" s="116">
        <v>6869.6</v>
      </c>
      <c r="G401">
        <v>2378</v>
      </c>
      <c r="H401" s="116"/>
      <c r="I401" s="116"/>
      <c r="L401" s="170">
        <v>42591</v>
      </c>
      <c r="M401" s="116">
        <v>344.61500000000001</v>
      </c>
      <c r="N401" s="116">
        <v>345.75</v>
      </c>
      <c r="O401" s="116">
        <v>340</v>
      </c>
      <c r="P401" s="116">
        <v>343.3</v>
      </c>
      <c r="Q401" s="116">
        <v>6892.3</v>
      </c>
      <c r="R401">
        <v>17856</v>
      </c>
    </row>
    <row r="402" spans="1:18" x14ac:dyDescent="0.25">
      <c r="A402" s="170">
        <v>42592</v>
      </c>
      <c r="B402" s="116">
        <v>346</v>
      </c>
      <c r="C402" s="116">
        <v>340.565</v>
      </c>
      <c r="D402" s="116">
        <v>338.3</v>
      </c>
      <c r="E402" s="116">
        <v>344.75</v>
      </c>
      <c r="F402" s="116">
        <v>6811.3</v>
      </c>
      <c r="G402">
        <v>1850</v>
      </c>
      <c r="H402" s="116"/>
      <c r="I402" s="116"/>
      <c r="L402" s="170">
        <v>42592</v>
      </c>
      <c r="M402" s="116">
        <v>342.23500000000001</v>
      </c>
      <c r="N402" s="116">
        <v>347.55</v>
      </c>
      <c r="O402" s="116">
        <v>340.5</v>
      </c>
      <c r="P402" s="116">
        <v>344.7</v>
      </c>
      <c r="Q402" s="116">
        <v>6844.7</v>
      </c>
      <c r="R402">
        <v>18752</v>
      </c>
    </row>
    <row r="403" spans="1:18" x14ac:dyDescent="0.25">
      <c r="A403" s="170">
        <v>42593</v>
      </c>
      <c r="B403" s="116">
        <v>343.48750000000001</v>
      </c>
      <c r="C403" s="116">
        <v>341.38499999999999</v>
      </c>
      <c r="D403" s="116">
        <v>339.11</v>
      </c>
      <c r="E403" s="116">
        <v>342.84249999999997</v>
      </c>
      <c r="F403" s="116">
        <v>6827.7</v>
      </c>
      <c r="G403">
        <v>590</v>
      </c>
      <c r="H403" s="116"/>
      <c r="I403" s="116"/>
      <c r="L403" s="170">
        <v>42593</v>
      </c>
      <c r="M403" s="116">
        <v>342.45249999999999</v>
      </c>
      <c r="N403" s="116">
        <v>343.75</v>
      </c>
      <c r="O403" s="116">
        <v>339.5</v>
      </c>
      <c r="P403" s="116">
        <v>342.5</v>
      </c>
      <c r="Q403" s="116">
        <v>6849.05</v>
      </c>
      <c r="R403">
        <v>16926</v>
      </c>
    </row>
    <row r="404" spans="1:18" x14ac:dyDescent="0.25">
      <c r="A404" s="170">
        <v>42594</v>
      </c>
      <c r="B404" s="116">
        <v>347.92</v>
      </c>
      <c r="C404" s="116">
        <v>343.27249999999998</v>
      </c>
      <c r="D404" s="116">
        <v>340.96499999999997</v>
      </c>
      <c r="E404" s="116">
        <v>341.45</v>
      </c>
      <c r="F404" s="116">
        <v>6865.45</v>
      </c>
      <c r="G404">
        <v>3208</v>
      </c>
      <c r="H404" s="116"/>
      <c r="I404" s="116"/>
      <c r="L404" s="170">
        <v>42594</v>
      </c>
      <c r="M404" s="116">
        <v>344.74</v>
      </c>
      <c r="N404" s="116">
        <v>348.75</v>
      </c>
      <c r="O404" s="116">
        <v>341.5</v>
      </c>
      <c r="P404" s="116">
        <v>344.1</v>
      </c>
      <c r="Q404" s="116">
        <v>6894.8</v>
      </c>
      <c r="R404">
        <v>25880</v>
      </c>
    </row>
    <row r="405" spans="1:18" x14ac:dyDescent="0.25">
      <c r="A405" s="170">
        <v>42598</v>
      </c>
      <c r="B405" s="116">
        <v>343.3</v>
      </c>
      <c r="C405" s="116">
        <v>338.59500000000003</v>
      </c>
      <c r="D405" s="116">
        <v>336.25</v>
      </c>
      <c r="E405" s="116">
        <v>343.25</v>
      </c>
      <c r="F405" s="116">
        <v>6771.9</v>
      </c>
      <c r="G405">
        <v>1305</v>
      </c>
      <c r="H405" s="116"/>
      <c r="I405" s="116"/>
      <c r="L405" s="170">
        <v>42598</v>
      </c>
      <c r="M405" s="116">
        <v>337.46249999999998</v>
      </c>
      <c r="N405" s="116">
        <v>344.5</v>
      </c>
      <c r="O405" s="116">
        <v>335.61</v>
      </c>
      <c r="P405" s="116">
        <v>344.5</v>
      </c>
      <c r="Q405" s="116">
        <v>6749.25</v>
      </c>
      <c r="R405">
        <v>27240</v>
      </c>
    </row>
    <row r="406" spans="1:18" x14ac:dyDescent="0.25">
      <c r="A406" s="170">
        <v>42599</v>
      </c>
      <c r="B406" s="116">
        <v>340.30250000000001</v>
      </c>
      <c r="C406" s="116">
        <v>335.57</v>
      </c>
      <c r="D406" s="116">
        <v>334.05250000000001</v>
      </c>
      <c r="E406" s="116">
        <v>339.25</v>
      </c>
      <c r="F406" s="116">
        <v>6711.4</v>
      </c>
      <c r="G406">
        <v>1554</v>
      </c>
      <c r="H406" s="116"/>
      <c r="I406" s="116"/>
      <c r="L406" s="170">
        <v>42599</v>
      </c>
      <c r="M406" s="116">
        <v>334.72250000000003</v>
      </c>
      <c r="N406" s="116">
        <v>340.5</v>
      </c>
      <c r="O406" s="116">
        <v>333.5</v>
      </c>
      <c r="P406" s="116">
        <v>339.44499999999999</v>
      </c>
      <c r="Q406" s="116">
        <v>6694.45</v>
      </c>
      <c r="R406">
        <v>28667</v>
      </c>
    </row>
    <row r="407" spans="1:18" x14ac:dyDescent="0.25">
      <c r="A407" s="170">
        <v>42600</v>
      </c>
      <c r="B407" s="116">
        <v>338.5</v>
      </c>
      <c r="C407" s="116">
        <v>334.98250000000002</v>
      </c>
      <c r="D407" s="116">
        <v>334</v>
      </c>
      <c r="E407" s="116">
        <v>337.8175</v>
      </c>
      <c r="F407" s="116">
        <v>6699.65</v>
      </c>
      <c r="G407">
        <v>1494</v>
      </c>
      <c r="H407" s="116"/>
      <c r="I407" s="116"/>
      <c r="L407" s="170">
        <v>42600</v>
      </c>
      <c r="M407" s="116">
        <v>334.85</v>
      </c>
      <c r="N407" s="116">
        <v>338.48</v>
      </c>
      <c r="O407" s="116">
        <v>333</v>
      </c>
      <c r="P407" s="116">
        <v>337.25</v>
      </c>
      <c r="Q407" s="116">
        <v>6697</v>
      </c>
      <c r="R407">
        <v>13803</v>
      </c>
    </row>
    <row r="408" spans="1:18" x14ac:dyDescent="0.25">
      <c r="A408" s="170">
        <v>42601</v>
      </c>
      <c r="B408" s="116">
        <v>338.04</v>
      </c>
      <c r="C408" s="116">
        <v>336.14499999999998</v>
      </c>
      <c r="D408" s="116">
        <v>335.02749999999997</v>
      </c>
      <c r="E408" s="116">
        <v>335.02749999999997</v>
      </c>
      <c r="F408" s="116">
        <v>6722.9</v>
      </c>
      <c r="G408">
        <v>808</v>
      </c>
      <c r="H408" s="116"/>
      <c r="I408" s="116"/>
      <c r="L408" s="170">
        <v>42601</v>
      </c>
      <c r="M408" s="116">
        <v>336.36750000000001</v>
      </c>
      <c r="N408" s="116">
        <v>337.99</v>
      </c>
      <c r="O408" s="116">
        <v>335</v>
      </c>
      <c r="P408" s="116">
        <v>335</v>
      </c>
      <c r="Q408" s="116">
        <v>6727.35</v>
      </c>
      <c r="R408">
        <v>7145</v>
      </c>
    </row>
    <row r="409" spans="1:18" x14ac:dyDescent="0.25">
      <c r="A409" s="170">
        <v>42604</v>
      </c>
      <c r="B409" s="116">
        <v>340</v>
      </c>
      <c r="C409" s="116">
        <v>339.83</v>
      </c>
      <c r="D409" s="116">
        <v>335.25</v>
      </c>
      <c r="E409" s="116">
        <v>336</v>
      </c>
      <c r="F409" s="116">
        <v>6796.6</v>
      </c>
      <c r="G409">
        <v>662</v>
      </c>
      <c r="H409" s="116"/>
      <c r="I409" s="116"/>
      <c r="L409" s="170">
        <v>42604</v>
      </c>
      <c r="M409" s="116">
        <v>339.26749999999998</v>
      </c>
      <c r="N409" s="116">
        <v>340.4</v>
      </c>
      <c r="O409" s="116">
        <v>335.57</v>
      </c>
      <c r="P409" s="116">
        <v>336.25</v>
      </c>
      <c r="Q409" s="116">
        <v>6785.35</v>
      </c>
      <c r="R409">
        <v>31457</v>
      </c>
    </row>
    <row r="410" spans="1:18" x14ac:dyDescent="0.25">
      <c r="A410" s="170">
        <v>42605</v>
      </c>
      <c r="B410" s="116">
        <v>342.5</v>
      </c>
      <c r="C410" s="116">
        <v>340.41</v>
      </c>
      <c r="D410" s="116">
        <v>333</v>
      </c>
      <c r="E410" s="116">
        <v>340.05</v>
      </c>
      <c r="F410" s="116">
        <v>6808.2</v>
      </c>
      <c r="G410">
        <v>1796</v>
      </c>
      <c r="H410" s="116"/>
      <c r="I410" s="116"/>
      <c r="L410" s="170">
        <v>42605</v>
      </c>
      <c r="M410" s="116">
        <v>340.54500000000002</v>
      </c>
      <c r="N410" s="116">
        <v>342.43</v>
      </c>
      <c r="O410" s="116">
        <v>339.5</v>
      </c>
      <c r="P410" s="116">
        <v>341.5</v>
      </c>
      <c r="Q410" s="116">
        <v>6810.9</v>
      </c>
      <c r="R410">
        <v>28773</v>
      </c>
    </row>
    <row r="411" spans="1:18" x14ac:dyDescent="0.25">
      <c r="A411" s="170">
        <v>42606</v>
      </c>
      <c r="B411" s="116">
        <v>343.45</v>
      </c>
      <c r="C411" s="116">
        <v>341.22500000000002</v>
      </c>
      <c r="D411" s="116">
        <v>337.15499999999997</v>
      </c>
      <c r="E411" s="116">
        <v>337.15499999999997</v>
      </c>
      <c r="F411" s="116">
        <v>6824.5</v>
      </c>
      <c r="G411">
        <v>2768</v>
      </c>
      <c r="H411" s="116"/>
      <c r="I411" s="116"/>
      <c r="L411" s="170">
        <v>42606</v>
      </c>
      <c r="M411" s="116">
        <v>340.91</v>
      </c>
      <c r="N411" s="116">
        <v>343.15</v>
      </c>
      <c r="O411" s="116">
        <v>337.2525</v>
      </c>
      <c r="P411" s="116">
        <v>340.75</v>
      </c>
      <c r="Q411" s="116">
        <v>6818.2</v>
      </c>
      <c r="R411">
        <v>32290</v>
      </c>
    </row>
    <row r="412" spans="1:18" x14ac:dyDescent="0.25">
      <c r="A412" s="170">
        <v>42607</v>
      </c>
      <c r="B412" s="116">
        <v>342.25</v>
      </c>
      <c r="C412" s="116">
        <v>341.54</v>
      </c>
      <c r="D412" s="116">
        <v>340.75</v>
      </c>
      <c r="E412" s="116">
        <v>341.75</v>
      </c>
      <c r="F412" s="116">
        <v>6830.8</v>
      </c>
      <c r="G412">
        <v>878</v>
      </c>
      <c r="H412" s="116"/>
      <c r="I412" s="116"/>
      <c r="L412" s="170">
        <v>42607</v>
      </c>
      <c r="M412" s="116">
        <v>341.49250000000001</v>
      </c>
      <c r="N412" s="116">
        <v>342.5</v>
      </c>
      <c r="O412" s="116">
        <v>340.44499999999999</v>
      </c>
      <c r="P412" s="116">
        <v>340.95</v>
      </c>
      <c r="Q412" s="116">
        <v>6829.85</v>
      </c>
      <c r="R412">
        <v>26445</v>
      </c>
    </row>
    <row r="413" spans="1:18" x14ac:dyDescent="0.25">
      <c r="A413" s="170">
        <v>42608</v>
      </c>
      <c r="B413" s="116">
        <v>343</v>
      </c>
      <c r="C413" s="116">
        <v>341.07749999999999</v>
      </c>
      <c r="D413" s="116">
        <v>340.35</v>
      </c>
      <c r="E413" s="116">
        <v>341.8</v>
      </c>
      <c r="F413" s="116">
        <v>6821.55</v>
      </c>
      <c r="G413">
        <v>898</v>
      </c>
      <c r="H413" s="116"/>
      <c r="I413" s="116"/>
      <c r="L413" s="170">
        <v>42608</v>
      </c>
      <c r="M413" s="116">
        <v>341.5625</v>
      </c>
      <c r="N413" s="116">
        <v>343.01249999999999</v>
      </c>
      <c r="O413" s="116">
        <v>340.48500000000001</v>
      </c>
      <c r="P413" s="116">
        <v>342.4</v>
      </c>
      <c r="Q413" s="116">
        <v>6831.25</v>
      </c>
      <c r="R413">
        <v>19970</v>
      </c>
    </row>
    <row r="414" spans="1:18" x14ac:dyDescent="0.25">
      <c r="A414" s="170">
        <v>42611</v>
      </c>
      <c r="B414" s="116">
        <v>342.15</v>
      </c>
      <c r="C414" s="116">
        <v>338.91500000000002</v>
      </c>
      <c r="D414" s="116">
        <v>336.79750000000001</v>
      </c>
      <c r="E414" s="116">
        <v>342.15</v>
      </c>
      <c r="F414" s="116">
        <v>6778.3</v>
      </c>
      <c r="G414">
        <v>1627</v>
      </c>
      <c r="H414" s="116"/>
      <c r="I414" s="116"/>
      <c r="L414" s="170">
        <v>42611</v>
      </c>
      <c r="M414" s="116">
        <v>337.57</v>
      </c>
      <c r="N414" s="116">
        <v>342.45</v>
      </c>
      <c r="O414" s="116">
        <v>336.07249999999999</v>
      </c>
      <c r="P414" s="116">
        <v>342.45</v>
      </c>
      <c r="Q414" s="116">
        <v>6751.4</v>
      </c>
      <c r="R414">
        <v>42107</v>
      </c>
    </row>
    <row r="415" spans="1:18" x14ac:dyDescent="0.25">
      <c r="A415" s="170">
        <v>42612</v>
      </c>
      <c r="B415" s="116">
        <v>339.42750000000001</v>
      </c>
      <c r="C415" s="116">
        <v>335.27</v>
      </c>
      <c r="D415" s="116">
        <v>333.5625</v>
      </c>
      <c r="E415" s="116">
        <v>338.91500000000002</v>
      </c>
      <c r="F415" s="116">
        <v>6705.4</v>
      </c>
      <c r="G415">
        <v>5361</v>
      </c>
      <c r="H415" s="116"/>
      <c r="I415" s="116"/>
      <c r="L415" s="170">
        <v>42612</v>
      </c>
      <c r="M415" s="116">
        <v>334.3775</v>
      </c>
      <c r="N415" s="116">
        <v>338.8125</v>
      </c>
      <c r="O415" s="116">
        <v>332.75</v>
      </c>
      <c r="P415" s="116">
        <v>337.5</v>
      </c>
      <c r="Q415" s="116">
        <v>6687.55</v>
      </c>
      <c r="R415">
        <v>20441</v>
      </c>
    </row>
    <row r="416" spans="1:18" x14ac:dyDescent="0.25">
      <c r="A416" s="170">
        <v>42613</v>
      </c>
      <c r="B416" s="116">
        <v>336.96</v>
      </c>
      <c r="C416" s="116">
        <v>327.97500000000002</v>
      </c>
      <c r="D416" s="116">
        <v>324.5</v>
      </c>
      <c r="E416" s="116">
        <v>335.27</v>
      </c>
      <c r="F416" s="116">
        <v>6559.5</v>
      </c>
      <c r="G416">
        <v>7158</v>
      </c>
      <c r="H416" s="116"/>
      <c r="I416" s="116"/>
      <c r="L416" s="170">
        <v>42613</v>
      </c>
      <c r="M416" s="116">
        <v>326.27749999999997</v>
      </c>
      <c r="N416" s="116">
        <v>336.25</v>
      </c>
      <c r="O416" s="116">
        <v>323.5</v>
      </c>
      <c r="P416" s="116">
        <v>334.4</v>
      </c>
      <c r="Q416" s="116">
        <v>6525.55</v>
      </c>
      <c r="R416">
        <v>62266</v>
      </c>
    </row>
    <row r="417" spans="1:18" x14ac:dyDescent="0.25">
      <c r="A417" s="170">
        <v>42614</v>
      </c>
      <c r="B417" s="116">
        <v>335.25</v>
      </c>
      <c r="C417" s="116">
        <v>325.19499999999999</v>
      </c>
      <c r="D417" s="116">
        <v>324.005</v>
      </c>
      <c r="E417" s="116">
        <v>327.14999999999998</v>
      </c>
      <c r="F417" s="116">
        <v>6503.9</v>
      </c>
      <c r="G417">
        <v>2470</v>
      </c>
      <c r="H417" s="116"/>
      <c r="I417" s="116"/>
      <c r="L417" s="170">
        <v>42614</v>
      </c>
      <c r="M417" s="116">
        <v>324.4325</v>
      </c>
      <c r="N417" s="116">
        <v>331.25</v>
      </c>
      <c r="O417" s="116">
        <v>323.01499999999999</v>
      </c>
      <c r="P417" s="116">
        <v>326.25</v>
      </c>
      <c r="Q417" s="116">
        <v>6488.65</v>
      </c>
      <c r="R417">
        <v>26058</v>
      </c>
    </row>
    <row r="418" spans="1:18" x14ac:dyDescent="0.25">
      <c r="A418" s="170">
        <v>42615</v>
      </c>
      <c r="B418" s="116">
        <v>326.3</v>
      </c>
      <c r="C418" s="116">
        <v>322.46249999999998</v>
      </c>
      <c r="D418" s="116">
        <v>321.8</v>
      </c>
      <c r="E418" s="116">
        <v>325.755</v>
      </c>
      <c r="F418" s="116">
        <v>6449.25</v>
      </c>
      <c r="G418">
        <v>2506</v>
      </c>
      <c r="H418" s="116"/>
      <c r="I418" s="116"/>
      <c r="L418" s="170">
        <v>42615</v>
      </c>
      <c r="M418" s="116">
        <v>321.98250000000002</v>
      </c>
      <c r="N418" s="116">
        <v>326.39999999999998</v>
      </c>
      <c r="O418" s="116">
        <v>321.25</v>
      </c>
      <c r="P418" s="116">
        <v>326.39999999999998</v>
      </c>
      <c r="Q418" s="116">
        <v>6439.65</v>
      </c>
      <c r="R418">
        <v>14379</v>
      </c>
    </row>
    <row r="419" spans="1:18" x14ac:dyDescent="0.25">
      <c r="A419" s="170">
        <v>42619</v>
      </c>
      <c r="B419" s="116">
        <v>329.5</v>
      </c>
      <c r="C419" s="116">
        <v>328.46249999999998</v>
      </c>
      <c r="D419" s="116">
        <v>322.0675</v>
      </c>
      <c r="E419" s="116">
        <v>323.5</v>
      </c>
      <c r="F419" s="116">
        <v>6569.25</v>
      </c>
      <c r="G419">
        <v>2172</v>
      </c>
      <c r="H419" s="116"/>
      <c r="I419" s="116"/>
      <c r="L419" s="170">
        <v>42619</v>
      </c>
      <c r="M419" s="116">
        <v>328.25749999999999</v>
      </c>
      <c r="N419" s="116">
        <v>329.5</v>
      </c>
      <c r="O419" s="116">
        <v>322.34750000000003</v>
      </c>
      <c r="P419" s="116">
        <v>323.89999999999998</v>
      </c>
      <c r="Q419" s="116">
        <v>6565.15</v>
      </c>
      <c r="R419">
        <v>30795</v>
      </c>
    </row>
    <row r="420" spans="1:18" x14ac:dyDescent="0.25">
      <c r="A420" s="170">
        <v>42620</v>
      </c>
      <c r="B420" s="116">
        <v>328.46249999999998</v>
      </c>
      <c r="C420" s="116">
        <v>323.94749999999999</v>
      </c>
      <c r="D420" s="116">
        <v>322.75</v>
      </c>
      <c r="E420" s="116">
        <v>328.46249999999998</v>
      </c>
      <c r="F420" s="116">
        <v>6478.95</v>
      </c>
      <c r="G420">
        <v>1869</v>
      </c>
      <c r="H420" s="116"/>
      <c r="I420" s="116"/>
      <c r="L420" s="170">
        <v>42620</v>
      </c>
      <c r="M420" s="116">
        <v>323.08999999999997</v>
      </c>
      <c r="N420" s="116">
        <v>330</v>
      </c>
      <c r="O420" s="116">
        <v>321.85000000000002</v>
      </c>
      <c r="P420" s="116">
        <v>329.05</v>
      </c>
      <c r="Q420" s="116">
        <v>6461.8</v>
      </c>
      <c r="R420">
        <v>53353</v>
      </c>
    </row>
    <row r="421" spans="1:18" x14ac:dyDescent="0.25">
      <c r="A421" s="170">
        <v>42621</v>
      </c>
      <c r="B421" s="116">
        <v>325</v>
      </c>
      <c r="C421" s="116">
        <v>321.34750000000003</v>
      </c>
      <c r="D421" s="116">
        <v>320.05500000000001</v>
      </c>
      <c r="E421" s="116">
        <v>325</v>
      </c>
      <c r="F421" s="116">
        <v>6426.95</v>
      </c>
      <c r="G421">
        <v>2512</v>
      </c>
      <c r="H421" s="116"/>
      <c r="I421" s="116"/>
      <c r="L421" s="170">
        <v>42621</v>
      </c>
      <c r="M421" s="116">
        <v>321.58999999999997</v>
      </c>
      <c r="N421" s="116">
        <v>324.89999999999998</v>
      </c>
      <c r="O421" s="116">
        <v>320.64999999999998</v>
      </c>
      <c r="P421" s="116">
        <v>322.5</v>
      </c>
      <c r="Q421" s="116">
        <v>6431.8</v>
      </c>
      <c r="R421">
        <v>15720</v>
      </c>
    </row>
    <row r="422" spans="1:18" x14ac:dyDescent="0.25">
      <c r="A422" s="170">
        <v>42622</v>
      </c>
      <c r="B422" s="116">
        <v>326.51249999999999</v>
      </c>
      <c r="C422" s="116">
        <v>325.33999999999997</v>
      </c>
      <c r="D422" s="116">
        <v>320.85000000000002</v>
      </c>
      <c r="E422" s="116">
        <v>322.25</v>
      </c>
      <c r="F422" s="116">
        <v>6506.8</v>
      </c>
      <c r="G422">
        <v>1866</v>
      </c>
      <c r="H422" s="116"/>
      <c r="I422" s="116"/>
      <c r="L422" s="170">
        <v>42622</v>
      </c>
      <c r="M422" s="116">
        <v>325.39499999999998</v>
      </c>
      <c r="N422" s="116">
        <v>326.95</v>
      </c>
      <c r="O422" s="116">
        <v>320</v>
      </c>
      <c r="P422" s="116">
        <v>321.75</v>
      </c>
      <c r="Q422" s="116">
        <v>6507.9</v>
      </c>
      <c r="R422">
        <v>25820</v>
      </c>
    </row>
    <row r="423" spans="1:18" x14ac:dyDescent="0.25">
      <c r="A423" s="170">
        <v>42625</v>
      </c>
      <c r="B423" s="116">
        <v>325.35000000000002</v>
      </c>
      <c r="C423" s="116">
        <v>321.76499999999999</v>
      </c>
      <c r="D423" s="116">
        <v>320.1225</v>
      </c>
      <c r="E423" s="116">
        <v>325.35000000000002</v>
      </c>
      <c r="F423" s="116">
        <v>6435.3</v>
      </c>
      <c r="G423">
        <v>1330</v>
      </c>
      <c r="H423" s="116"/>
      <c r="I423" s="116"/>
      <c r="L423" s="170">
        <v>42625</v>
      </c>
      <c r="M423" s="116">
        <v>321.56</v>
      </c>
      <c r="N423" s="116">
        <v>324.75</v>
      </c>
      <c r="O423" s="116">
        <v>320</v>
      </c>
      <c r="P423" s="116">
        <v>324.75</v>
      </c>
      <c r="Q423" s="116">
        <v>6431.2</v>
      </c>
      <c r="R423">
        <v>17135</v>
      </c>
    </row>
    <row r="424" spans="1:18" x14ac:dyDescent="0.25">
      <c r="A424" s="170">
        <v>42627</v>
      </c>
      <c r="B424" s="116">
        <v>324.25</v>
      </c>
      <c r="C424" s="116">
        <v>315.11250000000001</v>
      </c>
      <c r="D424" s="116">
        <v>310</v>
      </c>
      <c r="E424" s="116">
        <v>322.02249999999998</v>
      </c>
      <c r="F424" s="116">
        <v>6302.25</v>
      </c>
      <c r="G424">
        <v>7104</v>
      </c>
      <c r="H424" s="116"/>
      <c r="I424" s="116"/>
      <c r="L424" s="170">
        <v>42627</v>
      </c>
      <c r="M424" s="116">
        <v>317.22250000000003</v>
      </c>
      <c r="N424" s="116">
        <v>325.05</v>
      </c>
      <c r="O424" s="116">
        <v>310</v>
      </c>
      <c r="P424" s="116">
        <v>322.39</v>
      </c>
      <c r="Q424" s="116">
        <v>6344.45</v>
      </c>
      <c r="R424">
        <v>52642</v>
      </c>
    </row>
    <row r="425" spans="1:18" x14ac:dyDescent="0.25">
      <c r="A425" s="170">
        <v>42628</v>
      </c>
      <c r="B425" s="116">
        <v>317.25</v>
      </c>
      <c r="C425" s="116">
        <v>314.8075</v>
      </c>
      <c r="D425" s="116">
        <v>312.75</v>
      </c>
      <c r="E425" s="116">
        <v>315.11250000000001</v>
      </c>
      <c r="F425" s="116">
        <v>6296.15</v>
      </c>
      <c r="G425">
        <v>2507</v>
      </c>
      <c r="H425" s="116"/>
      <c r="I425" s="116"/>
      <c r="L425" s="170">
        <v>42628</v>
      </c>
      <c r="M425" s="116">
        <v>315.07</v>
      </c>
      <c r="N425" s="116">
        <v>317.9375</v>
      </c>
      <c r="O425" s="116">
        <v>312.29500000000002</v>
      </c>
      <c r="P425" s="116">
        <v>314.5</v>
      </c>
      <c r="Q425" s="116">
        <v>6301.4</v>
      </c>
      <c r="R425">
        <v>83601</v>
      </c>
    </row>
    <row r="426" spans="1:18" x14ac:dyDescent="0.25">
      <c r="A426" s="170">
        <v>42629</v>
      </c>
      <c r="B426" s="116">
        <v>323.24250000000001</v>
      </c>
      <c r="C426" s="116">
        <v>320.8125</v>
      </c>
      <c r="D426" s="116">
        <v>315.25</v>
      </c>
      <c r="E426" s="116">
        <v>315.25</v>
      </c>
      <c r="F426" s="116">
        <v>6416.25</v>
      </c>
      <c r="G426">
        <v>2091</v>
      </c>
      <c r="H426" s="116"/>
      <c r="I426" s="116"/>
      <c r="L426" s="170">
        <v>42629</v>
      </c>
      <c r="M426" s="116">
        <v>320.35000000000002</v>
      </c>
      <c r="N426" s="116">
        <v>323.39749999999998</v>
      </c>
      <c r="O426" s="116">
        <v>315.39999999999998</v>
      </c>
      <c r="P426" s="116">
        <v>316.5</v>
      </c>
      <c r="Q426" s="116">
        <v>6407</v>
      </c>
      <c r="R426">
        <v>43872</v>
      </c>
    </row>
    <row r="427" spans="1:18" x14ac:dyDescent="0.25">
      <c r="A427" s="170">
        <v>42632</v>
      </c>
      <c r="B427" s="116">
        <v>322.35750000000002</v>
      </c>
      <c r="C427" s="116">
        <v>316.63499999999999</v>
      </c>
      <c r="D427" s="116">
        <v>315.05</v>
      </c>
      <c r="E427" s="116">
        <v>320.55</v>
      </c>
      <c r="F427" s="116">
        <v>6332.7</v>
      </c>
      <c r="G427">
        <v>2480</v>
      </c>
      <c r="H427" s="116"/>
      <c r="I427" s="116"/>
      <c r="L427" s="170">
        <v>42632</v>
      </c>
      <c r="M427" s="116">
        <v>316.8725</v>
      </c>
      <c r="N427" s="116">
        <v>322.5</v>
      </c>
      <c r="O427" s="116">
        <v>315.05</v>
      </c>
      <c r="P427" s="116">
        <v>320.35000000000002</v>
      </c>
      <c r="Q427" s="116">
        <v>6337.45</v>
      </c>
      <c r="R427">
        <v>52913</v>
      </c>
    </row>
    <row r="428" spans="1:18" x14ac:dyDescent="0.25">
      <c r="A428" s="170">
        <v>42633</v>
      </c>
      <c r="B428" s="116">
        <v>319.5</v>
      </c>
      <c r="C428" s="116">
        <v>316.68</v>
      </c>
      <c r="D428" s="116">
        <v>315.88499999999999</v>
      </c>
      <c r="E428" s="116">
        <v>319.5</v>
      </c>
      <c r="F428" s="116">
        <v>6333.6</v>
      </c>
      <c r="G428">
        <v>1316</v>
      </c>
      <c r="H428" s="116"/>
      <c r="I428" s="116"/>
      <c r="L428" s="170">
        <v>42633</v>
      </c>
      <c r="M428" s="116">
        <v>316.9975</v>
      </c>
      <c r="N428" s="116">
        <v>318.80500000000001</v>
      </c>
      <c r="O428" s="116">
        <v>316.17500000000001</v>
      </c>
      <c r="P428" s="116">
        <v>317.45</v>
      </c>
      <c r="Q428" s="116">
        <v>6339.95</v>
      </c>
      <c r="R428">
        <v>21526</v>
      </c>
    </row>
    <row r="429" spans="1:18" x14ac:dyDescent="0.25">
      <c r="A429" s="170">
        <v>42634</v>
      </c>
      <c r="B429" s="116">
        <v>317.51249999999999</v>
      </c>
      <c r="C429" s="116">
        <v>316.11750000000001</v>
      </c>
      <c r="D429" s="116">
        <v>313.89999999999998</v>
      </c>
      <c r="E429" s="116">
        <v>317.05</v>
      </c>
      <c r="F429" s="116">
        <v>6322.35</v>
      </c>
      <c r="G429">
        <v>2241</v>
      </c>
      <c r="H429" s="116"/>
      <c r="I429" s="116"/>
      <c r="L429" s="170">
        <v>42634</v>
      </c>
      <c r="M429" s="116">
        <v>315.65249999999997</v>
      </c>
      <c r="N429" s="116">
        <v>318.5</v>
      </c>
      <c r="O429" s="116">
        <v>313.5</v>
      </c>
      <c r="P429" s="116">
        <v>318.5</v>
      </c>
      <c r="Q429" s="116">
        <v>6313.05</v>
      </c>
      <c r="R429">
        <v>31447</v>
      </c>
    </row>
    <row r="430" spans="1:18" x14ac:dyDescent="0.25">
      <c r="A430" s="170">
        <v>42635</v>
      </c>
      <c r="B430" s="116">
        <v>326.25</v>
      </c>
      <c r="C430" s="116">
        <v>324.32249999999999</v>
      </c>
      <c r="D430" s="116">
        <v>316.45</v>
      </c>
      <c r="E430" s="116">
        <v>316.45</v>
      </c>
      <c r="F430" s="116">
        <v>6486.45</v>
      </c>
      <c r="G430">
        <v>2644</v>
      </c>
      <c r="H430" s="116"/>
      <c r="I430" s="116"/>
      <c r="L430" s="170">
        <v>42635</v>
      </c>
      <c r="M430" s="116">
        <v>322.51499999999999</v>
      </c>
      <c r="N430" s="116">
        <v>325.89999999999998</v>
      </c>
      <c r="O430" s="116">
        <v>315.64999999999998</v>
      </c>
      <c r="P430" s="116">
        <v>317.66500000000002</v>
      </c>
      <c r="Q430" s="116">
        <v>6450.3</v>
      </c>
      <c r="R430">
        <v>34213</v>
      </c>
    </row>
    <row r="431" spans="1:18" x14ac:dyDescent="0.25">
      <c r="A431" s="170">
        <v>42636</v>
      </c>
      <c r="B431" s="116">
        <v>326.8725</v>
      </c>
      <c r="C431" s="116">
        <v>322.83499999999998</v>
      </c>
      <c r="D431" s="116">
        <v>316.64999999999998</v>
      </c>
      <c r="E431" s="116">
        <v>324.32249999999999</v>
      </c>
      <c r="F431" s="116">
        <v>6456.7</v>
      </c>
      <c r="G431">
        <v>2314</v>
      </c>
      <c r="H431" s="116"/>
      <c r="I431" s="116"/>
      <c r="L431" s="170">
        <v>42636</v>
      </c>
      <c r="M431" s="116">
        <v>324.73</v>
      </c>
      <c r="N431" s="116">
        <v>326.85000000000002</v>
      </c>
      <c r="O431" s="116">
        <v>320.125</v>
      </c>
      <c r="P431" s="116">
        <v>325.25</v>
      </c>
      <c r="Q431" s="116">
        <v>6494.6</v>
      </c>
      <c r="R431">
        <v>53448</v>
      </c>
    </row>
    <row r="432" spans="1:18" x14ac:dyDescent="0.25">
      <c r="A432" s="170">
        <v>42639</v>
      </c>
      <c r="B432" s="116">
        <v>326.10000000000002</v>
      </c>
      <c r="C432" s="116">
        <v>325.25749999999999</v>
      </c>
      <c r="D432" s="116">
        <v>320.07</v>
      </c>
      <c r="E432" s="116">
        <v>325</v>
      </c>
      <c r="F432" s="116">
        <v>6505.15</v>
      </c>
      <c r="G432">
        <v>1693</v>
      </c>
      <c r="H432" s="116"/>
      <c r="I432" s="116"/>
      <c r="L432" s="170">
        <v>42639</v>
      </c>
      <c r="M432" s="116">
        <v>325.21249999999998</v>
      </c>
      <c r="N432" s="116">
        <v>326.25</v>
      </c>
      <c r="O432" s="116">
        <v>320.05</v>
      </c>
      <c r="P432" s="116">
        <v>325.45</v>
      </c>
      <c r="Q432" s="116">
        <v>6504.25</v>
      </c>
      <c r="R432">
        <v>24552</v>
      </c>
    </row>
    <row r="433" spans="1:18" x14ac:dyDescent="0.25">
      <c r="A433" s="170">
        <v>42640</v>
      </c>
      <c r="B433" s="116">
        <v>325.51499999999999</v>
      </c>
      <c r="C433" s="116">
        <v>324.34500000000003</v>
      </c>
      <c r="D433" s="116">
        <v>321.565</v>
      </c>
      <c r="E433" s="116">
        <v>323.75</v>
      </c>
      <c r="F433" s="116">
        <v>6486.9</v>
      </c>
      <c r="G433">
        <v>1180</v>
      </c>
      <c r="H433" s="116"/>
      <c r="I433" s="116"/>
      <c r="L433" s="170">
        <v>42640</v>
      </c>
      <c r="M433" s="116">
        <v>324.41250000000002</v>
      </c>
      <c r="N433" s="116">
        <v>325.5</v>
      </c>
      <c r="O433" s="116">
        <v>320.60500000000002</v>
      </c>
      <c r="P433" s="116">
        <v>324.95</v>
      </c>
      <c r="Q433" s="116">
        <v>6488.25</v>
      </c>
      <c r="R433">
        <v>23621</v>
      </c>
    </row>
    <row r="434" spans="1:18" x14ac:dyDescent="0.25">
      <c r="A434" s="170">
        <v>42641</v>
      </c>
      <c r="B434" s="116">
        <v>324.95</v>
      </c>
      <c r="C434" s="116">
        <v>322.51499999999999</v>
      </c>
      <c r="D434" s="116">
        <v>321.39999999999998</v>
      </c>
      <c r="E434" s="116">
        <v>324.95</v>
      </c>
      <c r="F434" s="116">
        <v>6450.3</v>
      </c>
      <c r="G434">
        <v>1241</v>
      </c>
      <c r="H434" s="116"/>
      <c r="I434" s="116"/>
      <c r="L434" s="170">
        <v>42641</v>
      </c>
      <c r="M434" s="116">
        <v>322.6275</v>
      </c>
      <c r="N434" s="116">
        <v>325.3125</v>
      </c>
      <c r="O434" s="116">
        <v>321.22750000000002</v>
      </c>
      <c r="P434" s="116">
        <v>324.55</v>
      </c>
      <c r="Q434" s="116">
        <v>6452.55</v>
      </c>
      <c r="R434">
        <v>19022</v>
      </c>
    </row>
    <row r="435" spans="1:18" x14ac:dyDescent="0.25">
      <c r="A435" s="170">
        <v>42642</v>
      </c>
      <c r="B435" s="116">
        <v>324.95</v>
      </c>
      <c r="C435" s="116">
        <v>316.77749999999997</v>
      </c>
      <c r="D435" s="116">
        <v>311.3</v>
      </c>
      <c r="E435" s="116">
        <v>323.75</v>
      </c>
      <c r="F435" s="116">
        <v>6335.55</v>
      </c>
      <c r="G435">
        <v>2885</v>
      </c>
      <c r="H435" s="116"/>
      <c r="I435" s="116"/>
      <c r="L435" s="170">
        <v>42642</v>
      </c>
      <c r="M435" s="116">
        <v>317.66000000000003</v>
      </c>
      <c r="N435" s="116">
        <v>326.25</v>
      </c>
      <c r="O435" s="116">
        <v>311.27</v>
      </c>
      <c r="P435" s="116">
        <v>323.5</v>
      </c>
      <c r="Q435" s="116">
        <v>6353.2</v>
      </c>
      <c r="R435">
        <v>34583</v>
      </c>
    </row>
    <row r="436" spans="1:18" x14ac:dyDescent="0.25">
      <c r="A436" s="170">
        <v>42643</v>
      </c>
      <c r="B436" s="116">
        <v>324</v>
      </c>
      <c r="C436" s="116">
        <v>321.41000000000003</v>
      </c>
      <c r="D436" s="116">
        <v>315.83</v>
      </c>
      <c r="E436" s="116">
        <v>318.5025</v>
      </c>
      <c r="F436" s="116">
        <v>6428.2</v>
      </c>
      <c r="G436">
        <v>1603</v>
      </c>
      <c r="H436" s="116"/>
      <c r="I436" s="116"/>
      <c r="L436" s="170">
        <v>42643</v>
      </c>
      <c r="M436" s="116">
        <v>321.64249999999998</v>
      </c>
      <c r="N436" s="116">
        <v>325</v>
      </c>
      <c r="O436" s="116">
        <v>315.79500000000002</v>
      </c>
      <c r="P436" s="116">
        <v>317.66000000000003</v>
      </c>
      <c r="Q436" s="116">
        <v>6432.85</v>
      </c>
      <c r="R436">
        <v>64898</v>
      </c>
    </row>
    <row r="437" spans="1:18" x14ac:dyDescent="0.25">
      <c r="A437" s="170">
        <v>42646</v>
      </c>
      <c r="B437" s="116">
        <v>331.5</v>
      </c>
      <c r="C437" s="116">
        <v>329.83499999999998</v>
      </c>
      <c r="D437" s="116">
        <v>322.86500000000001</v>
      </c>
      <c r="E437" s="116">
        <v>323.94749999999999</v>
      </c>
      <c r="F437" s="116">
        <v>6596.7</v>
      </c>
      <c r="G437">
        <v>3103</v>
      </c>
      <c r="H437" s="116"/>
      <c r="I437" s="116"/>
      <c r="L437" s="170">
        <v>42646</v>
      </c>
      <c r="M437" s="116">
        <v>331.09500000000003</v>
      </c>
      <c r="N437" s="116">
        <v>332.5</v>
      </c>
      <c r="O437" s="116">
        <v>321.64499999999998</v>
      </c>
      <c r="P437" s="116">
        <v>321.64499999999998</v>
      </c>
      <c r="Q437" s="116">
        <v>6621.9</v>
      </c>
      <c r="R437">
        <v>30768</v>
      </c>
    </row>
    <row r="438" spans="1:18" x14ac:dyDescent="0.25">
      <c r="A438" s="170">
        <v>42647</v>
      </c>
      <c r="B438" s="116">
        <v>334.4975</v>
      </c>
      <c r="C438" s="116">
        <v>332.5025</v>
      </c>
      <c r="D438" s="116">
        <v>329.39249999999998</v>
      </c>
      <c r="E438" s="116">
        <v>330</v>
      </c>
      <c r="F438" s="116">
        <v>6650.05</v>
      </c>
      <c r="G438">
        <v>3339</v>
      </c>
      <c r="H438" s="116"/>
      <c r="I438" s="116"/>
      <c r="L438" s="170">
        <v>42647</v>
      </c>
      <c r="M438" s="116">
        <v>334.04750000000001</v>
      </c>
      <c r="N438" s="116">
        <v>335</v>
      </c>
      <c r="O438" s="116">
        <v>329.70499999999998</v>
      </c>
      <c r="P438" s="116">
        <v>332.5</v>
      </c>
      <c r="Q438" s="116">
        <v>6680.95</v>
      </c>
      <c r="R438">
        <v>24219</v>
      </c>
    </row>
    <row r="439" spans="1:18" x14ac:dyDescent="0.25">
      <c r="A439" s="170">
        <v>42648</v>
      </c>
      <c r="B439" s="116">
        <v>339.42250000000001</v>
      </c>
      <c r="C439" s="116">
        <v>337.92</v>
      </c>
      <c r="D439" s="116">
        <v>330.85</v>
      </c>
      <c r="E439" s="116">
        <v>334.25</v>
      </c>
      <c r="F439" s="116">
        <v>6758.4</v>
      </c>
      <c r="G439">
        <v>2344</v>
      </c>
      <c r="H439" s="116"/>
      <c r="I439" s="116"/>
      <c r="L439" s="170">
        <v>42648</v>
      </c>
      <c r="M439" s="116">
        <v>338.77749999999997</v>
      </c>
      <c r="N439" s="116">
        <v>340</v>
      </c>
      <c r="O439" s="116">
        <v>330.70499999999998</v>
      </c>
      <c r="P439" s="116">
        <v>334.25</v>
      </c>
      <c r="Q439" s="116">
        <v>6775.55</v>
      </c>
      <c r="R439">
        <v>17108</v>
      </c>
    </row>
    <row r="440" spans="1:18" x14ac:dyDescent="0.25">
      <c r="A440" s="170">
        <v>42649</v>
      </c>
      <c r="B440" s="116">
        <v>340.9975</v>
      </c>
      <c r="C440" s="116">
        <v>335.49250000000001</v>
      </c>
      <c r="D440" s="116">
        <v>333.25</v>
      </c>
      <c r="E440" s="116">
        <v>337.90249999999997</v>
      </c>
      <c r="F440" s="116">
        <v>6709.85</v>
      </c>
      <c r="G440">
        <v>3485</v>
      </c>
      <c r="H440" s="116"/>
      <c r="I440" s="116"/>
      <c r="L440" s="170">
        <v>42649</v>
      </c>
      <c r="M440" s="116">
        <v>336.17750000000001</v>
      </c>
      <c r="N440" s="116">
        <v>340.745</v>
      </c>
      <c r="O440" s="116">
        <v>333.40249999999997</v>
      </c>
      <c r="P440" s="116">
        <v>338.75</v>
      </c>
      <c r="Q440" s="116">
        <v>6723.55</v>
      </c>
      <c r="R440">
        <v>13191</v>
      </c>
    </row>
    <row r="441" spans="1:18" x14ac:dyDescent="0.25">
      <c r="A441" s="170">
        <v>42650</v>
      </c>
      <c r="B441" s="116">
        <v>337</v>
      </c>
      <c r="C441" s="116">
        <v>335.96249999999998</v>
      </c>
      <c r="D441" s="116">
        <v>330</v>
      </c>
      <c r="E441" s="116">
        <v>336</v>
      </c>
      <c r="F441" s="116">
        <v>6719.25</v>
      </c>
      <c r="G441">
        <v>1315</v>
      </c>
      <c r="H441" s="116"/>
      <c r="I441" s="116"/>
      <c r="L441" s="170">
        <v>42650</v>
      </c>
      <c r="M441" s="116">
        <v>336.39249999999998</v>
      </c>
      <c r="N441" s="116">
        <v>337.3</v>
      </c>
      <c r="O441" s="116">
        <v>332.77</v>
      </c>
      <c r="P441" s="116">
        <v>337.3</v>
      </c>
      <c r="Q441" s="116">
        <v>6727.85</v>
      </c>
      <c r="R441">
        <v>6414</v>
      </c>
    </row>
    <row r="442" spans="1:18" x14ac:dyDescent="0.25">
      <c r="A442" s="170">
        <v>42653</v>
      </c>
      <c r="B442" s="116">
        <v>337.5</v>
      </c>
      <c r="C442" s="116">
        <v>331.54750000000001</v>
      </c>
      <c r="D442" s="116">
        <v>330.2</v>
      </c>
      <c r="E442" s="116">
        <v>336.45</v>
      </c>
      <c r="F442" s="116">
        <v>6630.95</v>
      </c>
      <c r="G442">
        <v>1226</v>
      </c>
      <c r="H442" s="116"/>
      <c r="I442" s="116"/>
      <c r="L442" s="170">
        <v>42653</v>
      </c>
      <c r="M442" s="116">
        <v>331.63</v>
      </c>
      <c r="N442" s="116">
        <v>339.25</v>
      </c>
      <c r="O442" s="116">
        <v>330.15</v>
      </c>
      <c r="P442" s="116">
        <v>335.1</v>
      </c>
      <c r="Q442" s="116">
        <v>6632.6</v>
      </c>
      <c r="R442">
        <v>7682</v>
      </c>
    </row>
    <row r="443" spans="1:18" x14ac:dyDescent="0.25">
      <c r="A443" s="170">
        <v>42656</v>
      </c>
      <c r="B443" s="116">
        <v>331.54750000000001</v>
      </c>
      <c r="C443" s="116">
        <v>326.99250000000001</v>
      </c>
      <c r="D443" s="116">
        <v>326.25</v>
      </c>
      <c r="E443" s="116">
        <v>331.54750000000001</v>
      </c>
      <c r="F443" s="116">
        <v>6539.85</v>
      </c>
      <c r="G443">
        <v>3108</v>
      </c>
      <c r="H443" s="116"/>
      <c r="I443" s="116"/>
      <c r="L443" s="170">
        <v>42656</v>
      </c>
      <c r="M443" s="116">
        <v>327.14499999999998</v>
      </c>
      <c r="N443" s="116">
        <v>332.45</v>
      </c>
      <c r="O443" s="116">
        <v>326.25</v>
      </c>
      <c r="P443" s="116">
        <v>331.5</v>
      </c>
      <c r="Q443" s="116">
        <v>6542.9</v>
      </c>
      <c r="R443">
        <v>24056</v>
      </c>
    </row>
    <row r="444" spans="1:18" x14ac:dyDescent="0.25">
      <c r="A444" s="170">
        <v>42657</v>
      </c>
      <c r="B444" s="116">
        <v>344.5</v>
      </c>
      <c r="C444" s="116">
        <v>342.95249999999999</v>
      </c>
      <c r="D444" s="116">
        <v>325</v>
      </c>
      <c r="E444" s="116">
        <v>328.2</v>
      </c>
      <c r="F444" s="116">
        <v>6859.05</v>
      </c>
      <c r="G444">
        <v>9386</v>
      </c>
      <c r="H444" s="116"/>
      <c r="I444" s="116"/>
      <c r="L444" s="170">
        <v>42657</v>
      </c>
      <c r="M444" s="116">
        <v>343.86250000000001</v>
      </c>
      <c r="N444" s="116">
        <v>346.25</v>
      </c>
      <c r="O444" s="116">
        <v>326.60250000000002</v>
      </c>
      <c r="P444" s="116">
        <v>327.14499999999998</v>
      </c>
      <c r="Q444" s="116">
        <v>6877.25</v>
      </c>
      <c r="R444">
        <v>40793</v>
      </c>
    </row>
    <row r="445" spans="1:18" x14ac:dyDescent="0.25">
      <c r="A445" s="170">
        <v>42660</v>
      </c>
      <c r="B445" s="116">
        <v>343.5</v>
      </c>
      <c r="C445" s="116">
        <v>338.60750000000002</v>
      </c>
      <c r="D445" s="116">
        <v>336</v>
      </c>
      <c r="E445" s="116">
        <v>343.5</v>
      </c>
      <c r="F445" s="116">
        <v>6772.15</v>
      </c>
      <c r="G445">
        <v>2728</v>
      </c>
      <c r="H445" s="116"/>
      <c r="I445" s="116"/>
      <c r="L445" s="170">
        <v>42660</v>
      </c>
      <c r="M445" s="116">
        <v>337.90499999999997</v>
      </c>
      <c r="N445" s="116">
        <v>342.25</v>
      </c>
      <c r="O445" s="116">
        <v>334.98250000000002</v>
      </c>
      <c r="P445" s="116">
        <v>341.57</v>
      </c>
      <c r="Q445" s="116">
        <v>6758.1</v>
      </c>
      <c r="R445">
        <v>13164</v>
      </c>
    </row>
    <row r="446" spans="1:18" x14ac:dyDescent="0.25">
      <c r="A446" s="170">
        <v>42661</v>
      </c>
      <c r="B446" s="116">
        <v>343.185</v>
      </c>
      <c r="C446" s="116">
        <v>341.25</v>
      </c>
      <c r="D446" s="116">
        <v>335</v>
      </c>
      <c r="E446" s="116">
        <v>338.4</v>
      </c>
      <c r="F446" s="116">
        <v>6825</v>
      </c>
      <c r="G446">
        <v>5748</v>
      </c>
      <c r="H446" s="116"/>
      <c r="I446" s="116"/>
      <c r="L446" s="170">
        <v>42661</v>
      </c>
      <c r="M446" s="116">
        <v>343.69499999999999</v>
      </c>
      <c r="N446" s="116">
        <v>345</v>
      </c>
      <c r="O446" s="116">
        <v>332.55</v>
      </c>
      <c r="P446" s="116">
        <v>339.9375</v>
      </c>
      <c r="Q446" s="116">
        <v>6873.9</v>
      </c>
      <c r="R446">
        <v>25218</v>
      </c>
    </row>
    <row r="447" spans="1:18" x14ac:dyDescent="0.25">
      <c r="A447" s="170">
        <v>42662</v>
      </c>
      <c r="B447" s="116">
        <v>343</v>
      </c>
      <c r="C447" s="116">
        <v>339.36</v>
      </c>
      <c r="D447" s="116">
        <v>336.82249999999999</v>
      </c>
      <c r="E447" s="116">
        <v>341.5</v>
      </c>
      <c r="F447" s="116">
        <v>6787.2</v>
      </c>
      <c r="G447">
        <v>1674</v>
      </c>
      <c r="H447" s="116"/>
      <c r="I447" s="116"/>
      <c r="L447" s="170">
        <v>42662</v>
      </c>
      <c r="M447" s="116">
        <v>339.6275</v>
      </c>
      <c r="N447" s="116">
        <v>342.95</v>
      </c>
      <c r="O447" s="116">
        <v>338</v>
      </c>
      <c r="P447" s="116">
        <v>340.03</v>
      </c>
      <c r="Q447" s="116">
        <v>6792.55</v>
      </c>
      <c r="R447">
        <v>24013</v>
      </c>
    </row>
    <row r="448" spans="1:18" x14ac:dyDescent="0.25">
      <c r="A448" s="170">
        <v>42663</v>
      </c>
      <c r="B448" s="116">
        <v>345</v>
      </c>
      <c r="C448" s="116">
        <v>341.77249999999998</v>
      </c>
      <c r="D448" s="116">
        <v>337.25</v>
      </c>
      <c r="E448" s="116">
        <v>339.36</v>
      </c>
      <c r="F448" s="116">
        <v>6835.45</v>
      </c>
      <c r="G448">
        <v>6855</v>
      </c>
      <c r="H448" s="116"/>
      <c r="I448" s="116"/>
      <c r="L448" s="170">
        <v>42663</v>
      </c>
      <c r="M448" s="116">
        <v>342.14</v>
      </c>
      <c r="N448" s="116">
        <v>346</v>
      </c>
      <c r="O448" s="116">
        <v>336.94499999999999</v>
      </c>
      <c r="P448" s="116">
        <v>340.22500000000002</v>
      </c>
      <c r="Q448" s="116">
        <v>6842.8</v>
      </c>
      <c r="R448">
        <v>47801</v>
      </c>
    </row>
    <row r="449" spans="1:18" x14ac:dyDescent="0.25">
      <c r="A449" s="170">
        <v>42664</v>
      </c>
      <c r="B449" s="116">
        <v>344.58249999999998</v>
      </c>
      <c r="C449" s="116">
        <v>342.64249999999998</v>
      </c>
      <c r="D449" s="116">
        <v>339.5</v>
      </c>
      <c r="E449" s="116">
        <v>339.65</v>
      </c>
      <c r="F449" s="116">
        <v>6852.85</v>
      </c>
      <c r="G449">
        <v>1520</v>
      </c>
      <c r="H449" s="116"/>
      <c r="I449" s="116"/>
      <c r="L449" s="170">
        <v>42664</v>
      </c>
      <c r="M449" s="116">
        <v>343.45499999999998</v>
      </c>
      <c r="N449" s="116">
        <v>344.75</v>
      </c>
      <c r="O449" s="116">
        <v>339.04500000000002</v>
      </c>
      <c r="P449" s="116">
        <v>341.5</v>
      </c>
      <c r="Q449" s="116">
        <v>6869.1</v>
      </c>
      <c r="R449">
        <v>11703</v>
      </c>
    </row>
    <row r="450" spans="1:18" x14ac:dyDescent="0.25">
      <c r="A450" s="170">
        <v>42667</v>
      </c>
      <c r="B450" s="116">
        <v>343.75</v>
      </c>
      <c r="C450" s="116">
        <v>342.375</v>
      </c>
      <c r="D450" s="116">
        <v>340.5</v>
      </c>
      <c r="E450" s="116">
        <v>343.7475</v>
      </c>
      <c r="F450" s="116">
        <v>6847.5</v>
      </c>
      <c r="G450">
        <v>1393</v>
      </c>
      <c r="H450" s="116"/>
      <c r="I450" s="116"/>
      <c r="L450" s="170">
        <v>42667</v>
      </c>
      <c r="M450" s="116">
        <v>342.66750000000002</v>
      </c>
      <c r="N450" s="116">
        <v>345</v>
      </c>
      <c r="O450" s="116">
        <v>340.60750000000002</v>
      </c>
      <c r="P450" s="116">
        <v>342.4</v>
      </c>
      <c r="Q450" s="116">
        <v>6853.35</v>
      </c>
      <c r="R450">
        <v>9235</v>
      </c>
    </row>
    <row r="451" spans="1:18" x14ac:dyDescent="0.25">
      <c r="A451" s="170">
        <v>42668</v>
      </c>
      <c r="B451" s="116">
        <v>341.7525</v>
      </c>
      <c r="C451" s="116">
        <v>339.13749999999999</v>
      </c>
      <c r="D451" s="116">
        <v>338.05</v>
      </c>
      <c r="E451" s="116">
        <v>341.02249999999998</v>
      </c>
      <c r="F451" s="116">
        <v>6782.75</v>
      </c>
      <c r="G451">
        <v>997</v>
      </c>
      <c r="H451" s="116"/>
      <c r="I451" s="116"/>
      <c r="L451" s="170">
        <v>42668</v>
      </c>
      <c r="M451" s="116">
        <v>339.69749999999999</v>
      </c>
      <c r="N451" s="116">
        <v>343.29</v>
      </c>
      <c r="O451" s="116">
        <v>338.85</v>
      </c>
      <c r="P451" s="116">
        <v>341.25</v>
      </c>
      <c r="Q451" s="116">
        <v>6793.95</v>
      </c>
      <c r="R451">
        <v>77752</v>
      </c>
    </row>
    <row r="452" spans="1:18" x14ac:dyDescent="0.25">
      <c r="A452" s="170">
        <v>42669</v>
      </c>
      <c r="B452" s="116">
        <v>341.95</v>
      </c>
      <c r="C452" s="116">
        <v>341.08499999999998</v>
      </c>
      <c r="D452" s="116">
        <v>337.3</v>
      </c>
      <c r="E452" s="116">
        <v>339.13749999999999</v>
      </c>
      <c r="F452" s="116">
        <v>6821.7</v>
      </c>
      <c r="G452">
        <v>1526</v>
      </c>
      <c r="H452" s="116"/>
      <c r="I452" s="116"/>
      <c r="L452" s="170">
        <v>42669</v>
      </c>
      <c r="M452" s="116">
        <v>341.27</v>
      </c>
      <c r="N452" s="116">
        <v>341.9975</v>
      </c>
      <c r="O452" s="116">
        <v>337</v>
      </c>
      <c r="P452" s="116">
        <v>337.95</v>
      </c>
      <c r="Q452" s="116">
        <v>6825.4</v>
      </c>
      <c r="R452">
        <v>41678</v>
      </c>
    </row>
    <row r="453" spans="1:18" x14ac:dyDescent="0.25">
      <c r="A453" s="170">
        <v>42670</v>
      </c>
      <c r="B453" s="116">
        <v>349.3</v>
      </c>
      <c r="C453" s="116">
        <v>346.23750000000001</v>
      </c>
      <c r="D453" s="116">
        <v>337.85</v>
      </c>
      <c r="E453" s="116">
        <v>339.95</v>
      </c>
      <c r="F453" s="116">
        <v>6924.75</v>
      </c>
      <c r="G453">
        <v>3657</v>
      </c>
      <c r="H453" s="116"/>
      <c r="I453" s="116"/>
      <c r="L453" s="170">
        <v>42670</v>
      </c>
      <c r="M453" s="116">
        <v>346.84750000000003</v>
      </c>
      <c r="N453" s="116">
        <v>349.86</v>
      </c>
      <c r="O453" s="116">
        <v>338</v>
      </c>
      <c r="P453" s="116">
        <v>341.995</v>
      </c>
      <c r="Q453" s="116">
        <v>6936.95</v>
      </c>
      <c r="R453">
        <v>16940</v>
      </c>
    </row>
    <row r="454" spans="1:18" x14ac:dyDescent="0.25">
      <c r="A454" s="170">
        <v>42671</v>
      </c>
      <c r="B454" s="116">
        <v>349.5</v>
      </c>
      <c r="C454" s="116">
        <v>348.02499999999998</v>
      </c>
      <c r="D454" s="116">
        <v>343.06</v>
      </c>
      <c r="E454" s="116">
        <v>345.75</v>
      </c>
      <c r="F454" s="116">
        <v>6960.5</v>
      </c>
      <c r="G454">
        <v>2041</v>
      </c>
      <c r="H454" s="116"/>
      <c r="I454" s="116"/>
      <c r="L454" s="170">
        <v>42671</v>
      </c>
      <c r="M454" s="116">
        <v>349.28750000000002</v>
      </c>
      <c r="N454" s="116">
        <v>350</v>
      </c>
      <c r="O454" s="116">
        <v>342.54250000000002</v>
      </c>
      <c r="P454" s="116">
        <v>346.85</v>
      </c>
      <c r="Q454" s="116">
        <v>6985.75</v>
      </c>
      <c r="R454">
        <v>24595</v>
      </c>
    </row>
    <row r="455" spans="1:18" x14ac:dyDescent="0.25">
      <c r="A455" s="170">
        <v>42673</v>
      </c>
      <c r="B455" s="116">
        <v>353.09750000000003</v>
      </c>
      <c r="C455" s="116">
        <v>347.13249999999999</v>
      </c>
      <c r="D455" s="116">
        <v>345.65499999999997</v>
      </c>
      <c r="E455" s="116">
        <v>351</v>
      </c>
      <c r="F455" s="116">
        <v>6942.65</v>
      </c>
      <c r="G455">
        <v>1961</v>
      </c>
      <c r="H455" s="116"/>
      <c r="I455" s="116"/>
      <c r="L455" s="170">
        <v>42673</v>
      </c>
      <c r="M455" s="116">
        <v>347.02</v>
      </c>
      <c r="N455" s="116">
        <v>352.5</v>
      </c>
      <c r="O455" s="116">
        <v>345</v>
      </c>
      <c r="P455" s="116">
        <v>351.25</v>
      </c>
      <c r="Q455" s="116">
        <v>6940.4</v>
      </c>
      <c r="R455">
        <v>7275</v>
      </c>
    </row>
    <row r="456" spans="1:18" x14ac:dyDescent="0.25">
      <c r="A456" s="170">
        <v>42675</v>
      </c>
      <c r="B456" s="116">
        <v>348.42</v>
      </c>
      <c r="C456" s="116">
        <v>339.30500000000001</v>
      </c>
      <c r="D456" s="116">
        <v>337.5</v>
      </c>
      <c r="E456" s="116">
        <v>347.13249999999999</v>
      </c>
      <c r="F456" s="116">
        <v>6786.1</v>
      </c>
      <c r="G456">
        <v>2402</v>
      </c>
      <c r="H456" s="116"/>
      <c r="I456" s="116"/>
      <c r="L456" s="170">
        <v>42675</v>
      </c>
      <c r="M456" s="116">
        <v>339.71749999999997</v>
      </c>
      <c r="N456" s="116">
        <v>348.03750000000002</v>
      </c>
      <c r="O456" s="116">
        <v>335.315</v>
      </c>
      <c r="P456" s="116">
        <v>346.25</v>
      </c>
      <c r="Q456" s="116">
        <v>6794.35</v>
      </c>
      <c r="R456">
        <v>33213</v>
      </c>
    </row>
    <row r="457" spans="1:18" x14ac:dyDescent="0.25">
      <c r="A457" s="170">
        <v>42676</v>
      </c>
      <c r="B457" s="116">
        <v>340.6</v>
      </c>
      <c r="C457" s="116">
        <v>337.42750000000001</v>
      </c>
      <c r="D457" s="116">
        <v>334.15</v>
      </c>
      <c r="E457" s="116">
        <v>339.30500000000001</v>
      </c>
      <c r="F457" s="116">
        <v>6748.55</v>
      </c>
      <c r="G457">
        <v>3310</v>
      </c>
      <c r="H457" s="116"/>
      <c r="I457" s="116"/>
      <c r="L457" s="170">
        <v>42676</v>
      </c>
      <c r="M457" s="116">
        <v>337.95749999999998</v>
      </c>
      <c r="N457" s="116">
        <v>339.5</v>
      </c>
      <c r="O457" s="116">
        <v>333.5025</v>
      </c>
      <c r="P457" s="116">
        <v>339.5</v>
      </c>
      <c r="Q457" s="116">
        <v>6759.15</v>
      </c>
      <c r="R457">
        <v>18067</v>
      </c>
    </row>
    <row r="458" spans="1:18" x14ac:dyDescent="0.25">
      <c r="A458" s="170">
        <v>42677</v>
      </c>
      <c r="B458" s="116">
        <v>339.42500000000001</v>
      </c>
      <c r="C458" s="116">
        <v>335.59750000000003</v>
      </c>
      <c r="D458" s="116">
        <v>332.55</v>
      </c>
      <c r="E458" s="116">
        <v>337.42750000000001</v>
      </c>
      <c r="F458" s="116">
        <v>6711.95</v>
      </c>
      <c r="G458">
        <v>3319</v>
      </c>
      <c r="H458" s="116"/>
      <c r="I458" s="116"/>
      <c r="L458" s="170">
        <v>42677</v>
      </c>
      <c r="M458" s="116">
        <v>335.88749999999999</v>
      </c>
      <c r="N458" s="116">
        <v>339.75</v>
      </c>
      <c r="O458" s="116">
        <v>333.3</v>
      </c>
      <c r="P458" s="116">
        <v>337.0025</v>
      </c>
      <c r="Q458" s="116">
        <v>6717.75</v>
      </c>
      <c r="R458">
        <v>16866</v>
      </c>
    </row>
    <row r="459" spans="1:18" x14ac:dyDescent="0.25">
      <c r="A459" s="170">
        <v>42678</v>
      </c>
      <c r="B459" s="116">
        <v>338.84750000000003</v>
      </c>
      <c r="C459" s="116">
        <v>331.85750000000002</v>
      </c>
      <c r="D459" s="116">
        <v>331.05</v>
      </c>
      <c r="E459" s="116">
        <v>336.33499999999998</v>
      </c>
      <c r="F459" s="116">
        <v>6637.15</v>
      </c>
      <c r="G459">
        <v>2156</v>
      </c>
      <c r="H459" s="116"/>
      <c r="I459" s="116"/>
      <c r="L459" s="170">
        <v>42678</v>
      </c>
      <c r="M459" s="116">
        <v>332.70249999999999</v>
      </c>
      <c r="N459" s="116">
        <v>338.8</v>
      </c>
      <c r="O459" s="116">
        <v>330.9</v>
      </c>
      <c r="P459" s="116">
        <v>335.89</v>
      </c>
      <c r="Q459" s="116">
        <v>6654.05</v>
      </c>
      <c r="R459">
        <v>17717</v>
      </c>
    </row>
    <row r="460" spans="1:18" x14ac:dyDescent="0.25">
      <c r="A460" s="170">
        <v>42681</v>
      </c>
      <c r="B460" s="116">
        <v>335.6275</v>
      </c>
      <c r="C460" s="116">
        <v>326.35250000000002</v>
      </c>
      <c r="D460" s="116">
        <v>320.5</v>
      </c>
      <c r="E460" s="116">
        <v>332.7</v>
      </c>
      <c r="F460" s="116">
        <v>6527.05</v>
      </c>
      <c r="G460">
        <v>4727</v>
      </c>
      <c r="H460" s="116"/>
      <c r="I460" s="116"/>
      <c r="L460" s="170">
        <v>42681</v>
      </c>
      <c r="M460" s="116">
        <v>322.90249999999997</v>
      </c>
      <c r="N460" s="116">
        <v>337.5</v>
      </c>
      <c r="O460" s="116">
        <v>317.75</v>
      </c>
      <c r="P460" s="116">
        <v>333.005</v>
      </c>
      <c r="Q460" s="116">
        <v>6458.05</v>
      </c>
      <c r="R460">
        <v>23558</v>
      </c>
    </row>
    <row r="461" spans="1:18" x14ac:dyDescent="0.25">
      <c r="A461" s="170">
        <v>42682</v>
      </c>
      <c r="B461" s="116">
        <v>326.39999999999998</v>
      </c>
      <c r="C461" s="116">
        <v>322.55250000000001</v>
      </c>
      <c r="D461" s="116">
        <v>320.5</v>
      </c>
      <c r="E461" s="116">
        <v>326.39999999999998</v>
      </c>
      <c r="F461" s="116">
        <v>6451.05</v>
      </c>
      <c r="G461">
        <v>1718</v>
      </c>
      <c r="H461" s="116"/>
      <c r="I461" s="116"/>
      <c r="L461" s="170">
        <v>42682</v>
      </c>
      <c r="M461" s="116">
        <v>322.58499999999998</v>
      </c>
      <c r="N461" s="116">
        <v>325.44749999999999</v>
      </c>
      <c r="O461" s="116">
        <v>320.5</v>
      </c>
      <c r="P461" s="116">
        <v>323.10000000000002</v>
      </c>
      <c r="Q461" s="116">
        <v>6451.7</v>
      </c>
      <c r="R461">
        <v>12853</v>
      </c>
    </row>
    <row r="462" spans="1:18" x14ac:dyDescent="0.25">
      <c r="A462" s="170">
        <v>42683</v>
      </c>
      <c r="B462" s="116">
        <v>322.5</v>
      </c>
      <c r="C462" s="116">
        <v>319.92</v>
      </c>
      <c r="D462" s="116">
        <v>285.05250000000001</v>
      </c>
      <c r="E462" s="116">
        <v>317.5</v>
      </c>
      <c r="F462" s="116">
        <v>6398.4</v>
      </c>
      <c r="G462">
        <v>4961</v>
      </c>
      <c r="H462" s="116"/>
      <c r="I462" s="116"/>
      <c r="L462" s="170">
        <v>42683</v>
      </c>
      <c r="M462" s="116">
        <v>319.39499999999998</v>
      </c>
      <c r="N462" s="116">
        <v>322.995</v>
      </c>
      <c r="O462" s="116">
        <v>282.80250000000001</v>
      </c>
      <c r="P462" s="116">
        <v>306.95</v>
      </c>
      <c r="Q462" s="116">
        <v>6387.9</v>
      </c>
      <c r="R462">
        <v>40371</v>
      </c>
    </row>
    <row r="463" spans="1:18" x14ac:dyDescent="0.25">
      <c r="A463" s="170">
        <v>42684</v>
      </c>
      <c r="B463" s="116">
        <v>326.3</v>
      </c>
      <c r="C463" s="116">
        <v>321.45</v>
      </c>
      <c r="D463" s="116">
        <v>319.92</v>
      </c>
      <c r="E463" s="116">
        <v>323.5</v>
      </c>
      <c r="F463" s="116">
        <v>6429</v>
      </c>
      <c r="G463">
        <v>1444</v>
      </c>
      <c r="H463" s="116"/>
      <c r="I463" s="116"/>
      <c r="L463" s="170">
        <v>42684</v>
      </c>
      <c r="M463" s="116">
        <v>321.005</v>
      </c>
      <c r="N463" s="116">
        <v>327.16500000000002</v>
      </c>
      <c r="O463" s="116">
        <v>320.05</v>
      </c>
      <c r="P463" s="116">
        <v>322.5</v>
      </c>
      <c r="Q463" s="116">
        <v>6420.1</v>
      </c>
      <c r="R463">
        <v>19694</v>
      </c>
    </row>
    <row r="464" spans="1:18" x14ac:dyDescent="0.25">
      <c r="A464" s="170">
        <v>42685</v>
      </c>
      <c r="B464" s="116">
        <v>321.45</v>
      </c>
      <c r="C464" s="116">
        <v>313.50749999999999</v>
      </c>
      <c r="D464" s="116">
        <v>308.5</v>
      </c>
      <c r="E464" s="116">
        <v>321.45</v>
      </c>
      <c r="F464" s="116">
        <v>6270.15</v>
      </c>
      <c r="G464">
        <v>3304</v>
      </c>
      <c r="H464" s="116"/>
      <c r="I464" s="116"/>
      <c r="L464" s="170">
        <v>42685</v>
      </c>
      <c r="M464" s="116">
        <v>312.76249999999999</v>
      </c>
      <c r="N464" s="116">
        <v>324.39999999999998</v>
      </c>
      <c r="O464" s="116">
        <v>308.14999999999998</v>
      </c>
      <c r="P464" s="116">
        <v>324.39999999999998</v>
      </c>
      <c r="Q464" s="116">
        <v>6255.25</v>
      </c>
      <c r="R464">
        <v>44257</v>
      </c>
    </row>
    <row r="465" spans="1:18" x14ac:dyDescent="0.25">
      <c r="A465" s="170">
        <v>42689</v>
      </c>
      <c r="B465" s="116">
        <v>315</v>
      </c>
      <c r="C465" s="116">
        <v>299.005</v>
      </c>
      <c r="D465" s="116">
        <v>297.3</v>
      </c>
      <c r="E465" s="116">
        <v>315</v>
      </c>
      <c r="F465" s="116">
        <v>5980.1</v>
      </c>
      <c r="G465">
        <v>3317</v>
      </c>
      <c r="H465" s="116"/>
      <c r="I465" s="116"/>
      <c r="L465" s="170">
        <v>42689</v>
      </c>
      <c r="M465" s="116">
        <v>297.88249999999999</v>
      </c>
      <c r="N465" s="116">
        <v>314.745</v>
      </c>
      <c r="O465" s="116">
        <v>295.57749999999999</v>
      </c>
      <c r="P465" s="116">
        <v>313</v>
      </c>
      <c r="Q465" s="116">
        <v>5957.65</v>
      </c>
      <c r="R465">
        <v>106163</v>
      </c>
    </row>
    <row r="466" spans="1:18" x14ac:dyDescent="0.25">
      <c r="A466" s="170">
        <v>42690</v>
      </c>
      <c r="B466" s="116">
        <v>305</v>
      </c>
      <c r="C466" s="116">
        <v>298.88</v>
      </c>
      <c r="D466" s="116">
        <v>296.505</v>
      </c>
      <c r="E466" s="116">
        <v>303.79000000000002</v>
      </c>
      <c r="F466" s="116">
        <v>5977.6</v>
      </c>
      <c r="G466">
        <v>22884</v>
      </c>
      <c r="H466" s="116"/>
      <c r="I466" s="116"/>
      <c r="L466" s="170">
        <v>42690</v>
      </c>
      <c r="M466" s="116">
        <v>298.27999999999997</v>
      </c>
      <c r="N466" s="116">
        <v>304.0025</v>
      </c>
      <c r="O466" s="116">
        <v>297.5</v>
      </c>
      <c r="P466" s="116">
        <v>299.95</v>
      </c>
      <c r="Q466" s="116">
        <v>5965.6</v>
      </c>
      <c r="R466">
        <v>174386</v>
      </c>
    </row>
    <row r="467" spans="1:18" x14ac:dyDescent="0.25">
      <c r="A467" s="170">
        <v>42691</v>
      </c>
      <c r="B467" s="116">
        <v>300.75</v>
      </c>
      <c r="C467" s="116">
        <v>297.90499999999997</v>
      </c>
      <c r="D467" s="116">
        <v>296.7</v>
      </c>
      <c r="E467" s="116">
        <v>300.7475</v>
      </c>
      <c r="F467" s="116">
        <v>5958.1</v>
      </c>
      <c r="G467">
        <v>1572</v>
      </c>
      <c r="H467" s="116"/>
      <c r="I467" s="116"/>
      <c r="L467" s="170">
        <v>42691</v>
      </c>
      <c r="M467" s="116">
        <v>297.89999999999998</v>
      </c>
      <c r="N467" s="116">
        <v>301.45</v>
      </c>
      <c r="O467" s="116">
        <v>296.64999999999998</v>
      </c>
      <c r="P467" s="116">
        <v>301.45</v>
      </c>
      <c r="Q467" s="116">
        <v>5958</v>
      </c>
      <c r="R467">
        <v>61210</v>
      </c>
    </row>
    <row r="468" spans="1:18" x14ac:dyDescent="0.25">
      <c r="A468" s="170">
        <v>42692</v>
      </c>
      <c r="B468" s="116">
        <v>299</v>
      </c>
      <c r="C468" s="116">
        <v>294.61250000000001</v>
      </c>
      <c r="D468" s="116">
        <v>293</v>
      </c>
      <c r="E468" s="116">
        <v>299</v>
      </c>
      <c r="F468" s="116">
        <v>5892.25</v>
      </c>
      <c r="G468">
        <v>2605</v>
      </c>
      <c r="H468" s="116"/>
      <c r="I468" s="116"/>
      <c r="L468" s="170">
        <v>42692</v>
      </c>
      <c r="M468" s="116">
        <v>294.08499999999998</v>
      </c>
      <c r="N468" s="116">
        <v>299</v>
      </c>
      <c r="O468" s="116">
        <v>292.55</v>
      </c>
      <c r="P468" s="116">
        <v>298</v>
      </c>
      <c r="Q468" s="116">
        <v>5881.7</v>
      </c>
      <c r="R468">
        <v>61184</v>
      </c>
    </row>
    <row r="469" spans="1:18" x14ac:dyDescent="0.25">
      <c r="A469" s="170">
        <v>42695</v>
      </c>
      <c r="B469" s="116">
        <v>296.9975</v>
      </c>
      <c r="C469" s="116">
        <v>292.75</v>
      </c>
      <c r="D469" s="116">
        <v>291.91500000000002</v>
      </c>
      <c r="E469" s="116">
        <v>296</v>
      </c>
      <c r="F469" s="116">
        <v>5855</v>
      </c>
      <c r="G469">
        <v>1220</v>
      </c>
      <c r="H469" s="116"/>
      <c r="I469" s="116"/>
      <c r="L469" s="170">
        <v>42695</v>
      </c>
      <c r="M469" s="116">
        <v>293.40249999999997</v>
      </c>
      <c r="N469" s="116">
        <v>297.35000000000002</v>
      </c>
      <c r="O469" s="116">
        <v>291.5</v>
      </c>
      <c r="P469" s="116">
        <v>294.75</v>
      </c>
      <c r="Q469" s="116">
        <v>5868.05</v>
      </c>
      <c r="R469">
        <v>28878</v>
      </c>
    </row>
    <row r="470" spans="1:18" x14ac:dyDescent="0.25">
      <c r="A470" s="170">
        <v>42696</v>
      </c>
      <c r="B470" s="116">
        <v>297.95</v>
      </c>
      <c r="C470" s="116">
        <v>294.64749999999998</v>
      </c>
      <c r="D470" s="116">
        <v>293.2</v>
      </c>
      <c r="E470" s="116">
        <v>295.9375</v>
      </c>
      <c r="F470" s="116">
        <v>5892.95</v>
      </c>
      <c r="G470">
        <v>1449</v>
      </c>
      <c r="H470" s="116"/>
      <c r="I470" s="116"/>
      <c r="L470" s="170">
        <v>42696</v>
      </c>
      <c r="M470" s="116">
        <v>294.69749999999999</v>
      </c>
      <c r="N470" s="116">
        <v>297.02499999999998</v>
      </c>
      <c r="O470" s="116">
        <v>292.5</v>
      </c>
      <c r="P470" s="116">
        <v>294.98</v>
      </c>
      <c r="Q470" s="116">
        <v>5893.95</v>
      </c>
      <c r="R470">
        <v>61482</v>
      </c>
    </row>
    <row r="471" spans="1:18" x14ac:dyDescent="0.25">
      <c r="A471" s="170">
        <v>42697</v>
      </c>
      <c r="B471" s="116">
        <v>299.59750000000003</v>
      </c>
      <c r="C471" s="116">
        <v>298.14</v>
      </c>
      <c r="D471" s="116">
        <v>294.64749999999998</v>
      </c>
      <c r="E471" s="116">
        <v>294.64749999999998</v>
      </c>
      <c r="F471" s="116">
        <v>5962.8</v>
      </c>
      <c r="G471">
        <v>1618</v>
      </c>
      <c r="H471" s="116"/>
      <c r="I471" s="116"/>
      <c r="L471" s="170">
        <v>42697</v>
      </c>
      <c r="M471" s="116">
        <v>295.79250000000002</v>
      </c>
      <c r="N471" s="116">
        <v>300</v>
      </c>
      <c r="O471" s="116">
        <v>293.5</v>
      </c>
      <c r="P471" s="116">
        <v>294.7</v>
      </c>
      <c r="Q471" s="116">
        <v>5915.85</v>
      </c>
      <c r="R471">
        <v>134376</v>
      </c>
    </row>
    <row r="472" spans="1:18" x14ac:dyDescent="0.25">
      <c r="A472" s="170">
        <v>42698</v>
      </c>
      <c r="B472" s="116">
        <v>311.10000000000002</v>
      </c>
      <c r="C472" s="116">
        <v>306.95249999999999</v>
      </c>
      <c r="D472" s="116">
        <v>295.14999999999998</v>
      </c>
      <c r="E472" s="116">
        <v>296.21749999999997</v>
      </c>
      <c r="F472" s="116">
        <v>6139.05</v>
      </c>
      <c r="G472">
        <v>2355</v>
      </c>
      <c r="H472" s="116"/>
      <c r="I472" s="116"/>
      <c r="L472" s="170">
        <v>42698</v>
      </c>
      <c r="M472" s="116">
        <v>306.17250000000001</v>
      </c>
      <c r="N472" s="116">
        <v>312.60250000000002</v>
      </c>
      <c r="O472" s="116">
        <v>293.375</v>
      </c>
      <c r="P472" s="116">
        <v>293.375</v>
      </c>
      <c r="Q472" s="116">
        <v>6123.45</v>
      </c>
      <c r="R472">
        <v>27087</v>
      </c>
    </row>
    <row r="473" spans="1:18" x14ac:dyDescent="0.25">
      <c r="A473" s="170">
        <v>42699</v>
      </c>
      <c r="B473" s="116">
        <v>309.95</v>
      </c>
      <c r="C473" s="116">
        <v>307.98750000000001</v>
      </c>
      <c r="D473" s="116">
        <v>306</v>
      </c>
      <c r="E473" s="116">
        <v>308.21499999999997</v>
      </c>
      <c r="F473" s="116">
        <v>6159.75</v>
      </c>
      <c r="G473">
        <v>957</v>
      </c>
      <c r="H473" s="116"/>
      <c r="I473" s="116"/>
      <c r="L473" s="170">
        <v>42699</v>
      </c>
      <c r="M473" s="116">
        <v>307.96249999999998</v>
      </c>
      <c r="N473" s="116">
        <v>310</v>
      </c>
      <c r="O473" s="116">
        <v>305.61</v>
      </c>
      <c r="P473" s="116">
        <v>306.17250000000001</v>
      </c>
      <c r="Q473" s="116">
        <v>6159.25</v>
      </c>
      <c r="R473">
        <v>63475</v>
      </c>
    </row>
    <row r="474" spans="1:18" x14ac:dyDescent="0.25">
      <c r="A474" s="170">
        <v>42702</v>
      </c>
      <c r="B474" s="116">
        <v>315.5</v>
      </c>
      <c r="C474" s="116">
        <v>314.57</v>
      </c>
      <c r="D474" s="116">
        <v>306.60000000000002</v>
      </c>
      <c r="E474" s="116">
        <v>311.3</v>
      </c>
      <c r="F474" s="116">
        <v>6291.4</v>
      </c>
      <c r="G474">
        <v>4439</v>
      </c>
      <c r="H474" s="116"/>
      <c r="I474" s="116"/>
      <c r="L474" s="170">
        <v>42702</v>
      </c>
      <c r="M474" s="116">
        <v>314.44499999999999</v>
      </c>
      <c r="N474" s="116">
        <v>315.5</v>
      </c>
      <c r="O474" s="116">
        <v>306.2</v>
      </c>
      <c r="P474" s="116">
        <v>307.91250000000002</v>
      </c>
      <c r="Q474" s="116">
        <v>6288.9</v>
      </c>
      <c r="R474">
        <v>14540</v>
      </c>
    </row>
    <row r="475" spans="1:18" x14ac:dyDescent="0.25">
      <c r="A475" s="170">
        <v>42703</v>
      </c>
      <c r="B475" s="116">
        <v>324.995</v>
      </c>
      <c r="C475" s="116">
        <v>313.54500000000002</v>
      </c>
      <c r="D475" s="116">
        <v>312</v>
      </c>
      <c r="E475" s="116">
        <v>314.75</v>
      </c>
      <c r="F475" s="116">
        <v>6270.9</v>
      </c>
      <c r="G475">
        <v>2863</v>
      </c>
      <c r="H475" s="116"/>
      <c r="I475" s="116"/>
      <c r="L475" s="170">
        <v>42703</v>
      </c>
      <c r="M475" s="116">
        <v>314.45</v>
      </c>
      <c r="N475" s="116">
        <v>325.99</v>
      </c>
      <c r="O475" s="116">
        <v>311.3125</v>
      </c>
      <c r="P475" s="116">
        <v>315</v>
      </c>
      <c r="Q475" s="116">
        <v>6289</v>
      </c>
      <c r="R475">
        <v>79429</v>
      </c>
    </row>
    <row r="476" spans="1:18" x14ac:dyDescent="0.25">
      <c r="A476" s="170">
        <v>42704</v>
      </c>
      <c r="B476" s="116">
        <v>320.0575</v>
      </c>
      <c r="C476" s="116">
        <v>312.83249999999998</v>
      </c>
      <c r="D476" s="116">
        <v>309.9975</v>
      </c>
      <c r="E476" s="116">
        <v>316</v>
      </c>
      <c r="F476" s="116">
        <v>6256.65</v>
      </c>
      <c r="G476">
        <v>2745</v>
      </c>
      <c r="H476" s="116"/>
      <c r="I476" s="116"/>
      <c r="L476" s="170">
        <v>42704</v>
      </c>
      <c r="M476" s="116">
        <v>314.48500000000001</v>
      </c>
      <c r="N476" s="116">
        <v>320</v>
      </c>
      <c r="O476" s="116">
        <v>312.60000000000002</v>
      </c>
      <c r="P476" s="116">
        <v>314.5</v>
      </c>
      <c r="Q476" s="116">
        <v>6289.7</v>
      </c>
      <c r="R476">
        <v>43873</v>
      </c>
    </row>
    <row r="477" spans="1:18" x14ac:dyDescent="0.25">
      <c r="A477" s="170">
        <v>42705</v>
      </c>
      <c r="B477" s="116">
        <v>316.5025</v>
      </c>
      <c r="C477" s="116">
        <v>314.05250000000001</v>
      </c>
      <c r="D477" s="116">
        <v>310</v>
      </c>
      <c r="E477" s="116">
        <v>315.72000000000003</v>
      </c>
      <c r="F477" s="116">
        <v>6281.05</v>
      </c>
      <c r="G477">
        <v>2681</v>
      </c>
      <c r="H477" s="116"/>
      <c r="I477" s="116"/>
      <c r="L477" s="170">
        <v>42705</v>
      </c>
      <c r="M477" s="116">
        <v>314.20249999999999</v>
      </c>
      <c r="N477" s="116">
        <v>316.29750000000001</v>
      </c>
      <c r="O477" s="116">
        <v>310.63</v>
      </c>
      <c r="P477" s="116">
        <v>312.14999999999998</v>
      </c>
      <c r="Q477" s="116">
        <v>6284.05</v>
      </c>
      <c r="R477">
        <v>39345</v>
      </c>
    </row>
    <row r="478" spans="1:18" x14ac:dyDescent="0.25">
      <c r="A478" s="170">
        <v>42706</v>
      </c>
      <c r="B478" s="116">
        <v>314.05250000000001</v>
      </c>
      <c r="C478" s="116">
        <v>311.90750000000003</v>
      </c>
      <c r="D478" s="116">
        <v>310.5675</v>
      </c>
      <c r="E478" s="116">
        <v>314.05250000000001</v>
      </c>
      <c r="F478" s="116">
        <v>6238.15</v>
      </c>
      <c r="G478">
        <v>1302</v>
      </c>
      <c r="H478" s="116"/>
      <c r="I478" s="116"/>
      <c r="L478" s="170">
        <v>42706</v>
      </c>
      <c r="M478" s="116">
        <v>311.54750000000001</v>
      </c>
      <c r="N478" s="116">
        <v>313.60000000000002</v>
      </c>
      <c r="O478" s="116">
        <v>310.5675</v>
      </c>
      <c r="P478" s="116">
        <v>313.60000000000002</v>
      </c>
      <c r="Q478" s="116">
        <v>6230.95</v>
      </c>
      <c r="R478">
        <v>63016</v>
      </c>
    </row>
    <row r="479" spans="1:18" x14ac:dyDescent="0.25">
      <c r="A479" s="170">
        <v>42709</v>
      </c>
      <c r="B479" s="116">
        <v>317.5</v>
      </c>
      <c r="C479" s="116">
        <v>312.4425</v>
      </c>
      <c r="D479" s="116">
        <v>307.19</v>
      </c>
      <c r="E479" s="116">
        <v>310.64999999999998</v>
      </c>
      <c r="F479" s="116">
        <v>6248.85</v>
      </c>
      <c r="G479">
        <v>1288</v>
      </c>
      <c r="H479" s="116"/>
      <c r="I479" s="116"/>
      <c r="L479" s="170">
        <v>42709</v>
      </c>
      <c r="M479" s="116">
        <v>311.45</v>
      </c>
      <c r="N479" s="116">
        <v>318.27</v>
      </c>
      <c r="O479" s="116">
        <v>306.25</v>
      </c>
      <c r="P479" s="116">
        <v>313.75</v>
      </c>
      <c r="Q479" s="116">
        <v>6229</v>
      </c>
      <c r="R479">
        <v>21148</v>
      </c>
    </row>
    <row r="480" spans="1:18" x14ac:dyDescent="0.25">
      <c r="A480" s="170">
        <v>42710</v>
      </c>
      <c r="B480" s="116">
        <v>314.5</v>
      </c>
      <c r="C480" s="116">
        <v>313.19749999999999</v>
      </c>
      <c r="D480" s="116">
        <v>310.8775</v>
      </c>
      <c r="E480" s="116">
        <v>312.39999999999998</v>
      </c>
      <c r="F480" s="116">
        <v>6263.95</v>
      </c>
      <c r="G480">
        <v>12658</v>
      </c>
      <c r="H480" s="116"/>
      <c r="I480" s="116"/>
      <c r="L480" s="170">
        <v>42710</v>
      </c>
      <c r="M480" s="116">
        <v>313.29500000000002</v>
      </c>
      <c r="N480" s="116">
        <v>314.99</v>
      </c>
      <c r="O480" s="116">
        <v>309.53750000000002</v>
      </c>
      <c r="P480" s="116">
        <v>312.22500000000002</v>
      </c>
      <c r="Q480" s="116">
        <v>6265.9</v>
      </c>
      <c r="R480">
        <v>23625</v>
      </c>
    </row>
    <row r="481" spans="1:18" x14ac:dyDescent="0.25">
      <c r="A481" s="170">
        <v>42711</v>
      </c>
      <c r="B481" s="116">
        <v>315.625</v>
      </c>
      <c r="C481" s="116">
        <v>314.66000000000003</v>
      </c>
      <c r="D481" s="116">
        <v>313</v>
      </c>
      <c r="E481" s="116">
        <v>313.19749999999999</v>
      </c>
      <c r="F481" s="116">
        <v>6293.2</v>
      </c>
      <c r="G481">
        <v>374</v>
      </c>
      <c r="H481" s="116"/>
      <c r="I481" s="116"/>
      <c r="L481" s="170">
        <v>42711</v>
      </c>
      <c r="M481" s="116">
        <v>314.09750000000003</v>
      </c>
      <c r="N481" s="116">
        <v>316.8</v>
      </c>
      <c r="O481" s="116">
        <v>312.25</v>
      </c>
      <c r="P481" s="116">
        <v>313.94</v>
      </c>
      <c r="Q481" s="116">
        <v>6281.95</v>
      </c>
      <c r="R481">
        <v>16091</v>
      </c>
    </row>
    <row r="482" spans="1:18" x14ac:dyDescent="0.25">
      <c r="A482" s="170">
        <v>42712</v>
      </c>
      <c r="B482" s="116">
        <v>318.11250000000001</v>
      </c>
      <c r="C482" s="116">
        <v>315.95999999999998</v>
      </c>
      <c r="D482" s="116">
        <v>312.52999999999997</v>
      </c>
      <c r="E482" s="116">
        <v>315.5</v>
      </c>
      <c r="F482" s="116">
        <v>6319.2</v>
      </c>
      <c r="G482">
        <v>1743</v>
      </c>
      <c r="H482" s="116"/>
      <c r="I482" s="116"/>
      <c r="L482" s="170">
        <v>42712</v>
      </c>
      <c r="M482" s="116">
        <v>316.53500000000003</v>
      </c>
      <c r="N482" s="116">
        <v>318.75</v>
      </c>
      <c r="O482" s="116">
        <v>314.05500000000001</v>
      </c>
      <c r="P482" s="116">
        <v>314.25</v>
      </c>
      <c r="Q482" s="116">
        <v>6330.7</v>
      </c>
      <c r="R482">
        <v>19252</v>
      </c>
    </row>
    <row r="483" spans="1:18" x14ac:dyDescent="0.25">
      <c r="A483" s="170">
        <v>42713</v>
      </c>
      <c r="B483" s="116">
        <v>319.4425</v>
      </c>
      <c r="C483" s="116">
        <v>318.47250000000003</v>
      </c>
      <c r="D483" s="116">
        <v>313.75</v>
      </c>
      <c r="E483" s="116">
        <v>316.95249999999999</v>
      </c>
      <c r="F483" s="116">
        <v>6369.45</v>
      </c>
      <c r="G483">
        <v>1882</v>
      </c>
      <c r="H483" s="116"/>
      <c r="I483" s="116"/>
      <c r="L483" s="170">
        <v>42713</v>
      </c>
      <c r="M483" s="116">
        <v>317.61750000000001</v>
      </c>
      <c r="N483" s="116">
        <v>319.63499999999999</v>
      </c>
      <c r="O483" s="116">
        <v>313.25</v>
      </c>
      <c r="P483" s="116">
        <v>316.5</v>
      </c>
      <c r="Q483" s="116">
        <v>6352.35</v>
      </c>
      <c r="R483">
        <v>15619</v>
      </c>
    </row>
    <row r="484" spans="1:18" x14ac:dyDescent="0.25">
      <c r="A484" s="170">
        <v>42716</v>
      </c>
      <c r="B484" s="116">
        <v>318.14499999999998</v>
      </c>
      <c r="C484" s="116">
        <v>316.21749999999997</v>
      </c>
      <c r="D484" s="116">
        <v>314</v>
      </c>
      <c r="E484" s="116">
        <v>317.5</v>
      </c>
      <c r="F484" s="116">
        <v>6324.35</v>
      </c>
      <c r="G484">
        <v>1899</v>
      </c>
      <c r="H484" s="116"/>
      <c r="I484" s="116"/>
      <c r="L484" s="170">
        <v>42716</v>
      </c>
      <c r="M484" s="116">
        <v>315.685</v>
      </c>
      <c r="N484" s="116">
        <v>316.64249999999998</v>
      </c>
      <c r="O484" s="116">
        <v>313.2</v>
      </c>
      <c r="P484" s="116">
        <v>315.315</v>
      </c>
      <c r="Q484" s="116">
        <v>6313.7</v>
      </c>
      <c r="R484">
        <v>8112</v>
      </c>
    </row>
    <row r="485" spans="1:18" x14ac:dyDescent="0.25">
      <c r="A485" s="170">
        <v>42717</v>
      </c>
      <c r="B485" s="116">
        <v>316.89999999999998</v>
      </c>
      <c r="C485" s="116">
        <v>316.3725</v>
      </c>
      <c r="D485" s="116">
        <v>314.40499999999997</v>
      </c>
      <c r="E485" s="116">
        <v>315.64999999999998</v>
      </c>
      <c r="F485" s="116">
        <v>6327.45</v>
      </c>
      <c r="G485">
        <v>248</v>
      </c>
      <c r="H485" s="116"/>
      <c r="I485" s="116"/>
      <c r="L485" s="170">
        <v>42717</v>
      </c>
      <c r="M485" s="116">
        <v>316.47750000000002</v>
      </c>
      <c r="N485" s="116">
        <v>316.995</v>
      </c>
      <c r="O485" s="116">
        <v>315</v>
      </c>
      <c r="P485" s="116">
        <v>316.55</v>
      </c>
      <c r="Q485" s="116">
        <v>6329.55</v>
      </c>
      <c r="R485">
        <v>29190</v>
      </c>
    </row>
    <row r="486" spans="1:18" x14ac:dyDescent="0.25">
      <c r="A486" s="170">
        <v>42718</v>
      </c>
      <c r="B486" s="116">
        <v>317.63</v>
      </c>
      <c r="C486" s="116">
        <v>311.79000000000002</v>
      </c>
      <c r="D486" s="116">
        <v>310</v>
      </c>
      <c r="E486" s="116">
        <v>317.25</v>
      </c>
      <c r="F486" s="116">
        <v>6235.8</v>
      </c>
      <c r="G486">
        <v>823</v>
      </c>
      <c r="H486" s="116"/>
      <c r="I486" s="116"/>
      <c r="L486" s="170">
        <v>42718</v>
      </c>
      <c r="M486" s="116">
        <v>311.75749999999999</v>
      </c>
      <c r="N486" s="116">
        <v>317.8</v>
      </c>
      <c r="O486" s="116">
        <v>309.5</v>
      </c>
      <c r="P486" s="116">
        <v>316.67</v>
      </c>
      <c r="Q486" s="116">
        <v>6235.15</v>
      </c>
      <c r="R486">
        <v>20092</v>
      </c>
    </row>
    <row r="487" spans="1:18" x14ac:dyDescent="0.25">
      <c r="A487" s="170">
        <v>42719</v>
      </c>
      <c r="B487" s="116">
        <v>313.10000000000002</v>
      </c>
      <c r="C487" s="116">
        <v>308.32749999999999</v>
      </c>
      <c r="D487" s="116">
        <v>307.5</v>
      </c>
      <c r="E487" s="116">
        <v>310.0025</v>
      </c>
      <c r="F487" s="116">
        <v>6166.55</v>
      </c>
      <c r="G487">
        <v>976</v>
      </c>
      <c r="H487" s="116"/>
      <c r="I487" s="116"/>
      <c r="L487" s="170">
        <v>42719</v>
      </c>
      <c r="M487" s="116">
        <v>308.83749999999998</v>
      </c>
      <c r="N487" s="116">
        <v>313.54750000000001</v>
      </c>
      <c r="O487" s="116">
        <v>306.70249999999999</v>
      </c>
      <c r="P487" s="116">
        <v>310</v>
      </c>
      <c r="Q487" s="116">
        <v>6176.75</v>
      </c>
      <c r="R487">
        <v>23653</v>
      </c>
    </row>
    <row r="488" spans="1:18" x14ac:dyDescent="0.25">
      <c r="A488" s="170">
        <v>42720</v>
      </c>
      <c r="B488" s="116">
        <v>311.45249999999999</v>
      </c>
      <c r="C488" s="116">
        <v>303.95249999999999</v>
      </c>
      <c r="D488" s="116">
        <v>297.69749999999999</v>
      </c>
      <c r="E488" s="116">
        <v>308.33</v>
      </c>
      <c r="F488" s="116">
        <v>6079.05</v>
      </c>
      <c r="G488">
        <v>2238</v>
      </c>
      <c r="H488" s="116"/>
      <c r="I488" s="116"/>
      <c r="L488" s="170">
        <v>42720</v>
      </c>
      <c r="M488" s="116">
        <v>305.76</v>
      </c>
      <c r="N488" s="116">
        <v>311.34750000000003</v>
      </c>
      <c r="O488" s="116">
        <v>295.60250000000002</v>
      </c>
      <c r="P488" s="116">
        <v>311.16500000000002</v>
      </c>
      <c r="Q488" s="116">
        <v>6115.2</v>
      </c>
      <c r="R488">
        <v>49759</v>
      </c>
    </row>
    <row r="489" spans="1:18" x14ac:dyDescent="0.25">
      <c r="A489" s="170">
        <v>42723</v>
      </c>
      <c r="B489" s="116">
        <v>304.95</v>
      </c>
      <c r="C489" s="116">
        <v>300.97000000000003</v>
      </c>
      <c r="D489" s="116">
        <v>299.2525</v>
      </c>
      <c r="E489" s="116">
        <v>304.95</v>
      </c>
      <c r="F489" s="116">
        <v>6019.4</v>
      </c>
      <c r="G489">
        <v>1472</v>
      </c>
      <c r="H489" s="116"/>
      <c r="I489" s="116"/>
      <c r="L489" s="170">
        <v>42723</v>
      </c>
      <c r="M489" s="116">
        <v>301.53750000000002</v>
      </c>
      <c r="N489" s="116">
        <v>306.95</v>
      </c>
      <c r="O489" s="116">
        <v>298.75</v>
      </c>
      <c r="P489" s="116">
        <v>306.95</v>
      </c>
      <c r="Q489" s="116">
        <v>6030.75</v>
      </c>
      <c r="R489">
        <v>28248</v>
      </c>
    </row>
    <row r="490" spans="1:18" x14ac:dyDescent="0.25">
      <c r="A490" s="170">
        <v>42724</v>
      </c>
      <c r="B490" s="116">
        <v>301.92250000000001</v>
      </c>
      <c r="C490" s="116">
        <v>296.71499999999997</v>
      </c>
      <c r="D490" s="116">
        <v>295.2</v>
      </c>
      <c r="E490" s="116">
        <v>300.97000000000003</v>
      </c>
      <c r="F490" s="116">
        <v>5934.3</v>
      </c>
      <c r="G490">
        <v>1904</v>
      </c>
      <c r="H490" s="116"/>
      <c r="I490" s="116"/>
      <c r="L490" s="170">
        <v>42724</v>
      </c>
      <c r="M490" s="116">
        <v>295.89749999999998</v>
      </c>
      <c r="N490" s="116">
        <v>303.7</v>
      </c>
      <c r="O490" s="116">
        <v>295</v>
      </c>
      <c r="P490" s="116">
        <v>302.5</v>
      </c>
      <c r="Q490" s="116">
        <v>5917.95</v>
      </c>
      <c r="R490">
        <v>19716</v>
      </c>
    </row>
    <row r="491" spans="1:18" x14ac:dyDescent="0.25">
      <c r="A491" s="170">
        <v>42725</v>
      </c>
      <c r="B491" s="116">
        <v>297.34500000000003</v>
      </c>
      <c r="C491" s="116">
        <v>292.85500000000002</v>
      </c>
      <c r="D491" s="116">
        <v>292</v>
      </c>
      <c r="E491" s="116">
        <v>296</v>
      </c>
      <c r="F491" s="116">
        <v>5857.1</v>
      </c>
      <c r="G491">
        <v>2268</v>
      </c>
      <c r="H491" s="116"/>
      <c r="I491" s="116"/>
      <c r="L491" s="170">
        <v>42725</v>
      </c>
      <c r="M491" s="116">
        <v>292.32249999999999</v>
      </c>
      <c r="N491" s="116">
        <v>297.47750000000002</v>
      </c>
      <c r="O491" s="116">
        <v>291</v>
      </c>
      <c r="P491" s="116">
        <v>295.8</v>
      </c>
      <c r="Q491" s="116">
        <v>5846.45</v>
      </c>
      <c r="R491">
        <v>53140</v>
      </c>
    </row>
    <row r="492" spans="1:18" x14ac:dyDescent="0.25">
      <c r="A492" s="170">
        <v>42726</v>
      </c>
      <c r="B492" s="116">
        <v>292.5</v>
      </c>
      <c r="C492" s="116">
        <v>288.58999999999997</v>
      </c>
      <c r="D492" s="116">
        <v>287.75</v>
      </c>
      <c r="E492" s="116">
        <v>292.5</v>
      </c>
      <c r="F492" s="116">
        <v>5771.8</v>
      </c>
      <c r="G492">
        <v>2925</v>
      </c>
      <c r="H492" s="116"/>
      <c r="I492" s="116"/>
      <c r="L492" s="170">
        <v>42726</v>
      </c>
      <c r="M492" s="116">
        <v>288.39249999999998</v>
      </c>
      <c r="N492" s="116">
        <v>292.45</v>
      </c>
      <c r="O492" s="116">
        <v>287.5</v>
      </c>
      <c r="P492" s="116">
        <v>292.45</v>
      </c>
      <c r="Q492" s="116">
        <v>5767.85</v>
      </c>
      <c r="R492">
        <v>46891</v>
      </c>
    </row>
    <row r="493" spans="1:18" x14ac:dyDescent="0.25">
      <c r="A493" s="170">
        <v>42727</v>
      </c>
      <c r="B493" s="116">
        <v>296.89749999999998</v>
      </c>
      <c r="C493" s="116">
        <v>291.33749999999998</v>
      </c>
      <c r="D493" s="116">
        <v>287.60000000000002</v>
      </c>
      <c r="E493" s="116">
        <v>287.60000000000002</v>
      </c>
      <c r="F493" s="116">
        <v>5826.75</v>
      </c>
      <c r="G493">
        <v>1516</v>
      </c>
      <c r="H493" s="116"/>
      <c r="I493" s="116"/>
      <c r="L493" s="170">
        <v>42727</v>
      </c>
      <c r="M493" s="116">
        <v>290.18</v>
      </c>
      <c r="N493" s="116">
        <v>296.7525</v>
      </c>
      <c r="O493" s="116">
        <v>287.3</v>
      </c>
      <c r="P493" s="116">
        <v>288</v>
      </c>
      <c r="Q493" s="116">
        <v>5803.6</v>
      </c>
      <c r="R493">
        <v>53313</v>
      </c>
    </row>
    <row r="494" spans="1:18" x14ac:dyDescent="0.25">
      <c r="A494" s="170">
        <v>42730</v>
      </c>
      <c r="B494" s="116">
        <v>292.4975</v>
      </c>
      <c r="C494" s="116">
        <v>291.35500000000002</v>
      </c>
      <c r="D494" s="116">
        <v>287.5</v>
      </c>
      <c r="E494" s="116">
        <v>288.72750000000002</v>
      </c>
      <c r="F494" s="116">
        <v>5827.1</v>
      </c>
      <c r="G494">
        <v>779</v>
      </c>
      <c r="H494" s="116"/>
      <c r="I494" s="116"/>
      <c r="L494" s="170">
        <v>42730</v>
      </c>
      <c r="M494" s="116">
        <v>291.89999999999998</v>
      </c>
      <c r="N494" s="116">
        <v>292.8</v>
      </c>
      <c r="O494" s="116">
        <v>287.5</v>
      </c>
      <c r="P494" s="116">
        <v>290.5</v>
      </c>
      <c r="Q494" s="116">
        <v>5838</v>
      </c>
      <c r="R494">
        <v>8203</v>
      </c>
    </row>
    <row r="495" spans="1:18" x14ac:dyDescent="0.25">
      <c r="A495" s="170">
        <v>42731</v>
      </c>
      <c r="B495" s="116">
        <v>294.94499999999999</v>
      </c>
      <c r="C495" s="116">
        <v>294.30250000000001</v>
      </c>
      <c r="D495" s="116">
        <v>289.40249999999997</v>
      </c>
      <c r="E495" s="116">
        <v>291.2</v>
      </c>
      <c r="F495" s="116">
        <v>5886.05</v>
      </c>
      <c r="G495">
        <v>1560</v>
      </c>
      <c r="H495" s="116"/>
      <c r="I495" s="116"/>
      <c r="L495" s="170">
        <v>42731</v>
      </c>
      <c r="M495" s="116">
        <v>293.8775</v>
      </c>
      <c r="N495" s="116">
        <v>295.69749999999999</v>
      </c>
      <c r="O495" s="116">
        <v>289.95</v>
      </c>
      <c r="P495" s="116">
        <v>291.75</v>
      </c>
      <c r="Q495" s="116">
        <v>5877.55</v>
      </c>
      <c r="R495">
        <v>25155</v>
      </c>
    </row>
    <row r="496" spans="1:18" x14ac:dyDescent="0.25">
      <c r="A496" s="170">
        <v>42732</v>
      </c>
      <c r="B496" s="116">
        <v>296.45</v>
      </c>
      <c r="C496" s="116">
        <v>294.24</v>
      </c>
      <c r="D496" s="116">
        <v>293.26499999999999</v>
      </c>
      <c r="E496" s="116">
        <v>294.92</v>
      </c>
      <c r="F496" s="116">
        <v>5884.8</v>
      </c>
      <c r="G496">
        <v>907</v>
      </c>
      <c r="H496" s="116"/>
      <c r="I496" s="116"/>
      <c r="L496" s="170">
        <v>42732</v>
      </c>
      <c r="M496" s="116">
        <v>294.88249999999999</v>
      </c>
      <c r="N496" s="116">
        <v>296.55500000000001</v>
      </c>
      <c r="O496" s="116">
        <v>292.01499999999999</v>
      </c>
      <c r="P496" s="116">
        <v>293.4975</v>
      </c>
      <c r="Q496" s="116">
        <v>5897.65</v>
      </c>
      <c r="R496">
        <v>36511</v>
      </c>
    </row>
    <row r="497" spans="1:18" x14ac:dyDescent="0.25">
      <c r="A497" s="170">
        <v>42733</v>
      </c>
      <c r="B497" s="116">
        <v>300.89999999999998</v>
      </c>
      <c r="C497" s="116">
        <v>298.36</v>
      </c>
      <c r="D497" s="116">
        <v>294</v>
      </c>
      <c r="E497" s="116">
        <v>294</v>
      </c>
      <c r="F497" s="116">
        <v>5967.2</v>
      </c>
      <c r="G497">
        <v>1489</v>
      </c>
      <c r="H497" s="116"/>
      <c r="I497" s="116"/>
      <c r="L497" s="170">
        <v>42733</v>
      </c>
      <c r="M497" s="116">
        <v>298.71499999999997</v>
      </c>
      <c r="N497" s="116">
        <v>301.4975</v>
      </c>
      <c r="O497" s="116">
        <v>293.25</v>
      </c>
      <c r="P497" s="116">
        <v>293.25</v>
      </c>
      <c r="Q497" s="116">
        <v>5974.3</v>
      </c>
      <c r="R497">
        <v>36337</v>
      </c>
    </row>
    <row r="498" spans="1:18" x14ac:dyDescent="0.25">
      <c r="A498" s="170">
        <v>42734</v>
      </c>
      <c r="B498" s="116">
        <v>302</v>
      </c>
      <c r="C498" s="116">
        <v>301.49</v>
      </c>
      <c r="D498" s="116">
        <v>298.45</v>
      </c>
      <c r="E498" s="116">
        <v>298.45</v>
      </c>
      <c r="F498" s="116">
        <v>6029.8</v>
      </c>
      <c r="G498">
        <v>711</v>
      </c>
      <c r="H498" s="116"/>
      <c r="I498" s="116"/>
      <c r="L498" s="170">
        <v>42734</v>
      </c>
      <c r="M498" s="116">
        <v>301.41750000000002</v>
      </c>
      <c r="N498" s="116">
        <v>302.42</v>
      </c>
      <c r="O498" s="116">
        <v>295.10250000000002</v>
      </c>
      <c r="P498" s="116">
        <v>297.9975</v>
      </c>
      <c r="Q498" s="116">
        <v>6028.35</v>
      </c>
      <c r="R498">
        <v>16658</v>
      </c>
    </row>
    <row r="499" spans="1:18" x14ac:dyDescent="0.25">
      <c r="A499" s="170">
        <v>42737</v>
      </c>
      <c r="B499" s="116">
        <v>304.14999999999998</v>
      </c>
      <c r="C499" s="116">
        <v>299.66250000000002</v>
      </c>
      <c r="D499" s="116">
        <v>297.79250000000002</v>
      </c>
      <c r="E499" s="116">
        <v>301.5</v>
      </c>
      <c r="F499" s="116">
        <v>5993.25</v>
      </c>
      <c r="G499">
        <v>63593</v>
      </c>
      <c r="H499" s="116"/>
      <c r="I499" s="116"/>
      <c r="L499" s="170">
        <v>42737</v>
      </c>
      <c r="M499" s="116">
        <v>298.72000000000003</v>
      </c>
      <c r="N499" s="116">
        <v>304.05250000000001</v>
      </c>
      <c r="O499" s="116">
        <v>296.9975</v>
      </c>
      <c r="P499" s="116">
        <v>301.5</v>
      </c>
      <c r="Q499" s="116">
        <v>5974.4</v>
      </c>
      <c r="R499">
        <v>16376</v>
      </c>
    </row>
    <row r="500" spans="1:18" x14ac:dyDescent="0.25">
      <c r="A500" s="170">
        <v>42738</v>
      </c>
      <c r="B500" s="116">
        <v>304.11250000000001</v>
      </c>
      <c r="C500" s="116">
        <v>302.72250000000003</v>
      </c>
      <c r="D500" s="116">
        <v>299.5</v>
      </c>
      <c r="E500" s="116">
        <v>300</v>
      </c>
      <c r="F500" s="116">
        <v>6054.45</v>
      </c>
      <c r="G500">
        <v>936</v>
      </c>
      <c r="H500" s="116"/>
      <c r="I500" s="116"/>
      <c r="L500" s="170">
        <v>42738</v>
      </c>
      <c r="M500" s="116">
        <v>301.37</v>
      </c>
      <c r="N500" s="116">
        <v>303.4975</v>
      </c>
      <c r="O500" s="116">
        <v>298.755</v>
      </c>
      <c r="P500" s="116">
        <v>298.755</v>
      </c>
      <c r="Q500" s="116">
        <v>6027.4</v>
      </c>
      <c r="R500">
        <v>13996</v>
      </c>
    </row>
    <row r="501" spans="1:18" x14ac:dyDescent="0.25">
      <c r="A501" s="170">
        <v>42739</v>
      </c>
      <c r="B501" s="116">
        <v>302.5</v>
      </c>
      <c r="C501" s="116">
        <v>294.63749999999999</v>
      </c>
      <c r="D501" s="116">
        <v>290</v>
      </c>
      <c r="E501" s="116">
        <v>300.0625</v>
      </c>
      <c r="F501" s="116">
        <v>5892.75</v>
      </c>
      <c r="G501">
        <v>9422</v>
      </c>
      <c r="H501" s="116"/>
      <c r="I501" s="116"/>
      <c r="L501" s="170">
        <v>42739</v>
      </c>
      <c r="M501" s="116">
        <v>294.50749999999999</v>
      </c>
      <c r="N501" s="116">
        <v>302.49250000000001</v>
      </c>
      <c r="O501" s="116">
        <v>292.55</v>
      </c>
      <c r="P501" s="116">
        <v>302</v>
      </c>
      <c r="Q501" s="116">
        <v>5890.15</v>
      </c>
      <c r="R501">
        <v>44184</v>
      </c>
    </row>
    <row r="502" spans="1:18" x14ac:dyDescent="0.25">
      <c r="A502" s="170">
        <v>42740</v>
      </c>
      <c r="B502" s="116">
        <v>302</v>
      </c>
      <c r="C502" s="116">
        <v>295.4425</v>
      </c>
      <c r="D502" s="116">
        <v>292.5</v>
      </c>
      <c r="E502" s="116">
        <v>302</v>
      </c>
      <c r="F502" s="116">
        <v>5908.85</v>
      </c>
      <c r="G502">
        <v>1588</v>
      </c>
      <c r="H502" s="116"/>
      <c r="I502" s="116"/>
      <c r="L502" s="170">
        <v>42740</v>
      </c>
      <c r="M502" s="116">
        <v>296.08999999999997</v>
      </c>
      <c r="N502" s="116">
        <v>298.25</v>
      </c>
      <c r="O502" s="116">
        <v>291.5025</v>
      </c>
      <c r="P502" s="116">
        <v>296.995</v>
      </c>
      <c r="Q502" s="116">
        <v>5921.8</v>
      </c>
      <c r="R502">
        <v>49983</v>
      </c>
    </row>
    <row r="503" spans="1:18" x14ac:dyDescent="0.25">
      <c r="A503" s="170">
        <v>42741</v>
      </c>
      <c r="B503" s="116">
        <v>297.76749999999998</v>
      </c>
      <c r="C503" s="116">
        <v>295.25749999999999</v>
      </c>
      <c r="D503" s="116">
        <v>293.94</v>
      </c>
      <c r="E503" s="116">
        <v>296.25</v>
      </c>
      <c r="F503" s="116">
        <v>5905.15</v>
      </c>
      <c r="G503">
        <v>3614</v>
      </c>
      <c r="H503" s="116"/>
      <c r="I503" s="116"/>
      <c r="L503" s="170">
        <v>42741</v>
      </c>
      <c r="M503" s="116">
        <v>296.49250000000001</v>
      </c>
      <c r="N503" s="116">
        <v>297.95</v>
      </c>
      <c r="O503" s="116">
        <v>294.5</v>
      </c>
      <c r="P503" s="116">
        <v>295.8075</v>
      </c>
      <c r="Q503" s="116">
        <v>5929.85</v>
      </c>
      <c r="R503">
        <v>10929</v>
      </c>
    </row>
    <row r="504" spans="1:18" x14ac:dyDescent="0.25">
      <c r="A504" s="170">
        <v>42744</v>
      </c>
      <c r="B504" s="116">
        <v>298.75</v>
      </c>
      <c r="C504" s="116">
        <v>294.40249999999997</v>
      </c>
      <c r="D504" s="116">
        <v>293.10000000000002</v>
      </c>
      <c r="E504" s="116">
        <v>295.25749999999999</v>
      </c>
      <c r="F504" s="116">
        <v>5888.05</v>
      </c>
      <c r="G504">
        <v>17954</v>
      </c>
      <c r="H504" s="116"/>
      <c r="I504" s="116"/>
      <c r="L504" s="170">
        <v>42744</v>
      </c>
      <c r="M504" s="116">
        <v>295.54250000000002</v>
      </c>
      <c r="N504" s="116">
        <v>299</v>
      </c>
      <c r="O504" s="116">
        <v>294.55</v>
      </c>
      <c r="P504" s="116">
        <v>298</v>
      </c>
      <c r="Q504" s="116">
        <v>5910.85</v>
      </c>
      <c r="R504">
        <v>5231</v>
      </c>
    </row>
    <row r="505" spans="1:18" x14ac:dyDescent="0.25">
      <c r="A505" s="170">
        <v>42745</v>
      </c>
      <c r="B505" s="116">
        <v>297.02249999999998</v>
      </c>
      <c r="C505" s="116">
        <v>293.72500000000002</v>
      </c>
      <c r="D505" s="116">
        <v>291.95</v>
      </c>
      <c r="E505" s="116">
        <v>296.9975</v>
      </c>
      <c r="F505" s="116">
        <v>5874.5</v>
      </c>
      <c r="G505">
        <v>5656</v>
      </c>
      <c r="H505" s="116"/>
      <c r="I505" s="116"/>
      <c r="L505" s="170">
        <v>42745</v>
      </c>
      <c r="M505" s="116">
        <v>295.28750000000002</v>
      </c>
      <c r="N505" s="116">
        <v>297.25</v>
      </c>
      <c r="O505" s="116">
        <v>292.8075</v>
      </c>
      <c r="P505" s="116">
        <v>297</v>
      </c>
      <c r="Q505" s="116">
        <v>5905.75</v>
      </c>
      <c r="R505">
        <v>13422</v>
      </c>
    </row>
    <row r="506" spans="1:18" x14ac:dyDescent="0.25">
      <c r="A506" s="170">
        <v>42746</v>
      </c>
      <c r="B506" s="116">
        <v>297</v>
      </c>
      <c r="C506" s="116">
        <v>295.16500000000002</v>
      </c>
      <c r="D506" s="116">
        <v>293.75</v>
      </c>
      <c r="E506" s="116">
        <v>297</v>
      </c>
      <c r="F506" s="116">
        <v>5903.3</v>
      </c>
      <c r="G506">
        <v>93913</v>
      </c>
      <c r="H506" s="116"/>
      <c r="I506" s="116"/>
      <c r="L506" s="170">
        <v>42746</v>
      </c>
      <c r="M506" s="116">
        <v>295.74</v>
      </c>
      <c r="N506" s="116">
        <v>297</v>
      </c>
      <c r="O506" s="116">
        <v>293.85000000000002</v>
      </c>
      <c r="P506" s="116">
        <v>295.60500000000002</v>
      </c>
      <c r="Q506" s="116">
        <v>5914.8</v>
      </c>
      <c r="R506">
        <v>26136</v>
      </c>
    </row>
    <row r="507" spans="1:18" x14ac:dyDescent="0.25">
      <c r="A507" s="170">
        <v>42747</v>
      </c>
      <c r="B507" s="116">
        <v>296.25</v>
      </c>
      <c r="C507" s="116">
        <v>292.28750000000002</v>
      </c>
      <c r="D507" s="116">
        <v>291.5</v>
      </c>
      <c r="E507" s="116">
        <v>295.75</v>
      </c>
      <c r="F507" s="116">
        <v>5845.75</v>
      </c>
      <c r="G507">
        <v>3100</v>
      </c>
      <c r="H507" s="116"/>
      <c r="I507" s="116"/>
      <c r="L507" s="170">
        <v>42747</v>
      </c>
      <c r="M507" s="116">
        <v>292.75</v>
      </c>
      <c r="N507" s="116">
        <v>296.75</v>
      </c>
      <c r="O507" s="116">
        <v>291.64999999999998</v>
      </c>
      <c r="P507" s="116">
        <v>295</v>
      </c>
      <c r="Q507" s="116">
        <v>5855</v>
      </c>
      <c r="R507">
        <v>50031</v>
      </c>
    </row>
    <row r="508" spans="1:18" x14ac:dyDescent="0.25">
      <c r="A508" s="170">
        <v>42748</v>
      </c>
      <c r="B508" s="116">
        <v>296.10000000000002</v>
      </c>
      <c r="C508" s="116">
        <v>295.37</v>
      </c>
      <c r="D508" s="116">
        <v>293.65249999999997</v>
      </c>
      <c r="E508" s="116">
        <v>294.0025</v>
      </c>
      <c r="F508" s="116">
        <v>5907.4</v>
      </c>
      <c r="G508">
        <v>1154</v>
      </c>
      <c r="H508" s="116"/>
      <c r="I508" s="116"/>
      <c r="L508" s="170">
        <v>42748</v>
      </c>
      <c r="M508" s="116">
        <v>294.96499999999997</v>
      </c>
      <c r="N508" s="116">
        <v>295.75</v>
      </c>
      <c r="O508" s="116">
        <v>292.95</v>
      </c>
      <c r="P508" s="116">
        <v>293.85000000000002</v>
      </c>
      <c r="Q508" s="116">
        <v>5899.3</v>
      </c>
      <c r="R508">
        <v>20629</v>
      </c>
    </row>
    <row r="509" spans="1:18" x14ac:dyDescent="0.25">
      <c r="A509" s="170">
        <v>42751</v>
      </c>
      <c r="B509" s="116">
        <v>296</v>
      </c>
      <c r="C509" s="116">
        <v>294.89499999999998</v>
      </c>
      <c r="D509" s="116">
        <v>290</v>
      </c>
      <c r="E509" s="116">
        <v>296</v>
      </c>
      <c r="F509" s="116">
        <v>5897.9</v>
      </c>
      <c r="G509">
        <v>1028</v>
      </c>
      <c r="H509" s="116"/>
      <c r="I509" s="116"/>
      <c r="L509" s="170">
        <v>42751</v>
      </c>
      <c r="M509" s="116">
        <v>294.17250000000001</v>
      </c>
      <c r="N509" s="116">
        <v>295.75</v>
      </c>
      <c r="O509" s="116">
        <v>293.54500000000002</v>
      </c>
      <c r="P509" s="116">
        <v>295.5025</v>
      </c>
      <c r="Q509" s="116">
        <v>5883.45</v>
      </c>
      <c r="R509">
        <v>5009</v>
      </c>
    </row>
    <row r="510" spans="1:18" x14ac:dyDescent="0.25">
      <c r="A510" s="170">
        <v>42752</v>
      </c>
      <c r="B510" s="116">
        <v>295.73</v>
      </c>
      <c r="C510" s="116">
        <v>294.15249999999997</v>
      </c>
      <c r="D510" s="116">
        <v>292.55</v>
      </c>
      <c r="E510" s="116">
        <v>294.89499999999998</v>
      </c>
      <c r="F510" s="116">
        <v>5883.05</v>
      </c>
      <c r="G510">
        <v>1229</v>
      </c>
      <c r="H510" s="116"/>
      <c r="I510" s="116"/>
      <c r="L510" s="170">
        <v>42752</v>
      </c>
      <c r="M510" s="116">
        <v>294.79000000000002</v>
      </c>
      <c r="N510" s="116">
        <v>295.72500000000002</v>
      </c>
      <c r="O510" s="116">
        <v>292.55250000000001</v>
      </c>
      <c r="P510" s="116">
        <v>294.14749999999998</v>
      </c>
      <c r="Q510" s="116">
        <v>5895.8</v>
      </c>
      <c r="R510">
        <v>10304</v>
      </c>
    </row>
    <row r="511" spans="1:18" x14ac:dyDescent="0.25">
      <c r="A511" s="170">
        <v>42753</v>
      </c>
      <c r="B511" s="116">
        <v>296.95</v>
      </c>
      <c r="C511" s="116">
        <v>295.14249999999998</v>
      </c>
      <c r="D511" s="116">
        <v>292.9975</v>
      </c>
      <c r="E511" s="116">
        <v>294.25</v>
      </c>
      <c r="F511" s="116">
        <v>5902.85</v>
      </c>
      <c r="G511">
        <v>1593</v>
      </c>
      <c r="H511" s="116"/>
      <c r="I511" s="116"/>
      <c r="L511" s="170">
        <v>42753</v>
      </c>
      <c r="M511" s="116">
        <v>295.91250000000002</v>
      </c>
      <c r="N511" s="116">
        <v>297.5</v>
      </c>
      <c r="O511" s="116">
        <v>293.60000000000002</v>
      </c>
      <c r="P511" s="116">
        <v>294.25749999999999</v>
      </c>
      <c r="Q511" s="116">
        <v>5918.25</v>
      </c>
      <c r="R511">
        <v>44155</v>
      </c>
    </row>
    <row r="512" spans="1:18" x14ac:dyDescent="0.25">
      <c r="A512" s="170">
        <v>42754</v>
      </c>
      <c r="B512" s="116">
        <v>297</v>
      </c>
      <c r="C512" s="116">
        <v>294.78750000000002</v>
      </c>
      <c r="D512" s="116">
        <v>294</v>
      </c>
      <c r="E512" s="116">
        <v>295.10000000000002</v>
      </c>
      <c r="F512" s="116">
        <v>5895.75</v>
      </c>
      <c r="G512">
        <v>5564</v>
      </c>
      <c r="H512" s="116"/>
      <c r="I512" s="116"/>
      <c r="L512" s="170">
        <v>42754</v>
      </c>
      <c r="M512" s="116">
        <v>295.57249999999999</v>
      </c>
      <c r="N512" s="116">
        <v>296.95</v>
      </c>
      <c r="O512" s="116">
        <v>294.3</v>
      </c>
      <c r="P512" s="116">
        <v>295.91250000000002</v>
      </c>
      <c r="Q512" s="116">
        <v>5911.45</v>
      </c>
      <c r="R512">
        <v>31506</v>
      </c>
    </row>
    <row r="513" spans="1:18" x14ac:dyDescent="0.25">
      <c r="A513" s="170">
        <v>42755</v>
      </c>
      <c r="B513" s="116">
        <v>295.83749999999998</v>
      </c>
      <c r="C513" s="116">
        <v>294.57</v>
      </c>
      <c r="D513" s="116">
        <v>293.75</v>
      </c>
      <c r="E513" s="116">
        <v>294.90249999999997</v>
      </c>
      <c r="F513" s="116">
        <v>5891.4</v>
      </c>
      <c r="G513">
        <v>1834</v>
      </c>
      <c r="H513" s="116"/>
      <c r="I513" s="116"/>
      <c r="L513" s="170">
        <v>42755</v>
      </c>
      <c r="M513" s="116">
        <v>294.99</v>
      </c>
      <c r="N513" s="116">
        <v>295.505</v>
      </c>
      <c r="O513" s="116">
        <v>293.55</v>
      </c>
      <c r="P513" s="116">
        <v>295.25</v>
      </c>
      <c r="Q513" s="116">
        <v>5899.8</v>
      </c>
      <c r="R513">
        <v>229261</v>
      </c>
    </row>
    <row r="514" spans="1:18" x14ac:dyDescent="0.25">
      <c r="A514" s="170">
        <v>42758</v>
      </c>
      <c r="B514" s="116">
        <v>296.75</v>
      </c>
      <c r="C514" s="116">
        <v>295.15249999999997</v>
      </c>
      <c r="D514" s="116">
        <v>294</v>
      </c>
      <c r="E514" s="116">
        <v>295.34249999999997</v>
      </c>
      <c r="F514" s="116">
        <v>5903.05</v>
      </c>
      <c r="G514">
        <v>1848</v>
      </c>
      <c r="H514" s="116"/>
      <c r="I514" s="116"/>
      <c r="L514" s="170">
        <v>42758</v>
      </c>
      <c r="M514" s="116">
        <v>296.20249999999999</v>
      </c>
      <c r="N514" s="116">
        <v>297.0025</v>
      </c>
      <c r="O514" s="116">
        <v>292.70249999999999</v>
      </c>
      <c r="P514" s="116">
        <v>292.70249999999999</v>
      </c>
      <c r="Q514" s="116">
        <v>5924.05</v>
      </c>
      <c r="R514">
        <v>19862</v>
      </c>
    </row>
    <row r="515" spans="1:18" x14ac:dyDescent="0.25">
      <c r="A515" s="170">
        <v>42759</v>
      </c>
      <c r="B515" s="116">
        <v>299.95</v>
      </c>
      <c r="C515" s="116">
        <v>298.10000000000002</v>
      </c>
      <c r="D515" s="116">
        <v>294.5</v>
      </c>
      <c r="E515" s="116">
        <v>295.03250000000003</v>
      </c>
      <c r="F515" s="116">
        <v>5962</v>
      </c>
      <c r="G515">
        <v>1233</v>
      </c>
      <c r="H515" s="116"/>
      <c r="I515" s="116"/>
      <c r="L515" s="170">
        <v>42759</v>
      </c>
      <c r="M515" s="116">
        <v>297.88749999999999</v>
      </c>
      <c r="N515" s="116">
        <v>299.95</v>
      </c>
      <c r="O515" s="116">
        <v>294.08249999999998</v>
      </c>
      <c r="P515" s="116">
        <v>295.76</v>
      </c>
      <c r="Q515" s="116">
        <v>5957.75</v>
      </c>
      <c r="R515">
        <v>18514</v>
      </c>
    </row>
    <row r="516" spans="1:18" x14ac:dyDescent="0.25">
      <c r="A516" s="170">
        <v>42760</v>
      </c>
      <c r="B516" s="116">
        <v>301.14999999999998</v>
      </c>
      <c r="C516" s="116">
        <v>298.39</v>
      </c>
      <c r="D516" s="116">
        <v>297.05</v>
      </c>
      <c r="E516" s="116">
        <v>298.39999999999998</v>
      </c>
      <c r="F516" s="116">
        <v>5967.8</v>
      </c>
      <c r="G516">
        <v>2786</v>
      </c>
      <c r="H516" s="116"/>
      <c r="I516" s="116"/>
      <c r="L516" s="170">
        <v>42760</v>
      </c>
      <c r="M516" s="116">
        <v>298.29750000000001</v>
      </c>
      <c r="N516" s="116">
        <v>299.64999999999998</v>
      </c>
      <c r="O516" s="116">
        <v>296</v>
      </c>
      <c r="P516" s="116">
        <v>298.9975</v>
      </c>
      <c r="Q516" s="116">
        <v>5965.95</v>
      </c>
      <c r="R516">
        <v>76075</v>
      </c>
    </row>
    <row r="517" spans="1:18" x14ac:dyDescent="0.25">
      <c r="A517" s="170">
        <v>42762</v>
      </c>
      <c r="B517" s="116">
        <v>300.45</v>
      </c>
      <c r="C517" s="116">
        <v>296.07249999999999</v>
      </c>
      <c r="D517" s="116">
        <v>293.5</v>
      </c>
      <c r="E517" s="116">
        <v>298.5</v>
      </c>
      <c r="F517" s="116">
        <v>5921.45</v>
      </c>
      <c r="G517">
        <v>4246</v>
      </c>
      <c r="H517" s="116"/>
      <c r="I517" s="116"/>
      <c r="L517" s="170">
        <v>42762</v>
      </c>
      <c r="M517" s="116">
        <v>295.70999999999998</v>
      </c>
      <c r="N517" s="116">
        <v>300.25</v>
      </c>
      <c r="O517" s="116">
        <v>292.55</v>
      </c>
      <c r="P517" s="116">
        <v>298.75</v>
      </c>
      <c r="Q517" s="116">
        <v>5914.2</v>
      </c>
      <c r="R517">
        <v>35907</v>
      </c>
    </row>
    <row r="518" spans="1:18" x14ac:dyDescent="0.25">
      <c r="A518" s="170">
        <v>42765</v>
      </c>
      <c r="B518" s="116">
        <v>299.2</v>
      </c>
      <c r="C518" s="116">
        <v>294.99</v>
      </c>
      <c r="D518" s="116">
        <v>294.3</v>
      </c>
      <c r="E518" s="116">
        <v>298.99</v>
      </c>
      <c r="F518" s="116">
        <v>5899.8</v>
      </c>
      <c r="G518">
        <v>4778</v>
      </c>
      <c r="H518" s="116"/>
      <c r="I518" s="116"/>
      <c r="L518" s="170">
        <v>42765</v>
      </c>
      <c r="M518" s="116">
        <v>294.97500000000002</v>
      </c>
      <c r="N518" s="116">
        <v>298.75</v>
      </c>
      <c r="O518" s="116">
        <v>294</v>
      </c>
      <c r="P518" s="116">
        <v>298.31</v>
      </c>
      <c r="Q518" s="116">
        <v>5899.5</v>
      </c>
      <c r="R518">
        <v>41985</v>
      </c>
    </row>
    <row r="519" spans="1:18" x14ac:dyDescent="0.25">
      <c r="A519" s="170">
        <v>42766</v>
      </c>
      <c r="B519" s="116">
        <v>297.5</v>
      </c>
      <c r="C519" s="116">
        <v>292.11</v>
      </c>
      <c r="D519" s="116">
        <v>291.4975</v>
      </c>
      <c r="E519" s="116">
        <v>294.99</v>
      </c>
      <c r="F519" s="116">
        <v>5842.2</v>
      </c>
      <c r="G519">
        <v>2966</v>
      </c>
      <c r="H519" s="116"/>
      <c r="I519" s="116"/>
      <c r="L519" s="170">
        <v>42766</v>
      </c>
      <c r="M519" s="116">
        <v>292.59249999999997</v>
      </c>
      <c r="N519" s="116">
        <v>296</v>
      </c>
      <c r="O519" s="116">
        <v>291.39999999999998</v>
      </c>
      <c r="P519" s="116">
        <v>294.10000000000002</v>
      </c>
      <c r="Q519" s="116">
        <v>5851.85</v>
      </c>
      <c r="R519">
        <v>227693</v>
      </c>
    </row>
    <row r="520" spans="1:18" x14ac:dyDescent="0.25">
      <c r="A520" s="170">
        <v>42767</v>
      </c>
      <c r="B520" s="116">
        <v>296.29500000000002</v>
      </c>
      <c r="C520" s="116">
        <v>295.45249999999999</v>
      </c>
      <c r="D520" s="116">
        <v>292.14999999999998</v>
      </c>
      <c r="E520" s="116">
        <v>292.14999999999998</v>
      </c>
      <c r="F520" s="116">
        <v>5909.05</v>
      </c>
      <c r="G520">
        <v>18006</v>
      </c>
      <c r="H520" s="116"/>
      <c r="I520" s="116"/>
      <c r="L520" s="170">
        <v>42767</v>
      </c>
      <c r="M520" s="116">
        <v>295.6225</v>
      </c>
      <c r="N520" s="116">
        <v>296.75</v>
      </c>
      <c r="O520" s="116">
        <v>291.73750000000001</v>
      </c>
      <c r="P520" s="116">
        <v>294.89999999999998</v>
      </c>
      <c r="Q520" s="116">
        <v>5912.45</v>
      </c>
      <c r="R520">
        <v>18509</v>
      </c>
    </row>
    <row r="521" spans="1:18" x14ac:dyDescent="0.25">
      <c r="A521" s="170">
        <v>42768</v>
      </c>
      <c r="B521" s="116">
        <v>301.75</v>
      </c>
      <c r="C521" s="116">
        <v>300.29500000000002</v>
      </c>
      <c r="D521" s="116">
        <v>294</v>
      </c>
      <c r="E521" s="116">
        <v>295.89749999999998</v>
      </c>
      <c r="F521" s="116">
        <v>6005.9</v>
      </c>
      <c r="G521">
        <v>2268</v>
      </c>
      <c r="H521" s="116"/>
      <c r="I521" s="116"/>
      <c r="L521" s="170">
        <v>42768</v>
      </c>
      <c r="M521" s="116">
        <v>299.71499999999997</v>
      </c>
      <c r="N521" s="116">
        <v>301.5</v>
      </c>
      <c r="O521" s="116">
        <v>294.25</v>
      </c>
      <c r="P521" s="116">
        <v>296.7</v>
      </c>
      <c r="Q521" s="116">
        <v>5994.3</v>
      </c>
      <c r="R521">
        <v>28641</v>
      </c>
    </row>
    <row r="522" spans="1:18" x14ac:dyDescent="0.25">
      <c r="A522" s="170">
        <v>42769</v>
      </c>
      <c r="B522" s="116">
        <v>306.07499999999999</v>
      </c>
      <c r="C522" s="116">
        <v>303.92750000000001</v>
      </c>
      <c r="D522" s="116">
        <v>299.55500000000001</v>
      </c>
      <c r="E522" s="116">
        <v>300.29500000000002</v>
      </c>
      <c r="F522" s="116">
        <v>6078.55</v>
      </c>
      <c r="G522">
        <v>2970</v>
      </c>
      <c r="H522" s="116"/>
      <c r="I522" s="116"/>
      <c r="L522" s="170">
        <v>42769</v>
      </c>
      <c r="M522" s="116">
        <v>304.42500000000001</v>
      </c>
      <c r="N522" s="116">
        <v>307.25</v>
      </c>
      <c r="O522" s="116">
        <v>298.55</v>
      </c>
      <c r="P522" s="116">
        <v>299.99</v>
      </c>
      <c r="Q522" s="116">
        <v>6088.5</v>
      </c>
      <c r="R522">
        <v>25689</v>
      </c>
    </row>
    <row r="523" spans="1:18" x14ac:dyDescent="0.25">
      <c r="A523" s="170">
        <v>42772</v>
      </c>
      <c r="B523" s="116">
        <v>316.2</v>
      </c>
      <c r="C523" s="116">
        <v>314.16500000000002</v>
      </c>
      <c r="D523" s="116">
        <v>304</v>
      </c>
      <c r="E523" s="116">
        <v>304.5</v>
      </c>
      <c r="F523" s="116">
        <v>6283.3</v>
      </c>
      <c r="G523">
        <v>5568</v>
      </c>
      <c r="H523" s="116"/>
      <c r="I523" s="116"/>
      <c r="L523" s="170">
        <v>42772</v>
      </c>
      <c r="M523" s="116">
        <v>315.27499999999998</v>
      </c>
      <c r="N523" s="116">
        <v>317.3</v>
      </c>
      <c r="O523" s="116">
        <v>304.25</v>
      </c>
      <c r="P523" s="116">
        <v>304.25</v>
      </c>
      <c r="Q523" s="116">
        <v>6305.5</v>
      </c>
      <c r="R523">
        <v>30113</v>
      </c>
    </row>
    <row r="524" spans="1:18" x14ac:dyDescent="0.25">
      <c r="A524" s="170">
        <v>42773</v>
      </c>
      <c r="B524" s="116">
        <v>316.64999999999998</v>
      </c>
      <c r="C524" s="116">
        <v>307.77</v>
      </c>
      <c r="D524" s="116">
        <v>305.495</v>
      </c>
      <c r="E524" s="116">
        <v>314.9975</v>
      </c>
      <c r="F524" s="116">
        <v>6155.4</v>
      </c>
      <c r="G524">
        <v>5197</v>
      </c>
      <c r="H524" s="116"/>
      <c r="I524" s="116"/>
      <c r="L524" s="170">
        <v>42773</v>
      </c>
      <c r="M524" s="116">
        <v>306.41250000000002</v>
      </c>
      <c r="N524" s="116">
        <v>317.5</v>
      </c>
      <c r="O524" s="116">
        <v>303.75</v>
      </c>
      <c r="P524" s="116">
        <v>315</v>
      </c>
      <c r="Q524" s="116">
        <v>6128.25</v>
      </c>
      <c r="R524">
        <v>35284</v>
      </c>
    </row>
    <row r="525" spans="1:18" x14ac:dyDescent="0.25">
      <c r="A525" s="170">
        <v>42774</v>
      </c>
      <c r="B525" s="116">
        <v>313.7</v>
      </c>
      <c r="C525" s="116">
        <v>308.45</v>
      </c>
      <c r="D525" s="116">
        <v>305.5</v>
      </c>
      <c r="E525" s="116">
        <v>308.745</v>
      </c>
      <c r="F525" s="116">
        <v>6169</v>
      </c>
      <c r="G525">
        <v>1112</v>
      </c>
      <c r="H525" s="116"/>
      <c r="I525" s="116"/>
      <c r="L525" s="170">
        <v>42774</v>
      </c>
      <c r="M525" s="116">
        <v>309.65499999999997</v>
      </c>
      <c r="N525" s="116">
        <v>310.5</v>
      </c>
      <c r="O525" s="116">
        <v>307</v>
      </c>
      <c r="P525" s="116">
        <v>309.7475</v>
      </c>
      <c r="Q525" s="116">
        <v>6193.1</v>
      </c>
      <c r="R525">
        <v>34358</v>
      </c>
    </row>
    <row r="526" spans="1:18" x14ac:dyDescent="0.25">
      <c r="A526" s="170">
        <v>42775</v>
      </c>
      <c r="B526" s="116">
        <v>310.5</v>
      </c>
      <c r="C526" s="116">
        <v>308.77749999999997</v>
      </c>
      <c r="D526" s="116">
        <v>305.55500000000001</v>
      </c>
      <c r="E526" s="116">
        <v>308.55</v>
      </c>
      <c r="F526" s="116">
        <v>6175.55</v>
      </c>
      <c r="G526">
        <v>6534</v>
      </c>
      <c r="H526" s="116"/>
      <c r="I526" s="116"/>
      <c r="L526" s="170">
        <v>42775</v>
      </c>
      <c r="M526" s="116">
        <v>309.83499999999998</v>
      </c>
      <c r="N526" s="116">
        <v>311</v>
      </c>
      <c r="O526" s="116">
        <v>306.89999999999998</v>
      </c>
      <c r="P526" s="116">
        <v>306.89999999999998</v>
      </c>
      <c r="Q526" s="116">
        <v>6196.7</v>
      </c>
      <c r="R526">
        <v>54513</v>
      </c>
    </row>
    <row r="527" spans="1:18" x14ac:dyDescent="0.25">
      <c r="A527" s="170">
        <v>42776</v>
      </c>
      <c r="B527" s="116">
        <v>310</v>
      </c>
      <c r="C527" s="116">
        <v>308.0625</v>
      </c>
      <c r="D527" s="116">
        <v>305.0025</v>
      </c>
      <c r="E527" s="116">
        <v>310</v>
      </c>
      <c r="F527" s="116">
        <v>6161.25</v>
      </c>
      <c r="G527">
        <v>994</v>
      </c>
      <c r="H527" s="116"/>
      <c r="I527" s="116"/>
      <c r="L527" s="170">
        <v>42776</v>
      </c>
      <c r="M527" s="116">
        <v>308.91000000000003</v>
      </c>
      <c r="N527" s="116">
        <v>310</v>
      </c>
      <c r="O527" s="116">
        <v>304.52999999999997</v>
      </c>
      <c r="P527" s="116">
        <v>309.75</v>
      </c>
      <c r="Q527" s="116">
        <v>6178.2</v>
      </c>
      <c r="R527">
        <v>35678</v>
      </c>
    </row>
    <row r="528" spans="1:18" x14ac:dyDescent="0.25">
      <c r="A528" s="170">
        <v>42779</v>
      </c>
      <c r="B528" s="116">
        <v>310.5</v>
      </c>
      <c r="C528" s="116">
        <v>309.03750000000002</v>
      </c>
      <c r="D528" s="116">
        <v>307.9975</v>
      </c>
      <c r="E528" s="116">
        <v>308</v>
      </c>
      <c r="F528" s="116">
        <v>6180.75</v>
      </c>
      <c r="G528">
        <v>2135</v>
      </c>
      <c r="H528" s="116"/>
      <c r="I528" s="116"/>
      <c r="L528" s="170">
        <v>42779</v>
      </c>
      <c r="M528" s="116">
        <v>310.00749999999999</v>
      </c>
      <c r="N528" s="116">
        <v>310.5</v>
      </c>
      <c r="O528" s="116">
        <v>308.0025</v>
      </c>
      <c r="P528" s="116">
        <v>308.0025</v>
      </c>
      <c r="Q528" s="116">
        <v>6200.15</v>
      </c>
      <c r="R528">
        <v>65600</v>
      </c>
    </row>
    <row r="529" spans="1:18" x14ac:dyDescent="0.25">
      <c r="A529" s="170">
        <v>42780</v>
      </c>
      <c r="B529" s="116">
        <v>310.89749999999998</v>
      </c>
      <c r="C529" s="116">
        <v>310.49</v>
      </c>
      <c r="D529" s="116">
        <v>306.66250000000002</v>
      </c>
      <c r="E529" s="116">
        <v>309</v>
      </c>
      <c r="F529" s="116">
        <v>6209.8</v>
      </c>
      <c r="G529">
        <v>2216</v>
      </c>
      <c r="H529" s="116"/>
      <c r="I529" s="116"/>
      <c r="L529" s="170">
        <v>42780</v>
      </c>
      <c r="M529" s="116">
        <v>309.65499999999997</v>
      </c>
      <c r="N529" s="116">
        <v>310.25</v>
      </c>
      <c r="O529" s="116">
        <v>305.7525</v>
      </c>
      <c r="P529" s="116">
        <v>310.0025</v>
      </c>
      <c r="Q529" s="116">
        <v>6193.1</v>
      </c>
      <c r="R529">
        <v>16393</v>
      </c>
    </row>
    <row r="530" spans="1:18" x14ac:dyDescent="0.25">
      <c r="A530" s="170">
        <v>42781</v>
      </c>
      <c r="B530" s="116">
        <v>312.64249999999998</v>
      </c>
      <c r="C530" s="116">
        <v>308.68</v>
      </c>
      <c r="D530" s="116">
        <v>308.13749999999999</v>
      </c>
      <c r="E530" s="116">
        <v>310.45</v>
      </c>
      <c r="F530" s="116">
        <v>6173.6</v>
      </c>
      <c r="G530">
        <v>3494</v>
      </c>
      <c r="H530" s="116"/>
      <c r="I530" s="116"/>
      <c r="L530" s="170">
        <v>42781</v>
      </c>
      <c r="M530" s="116">
        <v>308.46749999999997</v>
      </c>
      <c r="N530" s="116">
        <v>313.76749999999998</v>
      </c>
      <c r="O530" s="116">
        <v>307.05500000000001</v>
      </c>
      <c r="P530" s="116">
        <v>309.65499999999997</v>
      </c>
      <c r="Q530" s="116">
        <v>6169.35</v>
      </c>
      <c r="R530">
        <v>20218</v>
      </c>
    </row>
    <row r="531" spans="1:18" x14ac:dyDescent="0.25">
      <c r="A531" s="170">
        <v>42782</v>
      </c>
      <c r="B531" s="116">
        <v>311.25</v>
      </c>
      <c r="C531" s="116">
        <v>309.72000000000003</v>
      </c>
      <c r="D531" s="116">
        <v>297.86</v>
      </c>
      <c r="E531" s="116">
        <v>305.3</v>
      </c>
      <c r="F531" s="116">
        <v>6194.4</v>
      </c>
      <c r="G531">
        <v>3806</v>
      </c>
      <c r="H531" s="116"/>
      <c r="I531" s="116"/>
      <c r="L531" s="170">
        <v>42782</v>
      </c>
      <c r="M531" s="116">
        <v>310.39</v>
      </c>
      <c r="N531" s="116">
        <v>312.5</v>
      </c>
      <c r="O531" s="116">
        <v>298.11750000000001</v>
      </c>
      <c r="P531" s="116">
        <v>304.89999999999998</v>
      </c>
      <c r="Q531" s="116">
        <v>6207.8</v>
      </c>
      <c r="R531">
        <v>66496</v>
      </c>
    </row>
    <row r="532" spans="1:18" x14ac:dyDescent="0.25">
      <c r="A532" s="170">
        <v>42783</v>
      </c>
      <c r="B532" s="116">
        <v>313.34750000000003</v>
      </c>
      <c r="C532" s="116">
        <v>312.71249999999998</v>
      </c>
      <c r="D532" s="116">
        <v>306.05250000000001</v>
      </c>
      <c r="E532" s="116">
        <v>309.95</v>
      </c>
      <c r="F532" s="116">
        <v>6254.25</v>
      </c>
      <c r="G532">
        <v>2468</v>
      </c>
      <c r="H532" s="116"/>
      <c r="I532" s="116"/>
      <c r="L532" s="170">
        <v>42783</v>
      </c>
      <c r="M532" s="116">
        <v>312.02499999999998</v>
      </c>
      <c r="N532" s="116">
        <v>313.35000000000002</v>
      </c>
      <c r="O532" s="116">
        <v>306.25</v>
      </c>
      <c r="P532" s="116">
        <v>310.05</v>
      </c>
      <c r="Q532" s="116">
        <v>6240.5</v>
      </c>
      <c r="R532">
        <v>31485</v>
      </c>
    </row>
    <row r="533" spans="1:18" x14ac:dyDescent="0.25">
      <c r="A533" s="170">
        <v>42786</v>
      </c>
      <c r="B533" s="116">
        <v>314</v>
      </c>
      <c r="C533" s="116">
        <v>313.32499999999999</v>
      </c>
      <c r="D533" s="116">
        <v>308.05250000000001</v>
      </c>
      <c r="E533" s="116">
        <v>313.57499999999999</v>
      </c>
      <c r="F533" s="116">
        <v>6266.5</v>
      </c>
      <c r="G533">
        <v>1638</v>
      </c>
      <c r="H533" s="116"/>
      <c r="I533" s="116"/>
      <c r="L533" s="170">
        <v>42786</v>
      </c>
      <c r="M533" s="116">
        <v>314.20499999999998</v>
      </c>
      <c r="N533" s="116">
        <v>314.5</v>
      </c>
      <c r="O533" s="116">
        <v>307.75</v>
      </c>
      <c r="P533" s="116">
        <v>307.75</v>
      </c>
      <c r="Q533" s="116">
        <v>6284.1</v>
      </c>
      <c r="R533">
        <v>38912</v>
      </c>
    </row>
    <row r="534" spans="1:18" x14ac:dyDescent="0.25">
      <c r="A534" s="170">
        <v>42787</v>
      </c>
      <c r="B534" s="116">
        <v>321</v>
      </c>
      <c r="C534" s="116">
        <v>317.70499999999998</v>
      </c>
      <c r="D534" s="116">
        <v>313</v>
      </c>
      <c r="E534" s="116">
        <v>314.34750000000003</v>
      </c>
      <c r="F534" s="116">
        <v>6354.1</v>
      </c>
      <c r="G534">
        <v>4126</v>
      </c>
      <c r="H534" s="116"/>
      <c r="I534" s="116"/>
      <c r="L534" s="170">
        <v>42787</v>
      </c>
      <c r="M534" s="116">
        <v>318.82499999999999</v>
      </c>
      <c r="N534" s="116">
        <v>322.5</v>
      </c>
      <c r="O534" s="116">
        <v>311.06</v>
      </c>
      <c r="P534" s="116">
        <v>313.95</v>
      </c>
      <c r="Q534" s="116">
        <v>6376.5</v>
      </c>
      <c r="R534">
        <v>45913</v>
      </c>
    </row>
    <row r="535" spans="1:18" x14ac:dyDescent="0.25">
      <c r="A535" s="170">
        <v>42788</v>
      </c>
      <c r="B535" s="116">
        <v>320.45</v>
      </c>
      <c r="C535" s="116">
        <v>319.8175</v>
      </c>
      <c r="D535" s="116">
        <v>316.13749999999999</v>
      </c>
      <c r="E535" s="116">
        <v>318.05</v>
      </c>
      <c r="F535" s="116">
        <v>6396.35</v>
      </c>
      <c r="G535">
        <v>2169</v>
      </c>
      <c r="H535" s="116"/>
      <c r="I535" s="116"/>
      <c r="L535" s="170">
        <v>42788</v>
      </c>
      <c r="M535" s="116">
        <v>319.89</v>
      </c>
      <c r="N535" s="116">
        <v>321.5</v>
      </c>
      <c r="O535" s="116">
        <v>316.67500000000001</v>
      </c>
      <c r="P535" s="116">
        <v>320</v>
      </c>
      <c r="Q535" s="116">
        <v>6397.8</v>
      </c>
      <c r="R535">
        <v>15382</v>
      </c>
    </row>
    <row r="536" spans="1:18" x14ac:dyDescent="0.25">
      <c r="A536" s="170">
        <v>42789</v>
      </c>
      <c r="B536" s="116">
        <v>320.71499999999997</v>
      </c>
      <c r="C536" s="116">
        <v>318.33249999999998</v>
      </c>
      <c r="D536" s="116">
        <v>316.25</v>
      </c>
      <c r="E536" s="116">
        <v>318.69</v>
      </c>
      <c r="F536" s="116">
        <v>6366.65</v>
      </c>
      <c r="G536">
        <v>3479</v>
      </c>
      <c r="H536" s="116"/>
      <c r="I536" s="116"/>
      <c r="L536" s="170">
        <v>42789</v>
      </c>
      <c r="M536" s="116">
        <v>319.09249999999997</v>
      </c>
      <c r="N536" s="116">
        <v>320.75</v>
      </c>
      <c r="O536" s="116">
        <v>315.33</v>
      </c>
      <c r="P536" s="116">
        <v>318.7525</v>
      </c>
      <c r="Q536" s="116">
        <v>6381.85</v>
      </c>
      <c r="R536">
        <v>15034</v>
      </c>
    </row>
    <row r="537" spans="1:18" x14ac:dyDescent="0.25">
      <c r="A537" s="170">
        <v>42793</v>
      </c>
      <c r="B537" s="116">
        <v>320.01249999999999</v>
      </c>
      <c r="C537" s="116">
        <v>317.92250000000001</v>
      </c>
      <c r="D537" s="116">
        <v>316.77749999999997</v>
      </c>
      <c r="E537" s="116">
        <v>318.5</v>
      </c>
      <c r="F537" s="116">
        <v>6358.45</v>
      </c>
      <c r="G537">
        <v>3340</v>
      </c>
      <c r="H537" s="116"/>
      <c r="I537" s="116"/>
      <c r="L537" s="170">
        <v>42793</v>
      </c>
      <c r="M537" s="116">
        <v>316.98500000000001</v>
      </c>
      <c r="N537" s="116">
        <v>321</v>
      </c>
      <c r="O537" s="116">
        <v>315.5</v>
      </c>
      <c r="P537" s="116">
        <v>319.94499999999999</v>
      </c>
      <c r="Q537" s="116">
        <v>6339.7</v>
      </c>
      <c r="R537">
        <v>14282</v>
      </c>
    </row>
    <row r="538" spans="1:18" x14ac:dyDescent="0.25">
      <c r="A538" s="170">
        <v>42794</v>
      </c>
      <c r="B538" s="116">
        <v>318.75</v>
      </c>
      <c r="C538" s="116">
        <v>312.7525</v>
      </c>
      <c r="D538" s="116">
        <v>312.2475</v>
      </c>
      <c r="E538" s="116">
        <v>318.75</v>
      </c>
      <c r="F538" s="116">
        <v>6255.05</v>
      </c>
      <c r="G538">
        <v>4141</v>
      </c>
      <c r="H538" s="116"/>
      <c r="I538" s="116"/>
      <c r="L538" s="170">
        <v>42794</v>
      </c>
      <c r="M538" s="116">
        <v>312.71249999999998</v>
      </c>
      <c r="N538" s="116">
        <v>319.73750000000001</v>
      </c>
      <c r="O538" s="116">
        <v>311.5</v>
      </c>
      <c r="P538" s="116">
        <v>317.17</v>
      </c>
      <c r="Q538" s="116">
        <v>6254.25</v>
      </c>
      <c r="R538">
        <v>32595</v>
      </c>
    </row>
    <row r="539" spans="1:18" x14ac:dyDescent="0.25">
      <c r="A539" s="170">
        <v>42795</v>
      </c>
      <c r="B539" s="116">
        <v>314.29750000000001</v>
      </c>
      <c r="C539" s="116">
        <v>311.58999999999997</v>
      </c>
      <c r="D539" s="116">
        <v>310.8</v>
      </c>
      <c r="E539" s="116">
        <v>312.7525</v>
      </c>
      <c r="F539" s="116">
        <v>6231.8</v>
      </c>
      <c r="G539">
        <v>856</v>
      </c>
      <c r="H539" s="116"/>
      <c r="I539" s="116"/>
      <c r="L539" s="170">
        <v>42795</v>
      </c>
      <c r="M539" s="116">
        <v>312.52</v>
      </c>
      <c r="N539" s="116">
        <v>316.2</v>
      </c>
      <c r="O539" s="116">
        <v>311.64999999999998</v>
      </c>
      <c r="P539" s="116">
        <v>311.75749999999999</v>
      </c>
      <c r="Q539" s="116">
        <v>6250.4</v>
      </c>
      <c r="R539">
        <v>9522</v>
      </c>
    </row>
    <row r="540" spans="1:18" x14ac:dyDescent="0.25">
      <c r="A540" s="170">
        <v>42796</v>
      </c>
      <c r="B540" s="116">
        <v>314.71499999999997</v>
      </c>
      <c r="C540" s="116">
        <v>309.08999999999997</v>
      </c>
      <c r="D540" s="116">
        <v>307.51249999999999</v>
      </c>
      <c r="E540" s="116">
        <v>314.71499999999997</v>
      </c>
      <c r="F540" s="116">
        <v>6181.8</v>
      </c>
      <c r="G540">
        <v>843</v>
      </c>
      <c r="H540" s="116"/>
      <c r="I540" s="116"/>
      <c r="L540" s="170">
        <v>42796</v>
      </c>
      <c r="M540" s="116">
        <v>309.88</v>
      </c>
      <c r="N540" s="116">
        <v>315</v>
      </c>
      <c r="O540" s="116">
        <v>307.39999999999998</v>
      </c>
      <c r="P540" s="116">
        <v>313</v>
      </c>
      <c r="Q540" s="116">
        <v>6197.6</v>
      </c>
      <c r="R540">
        <v>25500</v>
      </c>
    </row>
    <row r="541" spans="1:18" x14ac:dyDescent="0.25">
      <c r="A541" s="170">
        <v>42797</v>
      </c>
      <c r="B541" s="116">
        <v>310.22000000000003</v>
      </c>
      <c r="C541" s="116">
        <v>308.72500000000002</v>
      </c>
      <c r="D541" s="116">
        <v>307.5</v>
      </c>
      <c r="E541" s="116">
        <v>309.25</v>
      </c>
      <c r="F541" s="116">
        <v>6174.5</v>
      </c>
      <c r="G541">
        <v>477</v>
      </c>
      <c r="H541" s="116"/>
      <c r="I541" s="116"/>
      <c r="L541" s="170">
        <v>42797</v>
      </c>
      <c r="M541" s="116">
        <v>309.47750000000002</v>
      </c>
      <c r="N541" s="116">
        <v>311.75</v>
      </c>
      <c r="O541" s="116">
        <v>308.21499999999997</v>
      </c>
      <c r="P541" s="116">
        <v>309.50749999999999</v>
      </c>
      <c r="Q541" s="116">
        <v>6189.55</v>
      </c>
      <c r="R541">
        <v>31558</v>
      </c>
    </row>
    <row r="542" spans="1:18" x14ac:dyDescent="0.25">
      <c r="A542" s="170">
        <v>42800</v>
      </c>
      <c r="B542" s="116">
        <v>314.63249999999999</v>
      </c>
      <c r="C542" s="116">
        <v>313.58999999999997</v>
      </c>
      <c r="D542" s="116">
        <v>308.45</v>
      </c>
      <c r="E542" s="116">
        <v>309.39999999999998</v>
      </c>
      <c r="F542" s="116">
        <v>6271.8</v>
      </c>
      <c r="G542">
        <v>1503</v>
      </c>
      <c r="H542" s="116"/>
      <c r="I542" s="116"/>
      <c r="L542" s="170">
        <v>42800</v>
      </c>
      <c r="M542" s="116">
        <v>313.63499999999999</v>
      </c>
      <c r="N542" s="116">
        <v>315</v>
      </c>
      <c r="O542" s="116">
        <v>308.255</v>
      </c>
      <c r="P542" s="116">
        <v>308.255</v>
      </c>
      <c r="Q542" s="116">
        <v>6272.7</v>
      </c>
      <c r="R542">
        <v>9980</v>
      </c>
    </row>
    <row r="543" spans="1:18" x14ac:dyDescent="0.25">
      <c r="A543" s="170">
        <v>42801</v>
      </c>
      <c r="B543" s="116">
        <v>318.92750000000001</v>
      </c>
      <c r="C543" s="116">
        <v>315.1275</v>
      </c>
      <c r="D543" s="116">
        <v>309.60000000000002</v>
      </c>
      <c r="E543" s="116">
        <v>313.71749999999997</v>
      </c>
      <c r="F543" s="116">
        <v>6302.55</v>
      </c>
      <c r="G543">
        <v>3273</v>
      </c>
      <c r="H543" s="116"/>
      <c r="I543" s="116"/>
      <c r="L543" s="170">
        <v>42801</v>
      </c>
      <c r="M543" s="116">
        <v>315.95249999999999</v>
      </c>
      <c r="N543" s="116">
        <v>319.20749999999998</v>
      </c>
      <c r="O543" s="116">
        <v>309.5</v>
      </c>
      <c r="P543" s="116">
        <v>313.755</v>
      </c>
      <c r="Q543" s="116">
        <v>6319.05</v>
      </c>
      <c r="R543">
        <v>85668</v>
      </c>
    </row>
    <row r="544" spans="1:18" x14ac:dyDescent="0.25">
      <c r="A544" s="170">
        <v>42802</v>
      </c>
      <c r="B544" s="116">
        <v>317.10000000000002</v>
      </c>
      <c r="C544" s="116">
        <v>316.47250000000003</v>
      </c>
      <c r="D544" s="116">
        <v>313.45</v>
      </c>
      <c r="E544" s="116">
        <v>315</v>
      </c>
      <c r="F544" s="116">
        <v>6329.45</v>
      </c>
      <c r="G544">
        <v>2196</v>
      </c>
      <c r="H544" s="116"/>
      <c r="I544" s="116"/>
      <c r="L544" s="170">
        <v>42802</v>
      </c>
      <c r="M544" s="116">
        <v>317.32</v>
      </c>
      <c r="N544" s="116">
        <v>318.60500000000002</v>
      </c>
      <c r="O544" s="116">
        <v>313.14249999999998</v>
      </c>
      <c r="P544" s="116">
        <v>315.3075</v>
      </c>
      <c r="Q544" s="116">
        <v>6346.4</v>
      </c>
      <c r="R544">
        <v>12586</v>
      </c>
    </row>
    <row r="545" spans="1:18" x14ac:dyDescent="0.25">
      <c r="A545" s="170">
        <v>42803</v>
      </c>
      <c r="B545" s="116">
        <v>317.5</v>
      </c>
      <c r="C545" s="116">
        <v>310.45249999999999</v>
      </c>
      <c r="D545" s="116">
        <v>308.75</v>
      </c>
      <c r="E545" s="116">
        <v>316.75</v>
      </c>
      <c r="F545" s="116">
        <v>6209.05</v>
      </c>
      <c r="G545">
        <v>5442</v>
      </c>
      <c r="H545" s="116"/>
      <c r="I545" s="116"/>
      <c r="L545" s="170">
        <v>42803</v>
      </c>
      <c r="M545" s="116">
        <v>310.54000000000002</v>
      </c>
      <c r="N545" s="116">
        <v>318.25</v>
      </c>
      <c r="O545" s="116">
        <v>309</v>
      </c>
      <c r="P545" s="116">
        <v>318.25</v>
      </c>
      <c r="Q545" s="116">
        <v>6210.8</v>
      </c>
      <c r="R545">
        <v>24732</v>
      </c>
    </row>
    <row r="546" spans="1:18" x14ac:dyDescent="0.25">
      <c r="A546" s="170">
        <v>42804</v>
      </c>
      <c r="B546" s="116">
        <v>314.95</v>
      </c>
      <c r="C546" s="116">
        <v>307.18</v>
      </c>
      <c r="D546" s="116">
        <v>306.82749999999999</v>
      </c>
      <c r="E546" s="116">
        <v>311.89999999999998</v>
      </c>
      <c r="F546" s="116">
        <v>6143.6</v>
      </c>
      <c r="G546">
        <v>12805</v>
      </c>
      <c r="H546" s="116"/>
      <c r="I546" s="116"/>
      <c r="L546" s="170">
        <v>42804</v>
      </c>
      <c r="M546" s="116">
        <v>306.58749999999998</v>
      </c>
      <c r="N546" s="116">
        <v>313.495</v>
      </c>
      <c r="O546" s="116">
        <v>305.5</v>
      </c>
      <c r="P546" s="116">
        <v>313.495</v>
      </c>
      <c r="Q546" s="116">
        <v>6131.75</v>
      </c>
      <c r="R546">
        <v>19988</v>
      </c>
    </row>
    <row r="547" spans="1:18" x14ac:dyDescent="0.25">
      <c r="A547" s="170">
        <v>42808</v>
      </c>
      <c r="B547" s="116">
        <v>311.94749999999999</v>
      </c>
      <c r="C547" s="116">
        <v>305.71499999999997</v>
      </c>
      <c r="D547" s="116">
        <v>305.0625</v>
      </c>
      <c r="E547" s="116">
        <v>310.60750000000002</v>
      </c>
      <c r="F547" s="116">
        <v>6114.3</v>
      </c>
      <c r="G547">
        <v>5087</v>
      </c>
      <c r="H547" s="116"/>
      <c r="I547" s="116"/>
      <c r="L547" s="170">
        <v>42808</v>
      </c>
      <c r="M547" s="116">
        <v>305.97000000000003</v>
      </c>
      <c r="N547" s="116">
        <v>312.39999999999998</v>
      </c>
      <c r="O547" s="116">
        <v>304.56</v>
      </c>
      <c r="P547" s="116">
        <v>312.39999999999998</v>
      </c>
      <c r="Q547" s="116">
        <v>6119.4</v>
      </c>
      <c r="R547">
        <v>28535</v>
      </c>
    </row>
    <row r="548" spans="1:18" x14ac:dyDescent="0.25">
      <c r="A548" s="170">
        <v>42809</v>
      </c>
      <c r="B548" s="116">
        <v>309.39999999999998</v>
      </c>
      <c r="C548" s="116">
        <v>305.31</v>
      </c>
      <c r="D548" s="116">
        <v>304.25</v>
      </c>
      <c r="E548" s="116">
        <v>306.45999999999998</v>
      </c>
      <c r="F548" s="116">
        <v>6106.2</v>
      </c>
      <c r="G548">
        <v>1605</v>
      </c>
      <c r="H548" s="116"/>
      <c r="I548" s="116"/>
      <c r="L548" s="170">
        <v>42809</v>
      </c>
      <c r="M548" s="116">
        <v>305.2475</v>
      </c>
      <c r="N548" s="116">
        <v>308.04750000000001</v>
      </c>
      <c r="O548" s="116">
        <v>304.45</v>
      </c>
      <c r="P548" s="116">
        <v>307.5</v>
      </c>
      <c r="Q548" s="116">
        <v>6104.95</v>
      </c>
      <c r="R548">
        <v>46677</v>
      </c>
    </row>
    <row r="549" spans="1:18" x14ac:dyDescent="0.25">
      <c r="A549" s="170">
        <v>42810</v>
      </c>
      <c r="B549" s="116">
        <v>307.5</v>
      </c>
      <c r="C549" s="116">
        <v>306.74250000000001</v>
      </c>
      <c r="D549" s="116">
        <v>304.94749999999999</v>
      </c>
      <c r="E549" s="116">
        <v>305.35000000000002</v>
      </c>
      <c r="F549" s="116">
        <v>6134.85</v>
      </c>
      <c r="G549">
        <v>5021</v>
      </c>
      <c r="H549" s="116"/>
      <c r="I549" s="116"/>
      <c r="L549" s="170">
        <v>42810</v>
      </c>
      <c r="M549" s="116">
        <v>307.52</v>
      </c>
      <c r="N549" s="116">
        <v>308</v>
      </c>
      <c r="O549" s="116">
        <v>305</v>
      </c>
      <c r="P549" s="116">
        <v>307.25</v>
      </c>
      <c r="Q549" s="116">
        <v>6150.4</v>
      </c>
      <c r="R549">
        <v>44325</v>
      </c>
    </row>
    <row r="550" spans="1:18" x14ac:dyDescent="0.25">
      <c r="A550" s="170">
        <v>42811</v>
      </c>
      <c r="B550" s="116">
        <v>311.5</v>
      </c>
      <c r="C550" s="116">
        <v>310.245</v>
      </c>
      <c r="D550" s="116">
        <v>305.83</v>
      </c>
      <c r="E550" s="116">
        <v>307.45</v>
      </c>
      <c r="F550" s="116">
        <v>6204.9</v>
      </c>
      <c r="G550">
        <v>3687</v>
      </c>
      <c r="H550" s="116"/>
      <c r="I550" s="116"/>
      <c r="L550" s="170">
        <v>42811</v>
      </c>
      <c r="M550" s="116">
        <v>311.10500000000002</v>
      </c>
      <c r="N550" s="116">
        <v>312.45</v>
      </c>
      <c r="O550" s="116">
        <v>307.25</v>
      </c>
      <c r="P550" s="116">
        <v>307.7525</v>
      </c>
      <c r="Q550" s="116">
        <v>6222.1</v>
      </c>
      <c r="R550">
        <v>51300</v>
      </c>
    </row>
    <row r="551" spans="1:18" x14ac:dyDescent="0.25">
      <c r="A551" s="170">
        <v>42814</v>
      </c>
      <c r="B551" s="116">
        <v>315.04000000000002</v>
      </c>
      <c r="C551" s="116">
        <v>314.815</v>
      </c>
      <c r="D551" s="116">
        <v>309.9975</v>
      </c>
      <c r="E551" s="116">
        <v>312.45</v>
      </c>
      <c r="F551" s="116">
        <v>6296.3</v>
      </c>
      <c r="G551">
        <v>4820</v>
      </c>
      <c r="H551" s="116"/>
      <c r="I551" s="116"/>
      <c r="L551" s="170">
        <v>42814</v>
      </c>
      <c r="M551" s="116">
        <v>314.83999999999997</v>
      </c>
      <c r="N551" s="116">
        <v>315</v>
      </c>
      <c r="O551" s="116">
        <v>310.5</v>
      </c>
      <c r="P551" s="116">
        <v>312.45</v>
      </c>
      <c r="Q551" s="116">
        <v>6296.8</v>
      </c>
      <c r="R551">
        <v>32611</v>
      </c>
    </row>
    <row r="552" spans="1:18" x14ac:dyDescent="0.25">
      <c r="A552" s="170">
        <v>42815</v>
      </c>
      <c r="B552" s="116">
        <v>317.2</v>
      </c>
      <c r="C552" s="116">
        <v>316.66500000000002</v>
      </c>
      <c r="D552" s="116">
        <v>312.75749999999999</v>
      </c>
      <c r="E552" s="116">
        <v>314.2</v>
      </c>
      <c r="F552" s="116">
        <v>6333.3</v>
      </c>
      <c r="G552">
        <v>5531</v>
      </c>
      <c r="H552" s="116"/>
      <c r="I552" s="116"/>
      <c r="L552" s="170">
        <v>42815</v>
      </c>
      <c r="M552" s="116">
        <v>316.76</v>
      </c>
      <c r="N552" s="116">
        <v>317.29750000000001</v>
      </c>
      <c r="O552" s="116">
        <v>312.75</v>
      </c>
      <c r="P552" s="116">
        <v>315</v>
      </c>
      <c r="Q552" s="116">
        <v>6335.2</v>
      </c>
      <c r="R552">
        <v>33563</v>
      </c>
    </row>
    <row r="553" spans="1:18" x14ac:dyDescent="0.25">
      <c r="A553" s="170">
        <v>42816</v>
      </c>
      <c r="B553" s="116">
        <v>317.45</v>
      </c>
      <c r="C553" s="116">
        <v>316.745</v>
      </c>
      <c r="D553" s="116">
        <v>312.97500000000002</v>
      </c>
      <c r="E553" s="116">
        <v>313.55250000000001</v>
      </c>
      <c r="F553" s="116">
        <v>6334.9</v>
      </c>
      <c r="G553">
        <v>2821</v>
      </c>
      <c r="H553" s="116"/>
      <c r="I553" s="116"/>
      <c r="L553" s="170">
        <v>42816</v>
      </c>
      <c r="M553" s="116">
        <v>317.08</v>
      </c>
      <c r="N553" s="116">
        <v>317.83</v>
      </c>
      <c r="O553" s="116">
        <v>312.745</v>
      </c>
      <c r="P553" s="116">
        <v>315.05</v>
      </c>
      <c r="Q553" s="116">
        <v>6341.6</v>
      </c>
      <c r="R553">
        <v>30771</v>
      </c>
    </row>
    <row r="554" spans="1:18" x14ac:dyDescent="0.25">
      <c r="A554" s="170">
        <v>42817</v>
      </c>
      <c r="B554" s="116">
        <v>318.25</v>
      </c>
      <c r="C554" s="116">
        <v>316.09500000000003</v>
      </c>
      <c r="D554" s="116">
        <v>314.5</v>
      </c>
      <c r="E554" s="116">
        <v>316.55</v>
      </c>
      <c r="F554" s="116">
        <v>6321.9</v>
      </c>
      <c r="G554">
        <v>2325</v>
      </c>
      <c r="H554" s="116"/>
      <c r="I554" s="116"/>
      <c r="L554" s="170">
        <v>42817</v>
      </c>
      <c r="M554" s="116">
        <v>316.91000000000003</v>
      </c>
      <c r="N554" s="116">
        <v>317.625</v>
      </c>
      <c r="O554" s="116">
        <v>314.06</v>
      </c>
      <c r="P554" s="116">
        <v>315.8</v>
      </c>
      <c r="Q554" s="116">
        <v>6338.2</v>
      </c>
      <c r="R554">
        <v>50703</v>
      </c>
    </row>
    <row r="555" spans="1:18" x14ac:dyDescent="0.25">
      <c r="A555" s="170">
        <v>42818</v>
      </c>
      <c r="B555" s="116">
        <v>317.75</v>
      </c>
      <c r="C555" s="116">
        <v>316.91250000000002</v>
      </c>
      <c r="D555" s="116">
        <v>313.89999999999998</v>
      </c>
      <c r="E555" s="116">
        <v>316.05</v>
      </c>
      <c r="F555" s="116">
        <v>6338.25</v>
      </c>
      <c r="G555">
        <v>2325</v>
      </c>
      <c r="H555" s="116"/>
      <c r="I555" s="116"/>
      <c r="L555" s="170">
        <v>42818</v>
      </c>
      <c r="M555" s="116">
        <v>317.6275</v>
      </c>
      <c r="N555" s="116">
        <v>319</v>
      </c>
      <c r="O555" s="116">
        <v>313.97250000000003</v>
      </c>
      <c r="P555" s="116">
        <v>316.34500000000003</v>
      </c>
      <c r="Q555" s="116">
        <v>6352.55</v>
      </c>
      <c r="R555">
        <v>22772</v>
      </c>
    </row>
    <row r="556" spans="1:18" x14ac:dyDescent="0.25">
      <c r="A556" s="170">
        <v>42821</v>
      </c>
      <c r="B556" s="116">
        <v>325</v>
      </c>
      <c r="C556" s="116">
        <v>321.89</v>
      </c>
      <c r="D556" s="116">
        <v>315.75</v>
      </c>
      <c r="E556" s="116">
        <v>317.58749999999998</v>
      </c>
      <c r="F556" s="116">
        <v>6437.8</v>
      </c>
      <c r="G556">
        <v>8762</v>
      </c>
      <c r="H556" s="116"/>
      <c r="I556" s="116"/>
      <c r="L556" s="170">
        <v>42821</v>
      </c>
      <c r="M556" s="116">
        <v>323.16750000000002</v>
      </c>
      <c r="N556" s="116">
        <v>324.95</v>
      </c>
      <c r="O556" s="116">
        <v>315.55</v>
      </c>
      <c r="P556" s="116">
        <v>319.14999999999998</v>
      </c>
      <c r="Q556" s="116">
        <v>6463.35</v>
      </c>
      <c r="R556">
        <v>18957</v>
      </c>
    </row>
    <row r="557" spans="1:18" x14ac:dyDescent="0.25">
      <c r="A557" s="170">
        <v>42822</v>
      </c>
      <c r="B557" s="116">
        <v>326.82749999999999</v>
      </c>
      <c r="C557" s="116">
        <v>324.89</v>
      </c>
      <c r="D557" s="116">
        <v>320.05250000000001</v>
      </c>
      <c r="E557" s="116">
        <v>323.2</v>
      </c>
      <c r="F557" s="116">
        <v>6497.8</v>
      </c>
      <c r="G557">
        <v>1790</v>
      </c>
      <c r="H557" s="116"/>
      <c r="I557" s="116"/>
      <c r="L557" s="170">
        <v>42822</v>
      </c>
      <c r="M557" s="116">
        <v>325.07499999999999</v>
      </c>
      <c r="N557" s="116">
        <v>327</v>
      </c>
      <c r="O557" s="116">
        <v>320.12</v>
      </c>
      <c r="P557" s="116">
        <v>323.16750000000002</v>
      </c>
      <c r="Q557" s="116">
        <v>6501.5</v>
      </c>
      <c r="R557">
        <v>19821</v>
      </c>
    </row>
    <row r="558" spans="1:18" x14ac:dyDescent="0.25">
      <c r="A558" s="170">
        <v>42823</v>
      </c>
      <c r="B558" s="116">
        <v>326.59750000000003</v>
      </c>
      <c r="C558" s="116">
        <v>323.67750000000001</v>
      </c>
      <c r="D558" s="116">
        <v>320</v>
      </c>
      <c r="E558" s="116">
        <v>325</v>
      </c>
      <c r="F558" s="116">
        <v>6473.55</v>
      </c>
      <c r="G558">
        <v>19759</v>
      </c>
      <c r="H558" s="116"/>
      <c r="I558" s="116"/>
      <c r="L558" s="170">
        <v>42823</v>
      </c>
      <c r="M558" s="116">
        <v>324.66000000000003</v>
      </c>
      <c r="N558" s="116">
        <v>326.25</v>
      </c>
      <c r="O558" s="116">
        <v>321</v>
      </c>
      <c r="P558" s="116">
        <v>325.5</v>
      </c>
      <c r="Q558" s="116">
        <v>6493.2</v>
      </c>
      <c r="R558">
        <v>64216</v>
      </c>
    </row>
    <row r="559" spans="1:18" x14ac:dyDescent="0.25">
      <c r="A559" s="170">
        <v>42824</v>
      </c>
      <c r="B559" s="116">
        <v>331.97500000000002</v>
      </c>
      <c r="C559" s="116">
        <v>330.29750000000001</v>
      </c>
      <c r="D559" s="116">
        <v>323.17250000000001</v>
      </c>
      <c r="E559" s="116">
        <v>323.67750000000001</v>
      </c>
      <c r="F559" s="116">
        <v>6605.95</v>
      </c>
      <c r="G559">
        <v>3946</v>
      </c>
      <c r="H559" s="116"/>
      <c r="I559" s="116"/>
      <c r="L559" s="170">
        <v>42824</v>
      </c>
      <c r="M559" s="116">
        <v>330.26</v>
      </c>
      <c r="N559" s="116">
        <v>331.96749999999997</v>
      </c>
      <c r="O559" s="116">
        <v>323.2475</v>
      </c>
      <c r="P559" s="116">
        <v>324.66000000000003</v>
      </c>
      <c r="Q559" s="116">
        <v>6605.2</v>
      </c>
      <c r="R559">
        <v>63730</v>
      </c>
    </row>
    <row r="560" spans="1:18" x14ac:dyDescent="0.25">
      <c r="A560" s="170">
        <v>42825</v>
      </c>
      <c r="B560" s="116">
        <v>334.4975</v>
      </c>
      <c r="C560" s="116">
        <v>334.06</v>
      </c>
      <c r="D560" s="116">
        <v>328</v>
      </c>
      <c r="E560" s="116">
        <v>330.03500000000003</v>
      </c>
      <c r="F560" s="116">
        <v>6681.2</v>
      </c>
      <c r="G560">
        <v>2617</v>
      </c>
      <c r="H560" s="116"/>
      <c r="I560" s="116"/>
      <c r="L560" s="170">
        <v>42825</v>
      </c>
      <c r="M560" s="116">
        <v>334.03250000000003</v>
      </c>
      <c r="N560" s="116">
        <v>336</v>
      </c>
      <c r="O560" s="116">
        <v>327.875</v>
      </c>
      <c r="P560" s="116">
        <v>330</v>
      </c>
      <c r="Q560" s="116">
        <v>6680.65</v>
      </c>
      <c r="R560">
        <v>41843</v>
      </c>
    </row>
    <row r="561" spans="1:18" x14ac:dyDescent="0.25">
      <c r="A561" s="170">
        <v>42828</v>
      </c>
      <c r="B561" s="116">
        <v>334</v>
      </c>
      <c r="C561" s="116">
        <v>328.84249999999997</v>
      </c>
      <c r="D561" s="116">
        <v>326.75</v>
      </c>
      <c r="E561" s="116">
        <v>334</v>
      </c>
      <c r="F561" s="116">
        <v>6576.85</v>
      </c>
      <c r="G561">
        <v>1046</v>
      </c>
      <c r="H561" s="116"/>
      <c r="I561" s="116"/>
      <c r="L561" s="170">
        <v>42828</v>
      </c>
      <c r="M561" s="116">
        <v>328.92750000000001</v>
      </c>
      <c r="N561" s="116">
        <v>333.3</v>
      </c>
      <c r="O561" s="116">
        <v>328.01749999999998</v>
      </c>
      <c r="P561" s="116">
        <v>330.60250000000002</v>
      </c>
      <c r="Q561" s="116">
        <v>6578.55</v>
      </c>
      <c r="R561">
        <v>11510</v>
      </c>
    </row>
    <row r="562" spans="1:18" x14ac:dyDescent="0.25">
      <c r="A562" s="170">
        <v>42830</v>
      </c>
      <c r="B562" s="116">
        <v>331.9975</v>
      </c>
      <c r="C562" s="116">
        <v>331.10500000000002</v>
      </c>
      <c r="D562" s="116">
        <v>328.5</v>
      </c>
      <c r="E562" s="116">
        <v>328.84249999999997</v>
      </c>
      <c r="F562" s="116">
        <v>6622.1</v>
      </c>
      <c r="G562">
        <v>1449</v>
      </c>
      <c r="H562" s="116"/>
      <c r="I562" s="116"/>
      <c r="L562" s="170">
        <v>42830</v>
      </c>
      <c r="M562" s="116">
        <v>331.40249999999997</v>
      </c>
      <c r="N562" s="116">
        <v>332.5</v>
      </c>
      <c r="O562" s="116">
        <v>327.55</v>
      </c>
      <c r="P562" s="116">
        <v>327.55</v>
      </c>
      <c r="Q562" s="116">
        <v>6628.05</v>
      </c>
      <c r="R562">
        <v>22845</v>
      </c>
    </row>
    <row r="563" spans="1:18" x14ac:dyDescent="0.25">
      <c r="A563" s="170">
        <v>42831</v>
      </c>
      <c r="B563" s="116">
        <v>331.995</v>
      </c>
      <c r="C563" s="116">
        <v>330.53</v>
      </c>
      <c r="D563" s="116">
        <v>329.26249999999999</v>
      </c>
      <c r="E563" s="116">
        <v>330</v>
      </c>
      <c r="F563" s="116">
        <v>6610.6</v>
      </c>
      <c r="G563">
        <v>1096</v>
      </c>
      <c r="H563" s="116"/>
      <c r="I563" s="116"/>
      <c r="L563" s="170">
        <v>42831</v>
      </c>
      <c r="M563" s="116">
        <v>330.84</v>
      </c>
      <c r="N563" s="116">
        <v>332.5</v>
      </c>
      <c r="O563" s="116">
        <v>329.8</v>
      </c>
      <c r="P563" s="116">
        <v>330</v>
      </c>
      <c r="Q563" s="116">
        <v>6616.8</v>
      </c>
      <c r="R563">
        <v>24871</v>
      </c>
    </row>
    <row r="564" spans="1:18" x14ac:dyDescent="0.25">
      <c r="A564" s="170">
        <v>42832</v>
      </c>
      <c r="B564" s="116">
        <v>331.7475</v>
      </c>
      <c r="C564" s="116">
        <v>330.375</v>
      </c>
      <c r="D564" s="116">
        <v>328.25</v>
      </c>
      <c r="E564" s="116">
        <v>330.5</v>
      </c>
      <c r="F564" s="116">
        <v>6607.5</v>
      </c>
      <c r="G564">
        <v>1176</v>
      </c>
      <c r="H564" s="116"/>
      <c r="I564" s="116"/>
      <c r="L564" s="170">
        <v>42832</v>
      </c>
      <c r="M564" s="116">
        <v>330.98500000000001</v>
      </c>
      <c r="N564" s="116">
        <v>332.2</v>
      </c>
      <c r="O564" s="116">
        <v>329.7</v>
      </c>
      <c r="P564" s="116">
        <v>330.3</v>
      </c>
      <c r="Q564" s="116">
        <v>6619.7</v>
      </c>
      <c r="R564">
        <v>24490</v>
      </c>
    </row>
    <row r="565" spans="1:18" x14ac:dyDescent="0.25">
      <c r="A565" s="170">
        <v>42835</v>
      </c>
      <c r="B565" s="116">
        <v>333.25</v>
      </c>
      <c r="C565" s="116">
        <v>330.42</v>
      </c>
      <c r="D565" s="116">
        <v>327.14499999999998</v>
      </c>
      <c r="E565" s="116">
        <v>333.25</v>
      </c>
      <c r="F565" s="116">
        <v>6608.4</v>
      </c>
      <c r="G565">
        <v>865</v>
      </c>
      <c r="H565" s="116"/>
      <c r="I565" s="116"/>
      <c r="L565" s="170">
        <v>42835</v>
      </c>
      <c r="M565" s="116">
        <v>331.42500000000001</v>
      </c>
      <c r="N565" s="116">
        <v>332.7</v>
      </c>
      <c r="O565" s="116">
        <v>326.86</v>
      </c>
      <c r="P565" s="116">
        <v>331.2</v>
      </c>
      <c r="Q565" s="116">
        <v>6628.5</v>
      </c>
      <c r="R565">
        <v>24268</v>
      </c>
    </row>
    <row r="566" spans="1:18" x14ac:dyDescent="0.25">
      <c r="A566" s="170">
        <v>42836</v>
      </c>
      <c r="B566" s="116">
        <v>330.47500000000002</v>
      </c>
      <c r="C566" s="116">
        <v>328.2525</v>
      </c>
      <c r="D566" s="116">
        <v>327.05</v>
      </c>
      <c r="E566" s="116">
        <v>330.47500000000002</v>
      </c>
      <c r="F566" s="116">
        <v>6565.05</v>
      </c>
      <c r="G566">
        <v>312</v>
      </c>
      <c r="H566" s="116"/>
      <c r="I566" s="116"/>
      <c r="L566" s="170">
        <v>42836</v>
      </c>
      <c r="M566" s="116">
        <v>327.96249999999998</v>
      </c>
      <c r="N566" s="116">
        <v>331.42750000000001</v>
      </c>
      <c r="O566" s="116">
        <v>326.88249999999999</v>
      </c>
      <c r="P566" s="116">
        <v>331.42500000000001</v>
      </c>
      <c r="Q566" s="116">
        <v>6559.25</v>
      </c>
      <c r="R566">
        <v>15965</v>
      </c>
    </row>
    <row r="567" spans="1:18" x14ac:dyDescent="0.25">
      <c r="A567" s="170">
        <v>42837</v>
      </c>
      <c r="B567" s="116">
        <v>329.95</v>
      </c>
      <c r="C567" s="116">
        <v>325.90249999999997</v>
      </c>
      <c r="D567" s="116">
        <v>322.2</v>
      </c>
      <c r="E567" s="116">
        <v>329.95</v>
      </c>
      <c r="F567" s="116">
        <v>6518.05</v>
      </c>
      <c r="G567">
        <v>1221</v>
      </c>
      <c r="H567" s="116"/>
      <c r="I567" s="116"/>
      <c r="L567" s="170">
        <v>42837</v>
      </c>
      <c r="M567" s="116">
        <v>325.935</v>
      </c>
      <c r="N567" s="116">
        <v>330</v>
      </c>
      <c r="O567" s="116">
        <v>320.75</v>
      </c>
      <c r="P567" s="116">
        <v>328.69749999999999</v>
      </c>
      <c r="Q567" s="116">
        <v>6518.7</v>
      </c>
      <c r="R567">
        <v>27166</v>
      </c>
    </row>
    <row r="568" spans="1:18" x14ac:dyDescent="0.25">
      <c r="A568" s="170">
        <v>42838</v>
      </c>
      <c r="B568" s="116">
        <v>327.25</v>
      </c>
      <c r="C568" s="116">
        <v>322.17500000000001</v>
      </c>
      <c r="D568" s="116">
        <v>320.42250000000001</v>
      </c>
      <c r="E568" s="116">
        <v>326.5</v>
      </c>
      <c r="F568" s="116">
        <v>6443.5</v>
      </c>
      <c r="G568">
        <v>1908</v>
      </c>
      <c r="H568" s="116"/>
      <c r="I568" s="116"/>
      <c r="L568" s="170">
        <v>42838</v>
      </c>
      <c r="M568" s="116">
        <v>321.91250000000002</v>
      </c>
      <c r="N568" s="116">
        <v>328</v>
      </c>
      <c r="O568" s="116">
        <v>320.15499999999997</v>
      </c>
      <c r="P568" s="116">
        <v>328</v>
      </c>
      <c r="Q568" s="116">
        <v>6438.25</v>
      </c>
      <c r="R568">
        <v>22923</v>
      </c>
    </row>
    <row r="569" spans="1:18" x14ac:dyDescent="0.25">
      <c r="A569" s="170">
        <v>42842</v>
      </c>
      <c r="B569" s="116">
        <v>325</v>
      </c>
      <c r="C569" s="116">
        <v>315.85000000000002</v>
      </c>
      <c r="D569" s="116">
        <v>315.01</v>
      </c>
      <c r="E569" s="116">
        <v>322.5</v>
      </c>
      <c r="F569" s="116">
        <v>6317</v>
      </c>
      <c r="G569">
        <v>3113</v>
      </c>
      <c r="H569" s="116"/>
      <c r="I569" s="116"/>
      <c r="L569" s="170">
        <v>42842</v>
      </c>
      <c r="M569" s="116">
        <v>315.60250000000002</v>
      </c>
      <c r="N569" s="116">
        <v>324.45</v>
      </c>
      <c r="O569" s="116">
        <v>315</v>
      </c>
      <c r="P569" s="116">
        <v>324.45</v>
      </c>
      <c r="Q569" s="116">
        <v>6312.05</v>
      </c>
      <c r="R569">
        <v>18421</v>
      </c>
    </row>
    <row r="570" spans="1:18" x14ac:dyDescent="0.25">
      <c r="A570" s="170">
        <v>42843</v>
      </c>
      <c r="B570" s="116">
        <v>318.25</v>
      </c>
      <c r="C570" s="116">
        <v>316.42</v>
      </c>
      <c r="D570" s="116">
        <v>315.40750000000003</v>
      </c>
      <c r="E570" s="116">
        <v>317.48250000000002</v>
      </c>
      <c r="F570" s="116">
        <v>6328.4</v>
      </c>
      <c r="G570">
        <v>1387</v>
      </c>
      <c r="H570" s="116"/>
      <c r="I570" s="116"/>
      <c r="L570" s="170">
        <v>42843</v>
      </c>
      <c r="M570" s="116">
        <v>316.89</v>
      </c>
      <c r="N570" s="116">
        <v>318.55</v>
      </c>
      <c r="O570" s="116">
        <v>315.61250000000001</v>
      </c>
      <c r="P570" s="116">
        <v>316.3</v>
      </c>
      <c r="Q570" s="116">
        <v>6337.8</v>
      </c>
      <c r="R570">
        <v>36733</v>
      </c>
    </row>
    <row r="571" spans="1:18" x14ac:dyDescent="0.25">
      <c r="A571" s="170">
        <v>42844</v>
      </c>
      <c r="B571" s="116">
        <v>317.05500000000001</v>
      </c>
      <c r="C571" s="116">
        <v>315.04000000000002</v>
      </c>
      <c r="D571" s="116">
        <v>314.505</v>
      </c>
      <c r="E571" s="116">
        <v>316.7</v>
      </c>
      <c r="F571" s="116">
        <v>6300.8</v>
      </c>
      <c r="G571">
        <v>703</v>
      </c>
      <c r="H571" s="116"/>
      <c r="I571" s="116"/>
      <c r="L571" s="170">
        <v>42844</v>
      </c>
      <c r="M571" s="116">
        <v>314.92750000000001</v>
      </c>
      <c r="N571" s="116">
        <v>317.2</v>
      </c>
      <c r="O571" s="116">
        <v>314</v>
      </c>
      <c r="P571" s="116">
        <v>315.75</v>
      </c>
      <c r="Q571" s="116">
        <v>6298.55</v>
      </c>
      <c r="R571">
        <v>14258</v>
      </c>
    </row>
    <row r="572" spans="1:18" x14ac:dyDescent="0.25">
      <c r="A572" s="170">
        <v>42845</v>
      </c>
      <c r="B572" s="116">
        <v>318.75</v>
      </c>
      <c r="C572" s="116">
        <v>317.30500000000001</v>
      </c>
      <c r="D572" s="116">
        <v>315.25</v>
      </c>
      <c r="E572" s="116">
        <v>317.45</v>
      </c>
      <c r="F572" s="116">
        <v>6346.1</v>
      </c>
      <c r="G572">
        <v>1630</v>
      </c>
      <c r="H572" s="116"/>
      <c r="I572" s="116"/>
      <c r="L572" s="170">
        <v>42845</v>
      </c>
      <c r="M572" s="116">
        <v>316.98750000000001</v>
      </c>
      <c r="N572" s="116">
        <v>319.44749999999999</v>
      </c>
      <c r="O572" s="116">
        <v>315</v>
      </c>
      <c r="P572" s="116">
        <v>318.505</v>
      </c>
      <c r="Q572" s="116">
        <v>6339.75</v>
      </c>
      <c r="R572">
        <v>14709</v>
      </c>
    </row>
    <row r="573" spans="1:18" x14ac:dyDescent="0.25">
      <c r="A573" s="170">
        <v>42846</v>
      </c>
      <c r="B573" s="116">
        <v>318.3</v>
      </c>
      <c r="C573" s="116">
        <v>316.435</v>
      </c>
      <c r="D573" s="116">
        <v>315.75</v>
      </c>
      <c r="E573" s="116">
        <v>317.5</v>
      </c>
      <c r="F573" s="116">
        <v>6328.7</v>
      </c>
      <c r="G573">
        <v>999</v>
      </c>
      <c r="H573" s="116"/>
      <c r="I573" s="116"/>
      <c r="L573" s="170">
        <v>42846</v>
      </c>
      <c r="M573" s="116">
        <v>317.685</v>
      </c>
      <c r="N573" s="116">
        <v>318.55</v>
      </c>
      <c r="O573" s="116">
        <v>315.14999999999998</v>
      </c>
      <c r="P573" s="116">
        <v>317.5</v>
      </c>
      <c r="Q573" s="116">
        <v>6353.7</v>
      </c>
      <c r="R573">
        <v>11992</v>
      </c>
    </row>
    <row r="574" spans="1:18" x14ac:dyDescent="0.25">
      <c r="A574" s="170">
        <v>42849</v>
      </c>
      <c r="B574" s="116">
        <v>317.79750000000001</v>
      </c>
      <c r="C574" s="116">
        <v>314.39999999999998</v>
      </c>
      <c r="D574" s="116">
        <v>313.10000000000002</v>
      </c>
      <c r="E574" s="116">
        <v>316.5</v>
      </c>
      <c r="F574" s="116">
        <v>6288</v>
      </c>
      <c r="G574">
        <v>4511</v>
      </c>
      <c r="H574" s="116"/>
      <c r="I574" s="116"/>
      <c r="L574" s="170">
        <v>42849</v>
      </c>
      <c r="M574" s="116">
        <v>314.39</v>
      </c>
      <c r="N574" s="116">
        <v>317.78750000000002</v>
      </c>
      <c r="O574" s="116">
        <v>313.38749999999999</v>
      </c>
      <c r="P574" s="116">
        <v>317.685</v>
      </c>
      <c r="Q574" s="116">
        <v>6287.8</v>
      </c>
      <c r="R574">
        <v>22792</v>
      </c>
    </row>
    <row r="575" spans="1:18" x14ac:dyDescent="0.25">
      <c r="A575" s="170">
        <v>42850</v>
      </c>
      <c r="B575" s="116">
        <v>317.67750000000001</v>
      </c>
      <c r="C575" s="116">
        <v>316.26249999999999</v>
      </c>
      <c r="D575" s="116">
        <v>315.05250000000001</v>
      </c>
      <c r="E575" s="116">
        <v>316.75</v>
      </c>
      <c r="F575" s="116">
        <v>6325.25</v>
      </c>
      <c r="G575">
        <v>4231</v>
      </c>
      <c r="H575" s="116"/>
      <c r="I575" s="116"/>
      <c r="L575" s="170">
        <v>42850</v>
      </c>
      <c r="M575" s="116">
        <v>316.15499999999997</v>
      </c>
      <c r="N575" s="116">
        <v>318.2</v>
      </c>
      <c r="O575" s="116">
        <v>314.5</v>
      </c>
      <c r="P575" s="116">
        <v>315</v>
      </c>
      <c r="Q575" s="116">
        <v>6323.1</v>
      </c>
      <c r="R575">
        <v>43876</v>
      </c>
    </row>
    <row r="576" spans="1:18" x14ac:dyDescent="0.25">
      <c r="A576" s="170">
        <v>42851</v>
      </c>
      <c r="B576" s="116">
        <v>322.45999999999998</v>
      </c>
      <c r="C576" s="116">
        <v>321.33999999999997</v>
      </c>
      <c r="D576" s="116">
        <v>315.5</v>
      </c>
      <c r="E576" s="116">
        <v>315.5</v>
      </c>
      <c r="F576" s="116">
        <v>6426.8</v>
      </c>
      <c r="G576">
        <v>43551</v>
      </c>
      <c r="H576" s="116"/>
      <c r="I576" s="116"/>
      <c r="L576" s="170">
        <v>42851</v>
      </c>
      <c r="M576" s="116">
        <v>321.21499999999997</v>
      </c>
      <c r="N576" s="116">
        <v>322.2</v>
      </c>
      <c r="O576" s="116">
        <v>315.5</v>
      </c>
      <c r="P576" s="116">
        <v>315.5</v>
      </c>
      <c r="Q576" s="116">
        <v>6424.3</v>
      </c>
      <c r="R576">
        <v>19546</v>
      </c>
    </row>
    <row r="577" spans="1:18" x14ac:dyDescent="0.25">
      <c r="A577" s="170">
        <v>42852</v>
      </c>
      <c r="B577" s="116">
        <v>337.45</v>
      </c>
      <c r="C577" s="116">
        <v>334.98500000000001</v>
      </c>
      <c r="D577" s="116">
        <v>321.3</v>
      </c>
      <c r="E577" s="116">
        <v>321.3</v>
      </c>
      <c r="F577" s="116">
        <v>6699.7</v>
      </c>
      <c r="G577">
        <v>8287</v>
      </c>
      <c r="H577" s="116"/>
      <c r="I577" s="116"/>
      <c r="L577" s="170">
        <v>42852</v>
      </c>
      <c r="M577" s="116">
        <v>335.10750000000002</v>
      </c>
      <c r="N577" s="116">
        <v>336.5</v>
      </c>
      <c r="O577" s="116">
        <v>321.38749999999999</v>
      </c>
      <c r="P577" s="116">
        <v>322.45</v>
      </c>
      <c r="Q577" s="116">
        <v>6702.15</v>
      </c>
      <c r="R577">
        <v>65906</v>
      </c>
    </row>
    <row r="578" spans="1:18" x14ac:dyDescent="0.25">
      <c r="A578" s="170">
        <v>42853</v>
      </c>
      <c r="B578" s="116">
        <v>338.9</v>
      </c>
      <c r="C578" s="116">
        <v>335.12</v>
      </c>
      <c r="D578" s="116">
        <v>333.15</v>
      </c>
      <c r="E578" s="116">
        <v>337.05</v>
      </c>
      <c r="F578" s="116">
        <v>6702.4</v>
      </c>
      <c r="G578">
        <v>4483</v>
      </c>
      <c r="H578" s="116"/>
      <c r="I578" s="116"/>
      <c r="L578" s="170">
        <v>42853</v>
      </c>
      <c r="M578" s="116">
        <v>334.88749999999999</v>
      </c>
      <c r="N578" s="116">
        <v>339.29500000000002</v>
      </c>
      <c r="O578" s="116">
        <v>333.51</v>
      </c>
      <c r="P578" s="116">
        <v>335</v>
      </c>
      <c r="Q578" s="116">
        <v>6697.75</v>
      </c>
      <c r="R578">
        <v>52935</v>
      </c>
    </row>
    <row r="579" spans="1:18" x14ac:dyDescent="0.25">
      <c r="A579" s="170">
        <v>42857</v>
      </c>
      <c r="B579" s="116">
        <v>336.76249999999999</v>
      </c>
      <c r="C579" s="116">
        <v>335.73</v>
      </c>
      <c r="D579" s="116">
        <v>334.52499999999998</v>
      </c>
      <c r="E579" s="116">
        <v>335.1</v>
      </c>
      <c r="F579" s="116">
        <v>6714.6</v>
      </c>
      <c r="G579">
        <v>2605</v>
      </c>
      <c r="H579" s="116"/>
      <c r="I579" s="116"/>
      <c r="L579" s="170">
        <v>42857</v>
      </c>
      <c r="M579" s="116">
        <v>335.7525</v>
      </c>
      <c r="N579" s="116">
        <v>337.34249999999997</v>
      </c>
      <c r="O579" s="116">
        <v>334.15249999999997</v>
      </c>
      <c r="P579" s="116">
        <v>336.19499999999999</v>
      </c>
      <c r="Q579" s="116">
        <v>6715.05</v>
      </c>
      <c r="R579">
        <v>37803</v>
      </c>
    </row>
    <row r="580" spans="1:18" x14ac:dyDescent="0.25">
      <c r="A580" s="170">
        <v>42858</v>
      </c>
      <c r="B580" s="116">
        <v>336.21499999999997</v>
      </c>
      <c r="C580" s="116">
        <v>335.24</v>
      </c>
      <c r="D580" s="116">
        <v>334.5025</v>
      </c>
      <c r="E580" s="116">
        <v>335.73</v>
      </c>
      <c r="F580" s="116">
        <v>6704.8</v>
      </c>
      <c r="G580">
        <v>681</v>
      </c>
      <c r="H580" s="116"/>
      <c r="I580" s="116"/>
      <c r="L580" s="170">
        <v>42858</v>
      </c>
      <c r="M580" s="116">
        <v>335.77749999999997</v>
      </c>
      <c r="N580" s="116">
        <v>336.75</v>
      </c>
      <c r="O580" s="116">
        <v>334.5</v>
      </c>
      <c r="P580" s="116">
        <v>336.25</v>
      </c>
      <c r="Q580" s="116">
        <v>6715.55</v>
      </c>
      <c r="R580">
        <v>23900</v>
      </c>
    </row>
    <row r="581" spans="1:18" x14ac:dyDescent="0.25">
      <c r="A581" s="170">
        <v>42859</v>
      </c>
      <c r="B581" s="116">
        <v>337.45</v>
      </c>
      <c r="C581" s="116">
        <v>336.53250000000003</v>
      </c>
      <c r="D581" s="116">
        <v>335.17</v>
      </c>
      <c r="E581" s="116">
        <v>335.25</v>
      </c>
      <c r="F581" s="116">
        <v>6730.65</v>
      </c>
      <c r="G581">
        <v>13153</v>
      </c>
      <c r="H581" s="116"/>
      <c r="I581" s="116"/>
      <c r="L581" s="170">
        <v>42859</v>
      </c>
      <c r="M581" s="116">
        <v>336.77499999999998</v>
      </c>
      <c r="N581" s="116">
        <v>337.75</v>
      </c>
      <c r="O581" s="116">
        <v>334.5</v>
      </c>
      <c r="P581" s="116">
        <v>334.5</v>
      </c>
      <c r="Q581" s="116">
        <v>6735.5</v>
      </c>
      <c r="R581">
        <v>18029</v>
      </c>
    </row>
    <row r="582" spans="1:18" x14ac:dyDescent="0.25">
      <c r="A582" s="170">
        <v>42860</v>
      </c>
      <c r="B582" s="116">
        <v>336.75</v>
      </c>
      <c r="C582" s="116">
        <v>336.1225</v>
      </c>
      <c r="D582" s="116">
        <v>333.3</v>
      </c>
      <c r="E582" s="116">
        <v>336.75</v>
      </c>
      <c r="F582" s="116">
        <v>6722.45</v>
      </c>
      <c r="G582">
        <v>3027</v>
      </c>
      <c r="H582" s="116"/>
      <c r="I582" s="116"/>
      <c r="L582" s="170">
        <v>42860</v>
      </c>
      <c r="M582" s="116">
        <v>336.32249999999999</v>
      </c>
      <c r="N582" s="116">
        <v>337.495</v>
      </c>
      <c r="O582" s="116">
        <v>333.40249999999997</v>
      </c>
      <c r="P582" s="116">
        <v>336.75</v>
      </c>
      <c r="Q582" s="116">
        <v>6726.45</v>
      </c>
      <c r="R582">
        <v>23426</v>
      </c>
    </row>
    <row r="583" spans="1:18" x14ac:dyDescent="0.25">
      <c r="A583" s="170">
        <v>42863</v>
      </c>
      <c r="B583" s="116">
        <v>337.5</v>
      </c>
      <c r="C583" s="116">
        <v>335.04750000000001</v>
      </c>
      <c r="D583" s="116">
        <v>332</v>
      </c>
      <c r="E583" s="116">
        <v>336.6875</v>
      </c>
      <c r="F583" s="116">
        <v>6700.95</v>
      </c>
      <c r="G583">
        <v>30074</v>
      </c>
      <c r="H583" s="116"/>
      <c r="I583" s="116"/>
      <c r="L583" s="170">
        <v>42863</v>
      </c>
      <c r="M583" s="116">
        <v>335.45749999999998</v>
      </c>
      <c r="N583" s="116">
        <v>337.4</v>
      </c>
      <c r="O583" s="116">
        <v>331.60500000000002</v>
      </c>
      <c r="P583" s="116">
        <v>335.1</v>
      </c>
      <c r="Q583" s="116">
        <v>6709.15</v>
      </c>
      <c r="R583">
        <v>17322</v>
      </c>
    </row>
    <row r="584" spans="1:18" x14ac:dyDescent="0.25">
      <c r="A584" s="170">
        <v>42864</v>
      </c>
      <c r="B584" s="116">
        <v>336.3775</v>
      </c>
      <c r="C584" s="116">
        <v>335.14749999999998</v>
      </c>
      <c r="D584" s="116">
        <v>333.90499999999997</v>
      </c>
      <c r="E584" s="116">
        <v>335.75</v>
      </c>
      <c r="F584" s="116">
        <v>6702.95</v>
      </c>
      <c r="G584">
        <v>1809</v>
      </c>
      <c r="H584" s="116"/>
      <c r="I584" s="116"/>
      <c r="L584" s="170">
        <v>42864</v>
      </c>
      <c r="M584" s="116">
        <v>335.24</v>
      </c>
      <c r="N584" s="116">
        <v>336.245</v>
      </c>
      <c r="O584" s="116">
        <v>333.92</v>
      </c>
      <c r="P584" s="116">
        <v>335.45749999999998</v>
      </c>
      <c r="Q584" s="116">
        <v>6704.8</v>
      </c>
      <c r="R584">
        <v>10751</v>
      </c>
    </row>
    <row r="585" spans="1:18" x14ac:dyDescent="0.25">
      <c r="A585" s="170">
        <v>42865</v>
      </c>
      <c r="B585" s="116">
        <v>349.77499999999998</v>
      </c>
      <c r="C585" s="116">
        <v>345.95749999999998</v>
      </c>
      <c r="D585" s="116">
        <v>335.5</v>
      </c>
      <c r="E585" s="116">
        <v>335.5</v>
      </c>
      <c r="F585" s="116">
        <v>6919.15</v>
      </c>
      <c r="G585">
        <v>9926</v>
      </c>
      <c r="H585" s="116"/>
      <c r="I585" s="116"/>
      <c r="L585" s="170">
        <v>42865</v>
      </c>
      <c r="M585" s="116">
        <v>346.01749999999998</v>
      </c>
      <c r="N585" s="116">
        <v>350</v>
      </c>
      <c r="O585" s="116">
        <v>335.0025</v>
      </c>
      <c r="P585" s="116">
        <v>335.58249999999998</v>
      </c>
      <c r="Q585" s="116">
        <v>6920.35</v>
      </c>
      <c r="R585">
        <v>100390</v>
      </c>
    </row>
    <row r="586" spans="1:18" x14ac:dyDescent="0.25">
      <c r="A586" s="170">
        <v>42866</v>
      </c>
      <c r="B586" s="116">
        <v>349.6</v>
      </c>
      <c r="C586" s="116">
        <v>342.60500000000002</v>
      </c>
      <c r="D586" s="116">
        <v>341.69499999999999</v>
      </c>
      <c r="E586" s="116">
        <v>349.47500000000002</v>
      </c>
      <c r="F586" s="116">
        <v>6852.1</v>
      </c>
      <c r="G586">
        <v>75480</v>
      </c>
      <c r="H586" s="116"/>
      <c r="I586" s="116"/>
      <c r="L586" s="170">
        <v>42866</v>
      </c>
      <c r="M586" s="116">
        <v>342.82749999999999</v>
      </c>
      <c r="N586" s="116">
        <v>349.22500000000002</v>
      </c>
      <c r="O586" s="116">
        <v>341.56</v>
      </c>
      <c r="P586" s="116">
        <v>348.9</v>
      </c>
      <c r="Q586" s="116">
        <v>6856.55</v>
      </c>
      <c r="R586">
        <v>23533</v>
      </c>
    </row>
    <row r="587" spans="1:18" x14ac:dyDescent="0.25">
      <c r="A587" s="170">
        <v>42867</v>
      </c>
      <c r="B587" s="116">
        <v>345.45</v>
      </c>
      <c r="C587" s="116">
        <v>340.97750000000002</v>
      </c>
      <c r="D587" s="116">
        <v>339.02</v>
      </c>
      <c r="E587" s="116">
        <v>345.45</v>
      </c>
      <c r="F587" s="116">
        <v>6819.55</v>
      </c>
      <c r="G587">
        <v>34388</v>
      </c>
      <c r="H587" s="116"/>
      <c r="I587" s="116"/>
      <c r="L587" s="170">
        <v>42867</v>
      </c>
      <c r="M587" s="116">
        <v>341.07</v>
      </c>
      <c r="N587" s="116">
        <v>344.94749999999999</v>
      </c>
      <c r="O587" s="116">
        <v>339.03</v>
      </c>
      <c r="P587" s="116">
        <v>342.85250000000002</v>
      </c>
      <c r="Q587" s="116">
        <v>6821.4</v>
      </c>
      <c r="R587">
        <v>86982</v>
      </c>
    </row>
    <row r="588" spans="1:18" x14ac:dyDescent="0.25">
      <c r="A588" s="170">
        <v>42870</v>
      </c>
      <c r="B588" s="116">
        <v>339</v>
      </c>
      <c r="C588" s="116">
        <v>330.57</v>
      </c>
      <c r="D588" s="116">
        <v>329.05</v>
      </c>
      <c r="E588" s="116">
        <v>339</v>
      </c>
      <c r="F588" s="116">
        <v>6611.4</v>
      </c>
      <c r="G588">
        <v>10805</v>
      </c>
      <c r="H588" s="116"/>
      <c r="I588" s="116"/>
      <c r="L588" s="170">
        <v>42870</v>
      </c>
      <c r="M588" s="116">
        <v>330.49</v>
      </c>
      <c r="N588" s="116">
        <v>337.54750000000001</v>
      </c>
      <c r="O588" s="116">
        <v>329.1</v>
      </c>
      <c r="P588" s="116">
        <v>336.05</v>
      </c>
      <c r="Q588" s="116">
        <v>6609.8</v>
      </c>
      <c r="R588">
        <v>75940</v>
      </c>
    </row>
    <row r="589" spans="1:18" x14ac:dyDescent="0.25">
      <c r="A589" s="170">
        <v>42871</v>
      </c>
      <c r="B589" s="116">
        <v>330.69749999999999</v>
      </c>
      <c r="C589" s="116">
        <v>323.8125</v>
      </c>
      <c r="D589" s="116">
        <v>322.54000000000002</v>
      </c>
      <c r="E589" s="116">
        <v>330.57</v>
      </c>
      <c r="F589" s="116">
        <v>6476.25</v>
      </c>
      <c r="G589">
        <v>5603</v>
      </c>
      <c r="H589" s="116"/>
      <c r="I589" s="116"/>
      <c r="L589" s="170">
        <v>42871</v>
      </c>
      <c r="M589" s="116">
        <v>323.95999999999998</v>
      </c>
      <c r="N589" s="116">
        <v>331.59750000000003</v>
      </c>
      <c r="O589" s="116">
        <v>322.5</v>
      </c>
      <c r="P589" s="116">
        <v>330.8</v>
      </c>
      <c r="Q589" s="116">
        <v>6479.2</v>
      </c>
      <c r="R589">
        <v>49015</v>
      </c>
    </row>
    <row r="590" spans="1:18" x14ac:dyDescent="0.25">
      <c r="A590" s="170">
        <v>42872</v>
      </c>
      <c r="B590" s="116">
        <v>329</v>
      </c>
      <c r="C590" s="116">
        <v>327.73250000000002</v>
      </c>
      <c r="D590" s="116">
        <v>326</v>
      </c>
      <c r="E590" s="116">
        <v>326.04000000000002</v>
      </c>
      <c r="F590" s="116">
        <v>6554.65</v>
      </c>
      <c r="G590">
        <v>2426</v>
      </c>
      <c r="H590" s="116"/>
      <c r="I590" s="116"/>
      <c r="L590" s="170">
        <v>42872</v>
      </c>
      <c r="M590" s="116">
        <v>327.88</v>
      </c>
      <c r="N590" s="116">
        <v>328.75</v>
      </c>
      <c r="O590" s="116">
        <v>324.94749999999999</v>
      </c>
      <c r="P590" s="116">
        <v>325</v>
      </c>
      <c r="Q590" s="116">
        <v>6557.6</v>
      </c>
      <c r="R590">
        <v>26258</v>
      </c>
    </row>
    <row r="591" spans="1:18" x14ac:dyDescent="0.25">
      <c r="A591" s="170">
        <v>42873</v>
      </c>
      <c r="B591" s="116">
        <v>328.57249999999999</v>
      </c>
      <c r="C591" s="116">
        <v>326.38249999999999</v>
      </c>
      <c r="D591" s="116">
        <v>325.39999999999998</v>
      </c>
      <c r="E591" s="116">
        <v>327.8</v>
      </c>
      <c r="F591" s="116">
        <v>6527.65</v>
      </c>
      <c r="G591">
        <v>13156</v>
      </c>
      <c r="H591" s="116"/>
      <c r="I591" s="116"/>
      <c r="L591" s="170">
        <v>42873</v>
      </c>
      <c r="M591" s="116">
        <v>326.47250000000003</v>
      </c>
      <c r="N591" s="116">
        <v>329.2</v>
      </c>
      <c r="O591" s="116">
        <v>325.2</v>
      </c>
      <c r="P591" s="116">
        <v>325.5025</v>
      </c>
      <c r="Q591" s="116">
        <v>6529.45</v>
      </c>
      <c r="R591">
        <v>58301</v>
      </c>
    </row>
    <row r="592" spans="1:18" x14ac:dyDescent="0.25">
      <c r="A592" s="170">
        <v>42874</v>
      </c>
      <c r="B592" s="116">
        <v>330.73500000000001</v>
      </c>
      <c r="C592" s="116">
        <v>326.52</v>
      </c>
      <c r="D592" s="116">
        <v>323.71249999999998</v>
      </c>
      <c r="E592" s="116">
        <v>327.5</v>
      </c>
      <c r="F592" s="116">
        <v>6530.4</v>
      </c>
      <c r="G592">
        <v>18797</v>
      </c>
      <c r="H592" s="116"/>
      <c r="I592" s="116"/>
      <c r="L592" s="170">
        <v>42874</v>
      </c>
      <c r="M592" s="116">
        <v>326.70249999999999</v>
      </c>
      <c r="N592" s="116">
        <v>330.43</v>
      </c>
      <c r="O592" s="116">
        <v>323.14749999999998</v>
      </c>
      <c r="P592" s="116">
        <v>327.95</v>
      </c>
      <c r="Q592" s="116">
        <v>6534.05</v>
      </c>
      <c r="R592">
        <v>29045</v>
      </c>
    </row>
    <row r="593" spans="1:18" x14ac:dyDescent="0.25">
      <c r="A593" s="170">
        <v>42877</v>
      </c>
      <c r="B593" s="116">
        <v>332.47</v>
      </c>
      <c r="C593" s="116">
        <v>328.745</v>
      </c>
      <c r="D593" s="116">
        <v>326.52</v>
      </c>
      <c r="E593" s="116">
        <v>326.52</v>
      </c>
      <c r="F593" s="116">
        <v>6574.9</v>
      </c>
      <c r="G593">
        <v>4033</v>
      </c>
      <c r="H593" s="116"/>
      <c r="I593" s="116"/>
      <c r="L593" s="170">
        <v>42877</v>
      </c>
      <c r="M593" s="116">
        <v>329.79250000000002</v>
      </c>
      <c r="N593" s="116">
        <v>332.245</v>
      </c>
      <c r="O593" s="116">
        <v>325.55</v>
      </c>
      <c r="P593" s="116">
        <v>325.55</v>
      </c>
      <c r="Q593" s="116">
        <v>6595.85</v>
      </c>
      <c r="R593">
        <v>23406</v>
      </c>
    </row>
    <row r="594" spans="1:18" x14ac:dyDescent="0.25">
      <c r="A594" s="170">
        <v>42878</v>
      </c>
      <c r="B594" s="116">
        <v>333.48</v>
      </c>
      <c r="C594" s="116">
        <v>328.44749999999999</v>
      </c>
      <c r="D594" s="116">
        <v>326.2</v>
      </c>
      <c r="E594" s="116">
        <v>332</v>
      </c>
      <c r="F594" s="116">
        <v>6568.95</v>
      </c>
      <c r="G594">
        <v>8458</v>
      </c>
      <c r="H594" s="116"/>
      <c r="I594" s="116"/>
      <c r="L594" s="170">
        <v>42878</v>
      </c>
      <c r="M594" s="116">
        <v>329.22500000000002</v>
      </c>
      <c r="N594" s="116">
        <v>334.37</v>
      </c>
      <c r="O594" s="116">
        <v>325.33249999999998</v>
      </c>
      <c r="P594" s="116">
        <v>329.79250000000002</v>
      </c>
      <c r="Q594" s="116">
        <v>6584.5</v>
      </c>
      <c r="R594">
        <v>48490</v>
      </c>
    </row>
    <row r="595" spans="1:18" x14ac:dyDescent="0.25">
      <c r="A595" s="170">
        <v>42879</v>
      </c>
      <c r="B595" s="116">
        <v>329.80500000000001</v>
      </c>
      <c r="C595" s="116">
        <v>326.32249999999999</v>
      </c>
      <c r="D595" s="116">
        <v>324.24250000000001</v>
      </c>
      <c r="E595" s="116">
        <v>328.54500000000002</v>
      </c>
      <c r="F595" s="116">
        <v>6526.45</v>
      </c>
      <c r="G595">
        <v>5137</v>
      </c>
      <c r="H595" s="116"/>
      <c r="I595" s="116"/>
      <c r="L595" s="170">
        <v>42879</v>
      </c>
      <c r="M595" s="116">
        <v>326.35250000000002</v>
      </c>
      <c r="N595" s="116">
        <v>329.56</v>
      </c>
      <c r="O595" s="116">
        <v>324.5</v>
      </c>
      <c r="P595" s="116">
        <v>329.56</v>
      </c>
      <c r="Q595" s="116">
        <v>6527.05</v>
      </c>
      <c r="R595">
        <v>55967</v>
      </c>
    </row>
    <row r="596" spans="1:18" x14ac:dyDescent="0.25">
      <c r="A596" s="170">
        <v>42880</v>
      </c>
      <c r="B596" s="116">
        <v>328.55</v>
      </c>
      <c r="C596" s="116">
        <v>325.29500000000002</v>
      </c>
      <c r="D596" s="116">
        <v>323.75</v>
      </c>
      <c r="E596" s="116">
        <v>328.45</v>
      </c>
      <c r="F596" s="116">
        <v>6505.9</v>
      </c>
      <c r="G596">
        <v>4168</v>
      </c>
      <c r="H596" s="116"/>
      <c r="I596" s="116"/>
      <c r="L596" s="170">
        <v>42880</v>
      </c>
      <c r="M596" s="116">
        <v>324.92250000000001</v>
      </c>
      <c r="N596" s="116">
        <v>329</v>
      </c>
      <c r="O596" s="116">
        <v>323.5</v>
      </c>
      <c r="P596" s="116">
        <v>327.75</v>
      </c>
      <c r="Q596" s="116">
        <v>6498.45</v>
      </c>
      <c r="R596">
        <v>49980</v>
      </c>
    </row>
    <row r="597" spans="1:18" x14ac:dyDescent="0.25">
      <c r="A597" s="170">
        <v>42881</v>
      </c>
      <c r="B597" s="116">
        <v>336.25</v>
      </c>
      <c r="C597" s="116">
        <v>331.9425</v>
      </c>
      <c r="D597" s="116">
        <v>326.52749999999997</v>
      </c>
      <c r="E597" s="116">
        <v>327.9</v>
      </c>
      <c r="F597" s="116">
        <v>6638.85</v>
      </c>
      <c r="G597">
        <v>26719</v>
      </c>
      <c r="H597" s="116"/>
      <c r="I597" s="116"/>
      <c r="L597" s="170">
        <v>42881</v>
      </c>
      <c r="M597" s="116">
        <v>332.42750000000001</v>
      </c>
      <c r="N597" s="116">
        <v>336.96</v>
      </c>
      <c r="O597" s="116">
        <v>326.315</v>
      </c>
      <c r="P597" s="116">
        <v>327.45</v>
      </c>
      <c r="Q597" s="116">
        <v>6648.55</v>
      </c>
      <c r="R597">
        <v>91240</v>
      </c>
    </row>
    <row r="598" spans="1:18" x14ac:dyDescent="0.25">
      <c r="A598" s="170">
        <v>42884</v>
      </c>
      <c r="B598" s="116">
        <v>334.73250000000002</v>
      </c>
      <c r="C598" s="116">
        <v>330.71749999999997</v>
      </c>
      <c r="D598" s="116">
        <v>327.71499999999997</v>
      </c>
      <c r="E598" s="116">
        <v>332.25</v>
      </c>
      <c r="F598" s="116">
        <v>6614.35</v>
      </c>
      <c r="G598">
        <v>4773</v>
      </c>
      <c r="H598" s="116"/>
      <c r="I598" s="116"/>
      <c r="L598" s="170">
        <v>42884</v>
      </c>
      <c r="M598" s="116">
        <v>330.86750000000001</v>
      </c>
      <c r="N598" s="116">
        <v>333.55250000000001</v>
      </c>
      <c r="O598" s="116">
        <v>329.10250000000002</v>
      </c>
      <c r="P598" s="116">
        <v>330.55</v>
      </c>
      <c r="Q598" s="116">
        <v>6617.35</v>
      </c>
      <c r="R598">
        <v>57795</v>
      </c>
    </row>
    <row r="599" spans="1:18" x14ac:dyDescent="0.25">
      <c r="A599" s="170">
        <v>42885</v>
      </c>
      <c r="B599" s="116">
        <v>331.8</v>
      </c>
      <c r="C599" s="116">
        <v>330.245</v>
      </c>
      <c r="D599" s="116">
        <v>328.39</v>
      </c>
      <c r="E599" s="116">
        <v>331.18</v>
      </c>
      <c r="F599" s="116">
        <v>6604.9</v>
      </c>
      <c r="G599">
        <v>24783</v>
      </c>
      <c r="H599" s="116"/>
      <c r="I599" s="116"/>
      <c r="L599" s="170">
        <v>42885</v>
      </c>
      <c r="M599" s="116">
        <v>330.04</v>
      </c>
      <c r="N599" s="116">
        <v>332.72250000000003</v>
      </c>
      <c r="O599" s="116">
        <v>328.505</v>
      </c>
      <c r="P599" s="116">
        <v>330.08499999999998</v>
      </c>
      <c r="Q599" s="116">
        <v>6600.8</v>
      </c>
      <c r="R599">
        <v>10564</v>
      </c>
    </row>
    <row r="600" spans="1:18" x14ac:dyDescent="0.25">
      <c r="A600" s="170">
        <v>42886</v>
      </c>
      <c r="B600" s="116">
        <v>334.25</v>
      </c>
      <c r="C600" s="116">
        <v>332.85750000000002</v>
      </c>
      <c r="D600" s="116">
        <v>331.1825</v>
      </c>
      <c r="E600" s="116">
        <v>333</v>
      </c>
      <c r="F600" s="116">
        <v>6657.15</v>
      </c>
      <c r="G600">
        <v>1132</v>
      </c>
      <c r="H600" s="116"/>
      <c r="I600" s="116"/>
      <c r="L600" s="170">
        <v>42886</v>
      </c>
      <c r="M600" s="116">
        <v>332.255</v>
      </c>
      <c r="N600" s="116">
        <v>334.51499999999999</v>
      </c>
      <c r="O600" s="116">
        <v>330.3775</v>
      </c>
      <c r="P600" s="116">
        <v>330.3775</v>
      </c>
      <c r="Q600" s="116">
        <v>6645.1</v>
      </c>
      <c r="R600">
        <v>81114</v>
      </c>
    </row>
    <row r="601" spans="1:18" x14ac:dyDescent="0.25">
      <c r="A601" s="170">
        <v>42887</v>
      </c>
      <c r="B601" s="116">
        <v>332.5</v>
      </c>
      <c r="C601" s="116">
        <v>329.9975</v>
      </c>
      <c r="D601" s="116">
        <v>327.60750000000002</v>
      </c>
      <c r="E601" s="116">
        <v>332.2</v>
      </c>
      <c r="F601" s="116">
        <v>6599.95</v>
      </c>
      <c r="G601">
        <v>66271</v>
      </c>
      <c r="H601" s="116"/>
      <c r="I601" s="116"/>
      <c r="L601" s="170">
        <v>42887</v>
      </c>
      <c r="M601" s="116">
        <v>330.29250000000002</v>
      </c>
      <c r="N601" s="116">
        <v>332.3075</v>
      </c>
      <c r="O601" s="116">
        <v>327.3</v>
      </c>
      <c r="P601" s="116">
        <v>332.1</v>
      </c>
      <c r="Q601" s="116">
        <v>6605.85</v>
      </c>
      <c r="R601">
        <v>20315</v>
      </c>
    </row>
    <row r="602" spans="1:18" x14ac:dyDescent="0.25">
      <c r="A602" s="170">
        <v>42888</v>
      </c>
      <c r="B602" s="116">
        <v>333.37</v>
      </c>
      <c r="C602" s="116">
        <v>332.24</v>
      </c>
      <c r="D602" s="116">
        <v>330.75</v>
      </c>
      <c r="E602" s="116">
        <v>333.36750000000001</v>
      </c>
      <c r="F602" s="116">
        <v>6644.8</v>
      </c>
      <c r="G602">
        <v>765</v>
      </c>
      <c r="H602" s="116"/>
      <c r="I602" s="116"/>
      <c r="L602" s="170">
        <v>42888</v>
      </c>
      <c r="M602" s="116">
        <v>332.43</v>
      </c>
      <c r="N602" s="116">
        <v>334.55250000000001</v>
      </c>
      <c r="O602" s="116">
        <v>330.4975</v>
      </c>
      <c r="P602" s="116">
        <v>330.8</v>
      </c>
      <c r="Q602" s="116">
        <v>6648.6</v>
      </c>
      <c r="R602">
        <v>29991</v>
      </c>
    </row>
    <row r="603" spans="1:18" x14ac:dyDescent="0.25">
      <c r="A603" s="170">
        <v>42891</v>
      </c>
      <c r="B603" s="116">
        <v>339.5</v>
      </c>
      <c r="C603" s="116">
        <v>336.23500000000001</v>
      </c>
      <c r="D603" s="116">
        <v>331.92500000000001</v>
      </c>
      <c r="E603" s="116">
        <v>332.5025</v>
      </c>
      <c r="F603" s="116">
        <v>6724.7</v>
      </c>
      <c r="G603">
        <v>1974</v>
      </c>
      <c r="H603" s="116"/>
      <c r="I603" s="116"/>
      <c r="L603" s="170">
        <v>42891</v>
      </c>
      <c r="M603" s="116">
        <v>335.71</v>
      </c>
      <c r="N603" s="116">
        <v>339.9</v>
      </c>
      <c r="O603" s="116">
        <v>331.76</v>
      </c>
      <c r="P603" s="116">
        <v>333.95</v>
      </c>
      <c r="Q603" s="116">
        <v>6714.2</v>
      </c>
      <c r="R603">
        <v>34741</v>
      </c>
    </row>
    <row r="604" spans="1:18" x14ac:dyDescent="0.25">
      <c r="A604" s="170">
        <v>42892</v>
      </c>
      <c r="B604" s="116">
        <v>337.2475</v>
      </c>
      <c r="C604" s="116">
        <v>333.96</v>
      </c>
      <c r="D604" s="116">
        <v>330.65</v>
      </c>
      <c r="E604" s="116">
        <v>337.15</v>
      </c>
      <c r="F604" s="116">
        <v>6679.2</v>
      </c>
      <c r="G604">
        <v>1390</v>
      </c>
      <c r="H604" s="116"/>
      <c r="I604" s="116"/>
      <c r="L604" s="170">
        <v>42892</v>
      </c>
      <c r="M604" s="116">
        <v>333.86</v>
      </c>
      <c r="N604" s="116">
        <v>337.5</v>
      </c>
      <c r="O604" s="116">
        <v>330.48500000000001</v>
      </c>
      <c r="P604" s="116">
        <v>336</v>
      </c>
      <c r="Q604" s="116">
        <v>6677.2</v>
      </c>
      <c r="R604">
        <v>18460</v>
      </c>
    </row>
    <row r="605" spans="1:18" x14ac:dyDescent="0.25">
      <c r="A605" s="170">
        <v>42893</v>
      </c>
      <c r="B605" s="116">
        <v>335.5</v>
      </c>
      <c r="C605" s="116">
        <v>333.40750000000003</v>
      </c>
      <c r="D605" s="116">
        <v>332.29250000000002</v>
      </c>
      <c r="E605" s="116">
        <v>333.85</v>
      </c>
      <c r="F605" s="116">
        <v>6668.15</v>
      </c>
      <c r="G605">
        <v>7712</v>
      </c>
      <c r="H605" s="116"/>
      <c r="I605" s="116"/>
      <c r="L605" s="170">
        <v>42893</v>
      </c>
      <c r="M605" s="116">
        <v>333.49</v>
      </c>
      <c r="N605" s="116">
        <v>336</v>
      </c>
      <c r="O605" s="116">
        <v>331.77749999999997</v>
      </c>
      <c r="P605" s="116">
        <v>333.5</v>
      </c>
      <c r="Q605" s="116">
        <v>6669.8</v>
      </c>
      <c r="R605">
        <v>32691</v>
      </c>
    </row>
    <row r="606" spans="1:18" x14ac:dyDescent="0.25">
      <c r="A606" s="170">
        <v>42894</v>
      </c>
      <c r="B606" s="116">
        <v>336.25</v>
      </c>
      <c r="C606" s="116">
        <v>333.97750000000002</v>
      </c>
      <c r="D606" s="116">
        <v>331.01</v>
      </c>
      <c r="E606" s="116">
        <v>333.5</v>
      </c>
      <c r="F606" s="116">
        <v>6679.55</v>
      </c>
      <c r="G606">
        <v>35424</v>
      </c>
      <c r="H606" s="116"/>
      <c r="I606" s="116"/>
      <c r="L606" s="170">
        <v>42894</v>
      </c>
      <c r="M606" s="116">
        <v>332.59249999999997</v>
      </c>
      <c r="N606" s="116">
        <v>335.245</v>
      </c>
      <c r="O606" s="116">
        <v>330.55</v>
      </c>
      <c r="P606" s="116">
        <v>333.45</v>
      </c>
      <c r="Q606" s="116">
        <v>6651.85</v>
      </c>
      <c r="R606">
        <v>32379</v>
      </c>
    </row>
    <row r="607" spans="1:18" x14ac:dyDescent="0.25">
      <c r="A607" s="170">
        <v>42895</v>
      </c>
      <c r="B607" s="116">
        <v>334.91500000000002</v>
      </c>
      <c r="C607" s="116">
        <v>333.3725</v>
      </c>
      <c r="D607" s="116">
        <v>330.85250000000002</v>
      </c>
      <c r="E607" s="116">
        <v>332.59249999999997</v>
      </c>
      <c r="F607" s="116">
        <v>6667.45</v>
      </c>
      <c r="G607">
        <v>1479</v>
      </c>
      <c r="H607" s="116"/>
      <c r="I607" s="116"/>
      <c r="L607" s="170">
        <v>42895</v>
      </c>
      <c r="M607" s="116">
        <v>333.375</v>
      </c>
      <c r="N607" s="116">
        <v>335.5</v>
      </c>
      <c r="O607" s="116">
        <v>331.48500000000001</v>
      </c>
      <c r="P607" s="116">
        <v>332.6</v>
      </c>
      <c r="Q607" s="116">
        <v>6667.5</v>
      </c>
      <c r="R607">
        <v>24558</v>
      </c>
    </row>
    <row r="608" spans="1:18" x14ac:dyDescent="0.25">
      <c r="A608" s="170">
        <v>42898</v>
      </c>
      <c r="B608" s="116">
        <v>335.5</v>
      </c>
      <c r="C608" s="116">
        <v>332.89</v>
      </c>
      <c r="D608" s="116">
        <v>332.065</v>
      </c>
      <c r="E608" s="116">
        <v>333.3725</v>
      </c>
      <c r="F608" s="116">
        <v>6657.8</v>
      </c>
      <c r="G608">
        <v>1076</v>
      </c>
      <c r="H608" s="116"/>
      <c r="I608" s="116"/>
      <c r="L608" s="170">
        <v>42898</v>
      </c>
      <c r="M608" s="116">
        <v>333.00749999999999</v>
      </c>
      <c r="N608" s="116">
        <v>335.41250000000002</v>
      </c>
      <c r="O608" s="116">
        <v>331.47</v>
      </c>
      <c r="P608" s="116">
        <v>333.995</v>
      </c>
      <c r="Q608" s="116">
        <v>6660.15</v>
      </c>
      <c r="R608">
        <v>31121</v>
      </c>
    </row>
    <row r="609" spans="1:18" x14ac:dyDescent="0.25">
      <c r="A609" s="170">
        <v>42899</v>
      </c>
      <c r="B609" s="116">
        <v>335.2</v>
      </c>
      <c r="C609" s="116">
        <v>334.47500000000002</v>
      </c>
      <c r="D609" s="116">
        <v>330.91500000000002</v>
      </c>
      <c r="E609" s="116">
        <v>330.91500000000002</v>
      </c>
      <c r="F609" s="116">
        <v>6689.5</v>
      </c>
      <c r="G609">
        <v>954</v>
      </c>
      <c r="H609" s="116"/>
      <c r="I609" s="116"/>
      <c r="L609" s="170">
        <v>42899</v>
      </c>
      <c r="M609" s="116">
        <v>334.505</v>
      </c>
      <c r="N609" s="116">
        <v>335.45</v>
      </c>
      <c r="O609" s="116">
        <v>332</v>
      </c>
      <c r="P609" s="116">
        <v>333.25</v>
      </c>
      <c r="Q609" s="116">
        <v>6690.1</v>
      </c>
      <c r="R609">
        <v>14818</v>
      </c>
    </row>
    <row r="610" spans="1:18" x14ac:dyDescent="0.25">
      <c r="A610" s="170">
        <v>42900</v>
      </c>
      <c r="B610" s="116">
        <v>335.45</v>
      </c>
      <c r="C610" s="116">
        <v>333.91750000000002</v>
      </c>
      <c r="D610" s="116">
        <v>332.53500000000003</v>
      </c>
      <c r="E610" s="116">
        <v>334.5</v>
      </c>
      <c r="F610" s="116">
        <v>6678.35</v>
      </c>
      <c r="G610">
        <v>2486</v>
      </c>
      <c r="H610" s="116"/>
      <c r="I610" s="116"/>
      <c r="L610" s="170">
        <v>42900</v>
      </c>
      <c r="M610" s="116">
        <v>334.21749999999997</v>
      </c>
      <c r="N610" s="116">
        <v>335.46</v>
      </c>
      <c r="O610" s="116">
        <v>332.51749999999998</v>
      </c>
      <c r="P610" s="116">
        <v>334.5</v>
      </c>
      <c r="Q610" s="116">
        <v>6684.35</v>
      </c>
      <c r="R610">
        <v>41363</v>
      </c>
    </row>
    <row r="611" spans="1:18" x14ac:dyDescent="0.25">
      <c r="A611" s="170">
        <v>42901</v>
      </c>
      <c r="B611" s="116">
        <v>334.9</v>
      </c>
      <c r="C611" s="116">
        <v>333.85</v>
      </c>
      <c r="D611" s="116">
        <v>333.07499999999999</v>
      </c>
      <c r="E611" s="116">
        <v>334.21249999999998</v>
      </c>
      <c r="F611" s="116">
        <v>6677</v>
      </c>
      <c r="G611">
        <v>559</v>
      </c>
      <c r="H611" s="116"/>
      <c r="I611" s="116"/>
      <c r="L611" s="170">
        <v>42901</v>
      </c>
      <c r="M611" s="116">
        <v>334.36750000000001</v>
      </c>
      <c r="N611" s="116">
        <v>335.2475</v>
      </c>
      <c r="O611" s="116">
        <v>333.3125</v>
      </c>
      <c r="P611" s="116">
        <v>334.89499999999998</v>
      </c>
      <c r="Q611" s="116">
        <v>6687.35</v>
      </c>
      <c r="R611">
        <v>40371</v>
      </c>
    </row>
    <row r="612" spans="1:18" x14ac:dyDescent="0.25">
      <c r="A612" s="170">
        <v>42902</v>
      </c>
      <c r="B612" s="116">
        <v>340.6</v>
      </c>
      <c r="C612" s="116">
        <v>337.96</v>
      </c>
      <c r="D612" s="116">
        <v>334.25</v>
      </c>
      <c r="E612" s="116">
        <v>334.89749999999998</v>
      </c>
      <c r="F612" s="116">
        <v>6759.2</v>
      </c>
      <c r="G612">
        <v>1813</v>
      </c>
      <c r="H612" s="116"/>
      <c r="I612" s="116"/>
      <c r="L612" s="170">
        <v>42902</v>
      </c>
      <c r="M612" s="116">
        <v>337.98750000000001</v>
      </c>
      <c r="N612" s="116">
        <v>341</v>
      </c>
      <c r="O612" s="116">
        <v>333.8125</v>
      </c>
      <c r="P612" s="116">
        <v>334.69499999999999</v>
      </c>
      <c r="Q612" s="116">
        <v>6759.75</v>
      </c>
      <c r="R612">
        <v>35730</v>
      </c>
    </row>
    <row r="613" spans="1:18" x14ac:dyDescent="0.25">
      <c r="A613" s="170">
        <v>42905</v>
      </c>
      <c r="B613" s="116">
        <v>341.26499999999999</v>
      </c>
      <c r="C613" s="116">
        <v>337.185</v>
      </c>
      <c r="D613" s="116">
        <v>335.1</v>
      </c>
      <c r="E613" s="116">
        <v>339.995</v>
      </c>
      <c r="F613" s="116">
        <v>6743.7</v>
      </c>
      <c r="G613">
        <v>1212</v>
      </c>
      <c r="H613" s="116"/>
      <c r="I613" s="116"/>
      <c r="L613" s="170">
        <v>42905</v>
      </c>
      <c r="M613" s="116">
        <v>336.91750000000002</v>
      </c>
      <c r="N613" s="116">
        <v>342.5</v>
      </c>
      <c r="O613" s="116">
        <v>334.2475</v>
      </c>
      <c r="P613" s="116">
        <v>339.05</v>
      </c>
      <c r="Q613" s="116">
        <v>6738.35</v>
      </c>
      <c r="R613">
        <v>30864</v>
      </c>
    </row>
    <row r="614" spans="1:18" x14ac:dyDescent="0.25">
      <c r="A614" s="170">
        <v>42906</v>
      </c>
      <c r="B614" s="116">
        <v>337.59500000000003</v>
      </c>
      <c r="C614" s="116">
        <v>335.21499999999997</v>
      </c>
      <c r="D614" s="116">
        <v>334.34500000000003</v>
      </c>
      <c r="E614" s="116">
        <v>336.75</v>
      </c>
      <c r="F614" s="116">
        <v>6704.3</v>
      </c>
      <c r="G614">
        <v>585</v>
      </c>
      <c r="H614" s="116"/>
      <c r="I614" s="116"/>
      <c r="L614" s="170">
        <v>42906</v>
      </c>
      <c r="M614" s="116">
        <v>334.94749999999999</v>
      </c>
      <c r="N614" s="116">
        <v>337.25</v>
      </c>
      <c r="O614" s="116">
        <v>334.03</v>
      </c>
      <c r="P614" s="116">
        <v>335.5</v>
      </c>
      <c r="Q614" s="116">
        <v>6698.95</v>
      </c>
      <c r="R614">
        <v>20081</v>
      </c>
    </row>
    <row r="615" spans="1:18" x14ac:dyDescent="0.25">
      <c r="A615" s="170">
        <v>42907</v>
      </c>
      <c r="B615" s="116">
        <v>338.80500000000001</v>
      </c>
      <c r="C615" s="116">
        <v>338.36750000000001</v>
      </c>
      <c r="D615" s="116">
        <v>331.8775</v>
      </c>
      <c r="E615" s="116">
        <v>335.21499999999997</v>
      </c>
      <c r="F615" s="116">
        <v>6767.35</v>
      </c>
      <c r="G615">
        <v>882</v>
      </c>
      <c r="H615" s="116"/>
      <c r="I615" s="116"/>
      <c r="L615" s="170">
        <v>42907</v>
      </c>
      <c r="M615" s="116">
        <v>337.97250000000003</v>
      </c>
      <c r="N615" s="116">
        <v>339.01249999999999</v>
      </c>
      <c r="O615" s="116">
        <v>331.03</v>
      </c>
      <c r="P615" s="116">
        <v>333.5</v>
      </c>
      <c r="Q615" s="116">
        <v>6759.45</v>
      </c>
      <c r="R615">
        <v>34599</v>
      </c>
    </row>
    <row r="616" spans="1:18" x14ac:dyDescent="0.25">
      <c r="A616" s="170">
        <v>42908</v>
      </c>
      <c r="B616" s="116">
        <v>341.6</v>
      </c>
      <c r="C616" s="116">
        <v>338.64499999999998</v>
      </c>
      <c r="D616" s="116">
        <v>336.5</v>
      </c>
      <c r="E616" s="116">
        <v>338.59</v>
      </c>
      <c r="F616" s="116">
        <v>6772.9</v>
      </c>
      <c r="G616">
        <v>8743</v>
      </c>
      <c r="H616" s="116"/>
      <c r="I616" s="116"/>
      <c r="L616" s="170">
        <v>42908</v>
      </c>
      <c r="M616" s="116">
        <v>338.97750000000002</v>
      </c>
      <c r="N616" s="116">
        <v>341.85</v>
      </c>
      <c r="O616" s="116">
        <v>336.26249999999999</v>
      </c>
      <c r="P616" s="116">
        <v>337.95</v>
      </c>
      <c r="Q616" s="116">
        <v>6779.55</v>
      </c>
      <c r="R616">
        <v>30288</v>
      </c>
    </row>
    <row r="617" spans="1:18" x14ac:dyDescent="0.25">
      <c r="A617" s="170">
        <v>42909</v>
      </c>
      <c r="B617" s="116">
        <v>338.64249999999998</v>
      </c>
      <c r="C617" s="116">
        <v>330.92500000000001</v>
      </c>
      <c r="D617" s="116">
        <v>330</v>
      </c>
      <c r="E617" s="116">
        <v>337.55</v>
      </c>
      <c r="F617" s="116">
        <v>6618.5</v>
      </c>
      <c r="G617">
        <v>5862</v>
      </c>
      <c r="H617" s="116"/>
      <c r="I617" s="116"/>
      <c r="L617" s="170">
        <v>42909</v>
      </c>
      <c r="M617" s="116">
        <v>331.98250000000002</v>
      </c>
      <c r="N617" s="116">
        <v>339</v>
      </c>
      <c r="O617" s="116">
        <v>330.55250000000001</v>
      </c>
      <c r="P617" s="116">
        <v>337.6</v>
      </c>
      <c r="Q617" s="116">
        <v>6639.65</v>
      </c>
      <c r="R617">
        <v>30670</v>
      </c>
    </row>
    <row r="618" spans="1:18" x14ac:dyDescent="0.25">
      <c r="A618" s="170">
        <v>42913</v>
      </c>
      <c r="B618" s="116">
        <v>332.75</v>
      </c>
      <c r="C618" s="116">
        <v>330.20249999999999</v>
      </c>
      <c r="D618" s="116">
        <v>326.62</v>
      </c>
      <c r="E618" s="116">
        <v>332.33249999999998</v>
      </c>
      <c r="F618" s="116">
        <v>6604.05</v>
      </c>
      <c r="G618">
        <v>22860</v>
      </c>
      <c r="H618" s="116"/>
      <c r="I618" s="116"/>
      <c r="L618" s="170">
        <v>42913</v>
      </c>
      <c r="M618" s="116">
        <v>329.9975</v>
      </c>
      <c r="N618" s="116">
        <v>333.15</v>
      </c>
      <c r="O618" s="116">
        <v>326.5</v>
      </c>
      <c r="P618" s="116">
        <v>332.55</v>
      </c>
      <c r="Q618" s="116">
        <v>6599.95</v>
      </c>
      <c r="R618">
        <v>32822</v>
      </c>
    </row>
    <row r="619" spans="1:18" x14ac:dyDescent="0.25">
      <c r="A619" s="170">
        <v>42914</v>
      </c>
      <c r="B619" s="116">
        <v>332.64</v>
      </c>
      <c r="C619" s="116">
        <v>331.73250000000002</v>
      </c>
      <c r="D619" s="116">
        <v>330.76</v>
      </c>
      <c r="E619" s="116">
        <v>331.30250000000001</v>
      </c>
      <c r="F619" s="116">
        <v>6634.65</v>
      </c>
      <c r="G619">
        <v>1050</v>
      </c>
      <c r="H619" s="116"/>
      <c r="I619" s="116"/>
      <c r="L619" s="170">
        <v>42914</v>
      </c>
      <c r="M619" s="116">
        <v>332.43</v>
      </c>
      <c r="N619" s="116">
        <v>333</v>
      </c>
      <c r="O619" s="116">
        <v>330.35750000000002</v>
      </c>
      <c r="P619" s="116">
        <v>331.505</v>
      </c>
      <c r="Q619" s="116">
        <v>6648.6</v>
      </c>
      <c r="R619">
        <v>16831</v>
      </c>
    </row>
    <row r="620" spans="1:18" x14ac:dyDescent="0.25">
      <c r="A620" s="170">
        <v>42915</v>
      </c>
      <c r="B620" s="116">
        <v>338.75</v>
      </c>
      <c r="C620" s="116">
        <v>337.72250000000003</v>
      </c>
      <c r="D620" s="116">
        <v>333.38</v>
      </c>
      <c r="E620" s="116">
        <v>333.63499999999999</v>
      </c>
      <c r="F620" s="116">
        <v>6754.45</v>
      </c>
      <c r="G620">
        <v>2182</v>
      </c>
      <c r="H620" s="116"/>
      <c r="I620" s="116"/>
      <c r="L620" s="170">
        <v>42915</v>
      </c>
      <c r="M620" s="116">
        <v>337.435</v>
      </c>
      <c r="N620" s="116">
        <v>339</v>
      </c>
      <c r="O620" s="116">
        <v>332.55250000000001</v>
      </c>
      <c r="P620" s="116">
        <v>332.75</v>
      </c>
      <c r="Q620" s="116">
        <v>6748.7</v>
      </c>
      <c r="R620">
        <v>32869</v>
      </c>
    </row>
    <row r="621" spans="1:18" x14ac:dyDescent="0.25">
      <c r="A621" s="170">
        <v>42916</v>
      </c>
      <c r="B621" s="116">
        <v>338.4975</v>
      </c>
      <c r="C621" s="116">
        <v>336.15249999999997</v>
      </c>
      <c r="D621" s="116">
        <v>333.46749999999997</v>
      </c>
      <c r="E621" s="116">
        <v>336.2525</v>
      </c>
      <c r="F621" s="116">
        <v>6723.05</v>
      </c>
      <c r="G621">
        <v>1675</v>
      </c>
      <c r="H621" s="116"/>
      <c r="I621" s="116"/>
      <c r="L621" s="170">
        <v>42916</v>
      </c>
      <c r="M621" s="116">
        <v>336.84</v>
      </c>
      <c r="N621" s="116">
        <v>338.95</v>
      </c>
      <c r="O621" s="116">
        <v>333.30250000000001</v>
      </c>
      <c r="P621" s="116">
        <v>335.2525</v>
      </c>
      <c r="Q621" s="116">
        <v>6736.8</v>
      </c>
      <c r="R621">
        <v>58484</v>
      </c>
    </row>
    <row r="622" spans="1:18" x14ac:dyDescent="0.25">
      <c r="A622" s="170">
        <v>42919</v>
      </c>
      <c r="B622" s="116">
        <v>341.25</v>
      </c>
      <c r="C622" s="116">
        <v>336.53</v>
      </c>
      <c r="D622" s="116">
        <v>333.7525</v>
      </c>
      <c r="E622" s="116">
        <v>336.71</v>
      </c>
      <c r="F622" s="116">
        <v>6730.6</v>
      </c>
      <c r="G622">
        <v>2863</v>
      </c>
      <c r="H622" s="116"/>
      <c r="I622" s="116"/>
      <c r="L622" s="170">
        <v>42919</v>
      </c>
      <c r="M622" s="116">
        <v>336.92</v>
      </c>
      <c r="N622" s="116">
        <v>341.5</v>
      </c>
      <c r="O622" s="116">
        <v>333.7475</v>
      </c>
      <c r="P622" s="116">
        <v>337.32499999999999</v>
      </c>
      <c r="Q622" s="116">
        <v>6738.4</v>
      </c>
      <c r="R622">
        <v>74048</v>
      </c>
    </row>
    <row r="623" spans="1:18" x14ac:dyDescent="0.25">
      <c r="A623" s="170">
        <v>42920</v>
      </c>
      <c r="B623" s="116">
        <v>343.44499999999999</v>
      </c>
      <c r="C623" s="116">
        <v>342.4425</v>
      </c>
      <c r="D623" s="116">
        <v>337.20749999999998</v>
      </c>
      <c r="E623" s="116">
        <v>337.5</v>
      </c>
      <c r="F623" s="116">
        <v>6848.85</v>
      </c>
      <c r="G623">
        <v>2989</v>
      </c>
      <c r="H623" s="116"/>
      <c r="I623" s="116"/>
      <c r="L623" s="170">
        <v>42920</v>
      </c>
      <c r="M623" s="116">
        <v>342.33499999999998</v>
      </c>
      <c r="N623" s="116">
        <v>343.25</v>
      </c>
      <c r="O623" s="116">
        <v>337.29250000000002</v>
      </c>
      <c r="P623" s="116">
        <v>339.75</v>
      </c>
      <c r="Q623" s="116">
        <v>6846.7</v>
      </c>
      <c r="R623">
        <v>51575</v>
      </c>
    </row>
    <row r="624" spans="1:18" x14ac:dyDescent="0.25">
      <c r="A624" s="170">
        <v>42921</v>
      </c>
      <c r="B624" s="116">
        <v>349.47500000000002</v>
      </c>
      <c r="C624" s="116">
        <v>345.41</v>
      </c>
      <c r="D624" s="116">
        <v>342.13499999999999</v>
      </c>
      <c r="E624" s="116">
        <v>342.49250000000001</v>
      </c>
      <c r="F624" s="116">
        <v>6908.2</v>
      </c>
      <c r="G624">
        <v>3173</v>
      </c>
      <c r="H624" s="116"/>
      <c r="I624" s="116"/>
      <c r="L624" s="170">
        <v>42921</v>
      </c>
      <c r="M624" s="116">
        <v>345.41750000000002</v>
      </c>
      <c r="N624" s="116">
        <v>349.45</v>
      </c>
      <c r="O624" s="116">
        <v>341.55</v>
      </c>
      <c r="P624" s="116">
        <v>341.55</v>
      </c>
      <c r="Q624" s="116">
        <v>6908.35</v>
      </c>
      <c r="R624">
        <v>47661</v>
      </c>
    </row>
    <row r="625" spans="1:18" x14ac:dyDescent="0.25">
      <c r="A625" s="170">
        <v>42922</v>
      </c>
      <c r="B625" s="116">
        <v>349.35500000000002</v>
      </c>
      <c r="C625" s="116">
        <v>346.23</v>
      </c>
      <c r="D625" s="116">
        <v>345</v>
      </c>
      <c r="E625" s="116">
        <v>345.14749999999998</v>
      </c>
      <c r="F625" s="116">
        <v>6924.6</v>
      </c>
      <c r="G625">
        <v>12505</v>
      </c>
      <c r="H625" s="116"/>
      <c r="I625" s="116"/>
      <c r="L625" s="170">
        <v>42922</v>
      </c>
      <c r="M625" s="116">
        <v>345.9</v>
      </c>
      <c r="N625" s="116">
        <v>349</v>
      </c>
      <c r="O625" s="116">
        <v>344.92</v>
      </c>
      <c r="P625" s="116">
        <v>345.6</v>
      </c>
      <c r="Q625" s="116">
        <v>6918</v>
      </c>
      <c r="R625">
        <v>24812</v>
      </c>
    </row>
    <row r="626" spans="1:18" x14ac:dyDescent="0.25">
      <c r="A626" s="170">
        <v>42923</v>
      </c>
      <c r="B626" s="116">
        <v>347.52499999999998</v>
      </c>
      <c r="C626" s="116">
        <v>343.44499999999999</v>
      </c>
      <c r="D626" s="116">
        <v>342.995</v>
      </c>
      <c r="E626" s="116">
        <v>345.2525</v>
      </c>
      <c r="F626" s="116">
        <v>6868.9</v>
      </c>
      <c r="G626">
        <v>3531</v>
      </c>
      <c r="H626" s="116"/>
      <c r="I626" s="116"/>
      <c r="L626" s="170">
        <v>42923</v>
      </c>
      <c r="M626" s="116">
        <v>343.5025</v>
      </c>
      <c r="N626" s="116">
        <v>347.9</v>
      </c>
      <c r="O626" s="116">
        <v>342.9</v>
      </c>
      <c r="P626" s="116">
        <v>345.9</v>
      </c>
      <c r="Q626" s="116">
        <v>6870.05</v>
      </c>
      <c r="R626">
        <v>22470</v>
      </c>
    </row>
    <row r="627" spans="1:18" x14ac:dyDescent="0.25">
      <c r="A627" s="170">
        <v>42926</v>
      </c>
      <c r="B627" s="116">
        <v>349</v>
      </c>
      <c r="C627" s="116">
        <v>340.45499999999998</v>
      </c>
      <c r="D627" s="116">
        <v>338.5</v>
      </c>
      <c r="E627" s="116">
        <v>349</v>
      </c>
      <c r="F627" s="116">
        <v>6809.1</v>
      </c>
      <c r="G627">
        <v>10397</v>
      </c>
      <c r="H627" s="116"/>
      <c r="I627" s="116"/>
      <c r="L627" s="170">
        <v>42926</v>
      </c>
      <c r="M627" s="116">
        <v>340.27499999999998</v>
      </c>
      <c r="N627" s="116">
        <v>345.0025</v>
      </c>
      <c r="O627" s="116">
        <v>338.9</v>
      </c>
      <c r="P627" s="116">
        <v>345.0025</v>
      </c>
      <c r="Q627" s="116">
        <v>6805.5</v>
      </c>
      <c r="R627">
        <v>8777</v>
      </c>
    </row>
    <row r="628" spans="1:18" x14ac:dyDescent="0.25">
      <c r="A628" s="170">
        <v>42927</v>
      </c>
      <c r="B628" s="116">
        <v>343.245</v>
      </c>
      <c r="C628" s="116">
        <v>339.565</v>
      </c>
      <c r="D628" s="116">
        <v>336.35500000000002</v>
      </c>
      <c r="E628" s="116">
        <v>342.5</v>
      </c>
      <c r="F628" s="116">
        <v>6791.3</v>
      </c>
      <c r="G628">
        <v>4179</v>
      </c>
      <c r="H628" s="116"/>
      <c r="I628" s="116"/>
      <c r="L628" s="170">
        <v>42927</v>
      </c>
      <c r="M628" s="116">
        <v>338.92250000000001</v>
      </c>
      <c r="N628" s="116">
        <v>343.5</v>
      </c>
      <c r="O628" s="116">
        <v>335.8</v>
      </c>
      <c r="P628" s="116">
        <v>343.5</v>
      </c>
      <c r="Q628" s="116">
        <v>6778.45</v>
      </c>
      <c r="R628">
        <v>34715</v>
      </c>
    </row>
    <row r="629" spans="1:18" x14ac:dyDescent="0.25">
      <c r="A629" s="170">
        <v>42928</v>
      </c>
      <c r="B629" s="116">
        <v>342.0575</v>
      </c>
      <c r="C629" s="116">
        <v>341.005</v>
      </c>
      <c r="D629" s="116">
        <v>337.95</v>
      </c>
      <c r="E629" s="116">
        <v>339.565</v>
      </c>
      <c r="F629" s="116">
        <v>6820.1</v>
      </c>
      <c r="G629">
        <v>2214</v>
      </c>
      <c r="H629" s="116"/>
      <c r="I629" s="116"/>
      <c r="L629" s="170">
        <v>42928</v>
      </c>
      <c r="M629" s="116">
        <v>341.10500000000002</v>
      </c>
      <c r="N629" s="116">
        <v>342.2</v>
      </c>
      <c r="O629" s="116">
        <v>338.0025</v>
      </c>
      <c r="P629" s="116">
        <v>342.2</v>
      </c>
      <c r="Q629" s="116">
        <v>6822.1</v>
      </c>
      <c r="R629">
        <v>29412</v>
      </c>
    </row>
    <row r="630" spans="1:18" x14ac:dyDescent="0.25">
      <c r="A630" s="170">
        <v>42929</v>
      </c>
      <c r="B630" s="116">
        <v>344</v>
      </c>
      <c r="C630" s="116">
        <v>339.23750000000001</v>
      </c>
      <c r="D630" s="116">
        <v>338</v>
      </c>
      <c r="E630" s="116">
        <v>343.4</v>
      </c>
      <c r="F630" s="116">
        <v>6784.75</v>
      </c>
      <c r="G630">
        <v>28850</v>
      </c>
      <c r="H630" s="116"/>
      <c r="I630" s="116"/>
      <c r="L630" s="170">
        <v>42929</v>
      </c>
      <c r="M630" s="116">
        <v>339.29</v>
      </c>
      <c r="N630" s="116">
        <v>344.5</v>
      </c>
      <c r="O630" s="116">
        <v>338.35250000000002</v>
      </c>
      <c r="P630" s="116">
        <v>343.9</v>
      </c>
      <c r="Q630" s="116">
        <v>6785.8</v>
      </c>
      <c r="R630">
        <v>60187</v>
      </c>
    </row>
    <row r="631" spans="1:18" x14ac:dyDescent="0.25">
      <c r="A631" s="170">
        <v>42930</v>
      </c>
      <c r="B631" s="116">
        <v>341.72750000000002</v>
      </c>
      <c r="C631" s="116">
        <v>340.5</v>
      </c>
      <c r="D631" s="116">
        <v>339.70749999999998</v>
      </c>
      <c r="E631" s="116">
        <v>340.6</v>
      </c>
      <c r="F631" s="116">
        <v>6810</v>
      </c>
      <c r="G631">
        <v>11706</v>
      </c>
      <c r="H631" s="116"/>
      <c r="I631" s="116"/>
      <c r="L631" s="170">
        <v>42930</v>
      </c>
      <c r="M631" s="116">
        <v>340.54750000000001</v>
      </c>
      <c r="N631" s="116">
        <v>341.98500000000001</v>
      </c>
      <c r="O631" s="116">
        <v>339.52499999999998</v>
      </c>
      <c r="P631" s="116">
        <v>341.25</v>
      </c>
      <c r="Q631" s="116">
        <v>6810.95</v>
      </c>
      <c r="R631">
        <v>50380</v>
      </c>
    </row>
    <row r="632" spans="1:18" x14ac:dyDescent="0.25">
      <c r="A632" s="170">
        <v>42933</v>
      </c>
      <c r="B632" s="116">
        <v>344.5</v>
      </c>
      <c r="C632" s="116">
        <v>343.08499999999998</v>
      </c>
      <c r="D632" s="116">
        <v>339.4</v>
      </c>
      <c r="E632" s="116">
        <v>340.75</v>
      </c>
      <c r="F632" s="116">
        <v>6861.7</v>
      </c>
      <c r="G632">
        <v>3532</v>
      </c>
      <c r="H632" s="116"/>
      <c r="I632" s="116"/>
      <c r="L632" s="170">
        <v>42933</v>
      </c>
      <c r="M632" s="116">
        <v>343.91</v>
      </c>
      <c r="N632" s="116">
        <v>344.95</v>
      </c>
      <c r="O632" s="116">
        <v>339.09249999999997</v>
      </c>
      <c r="P632" s="116">
        <v>342.23500000000001</v>
      </c>
      <c r="Q632" s="116">
        <v>6878.2</v>
      </c>
      <c r="R632">
        <v>17552</v>
      </c>
    </row>
    <row r="633" spans="1:18" x14ac:dyDescent="0.25">
      <c r="A633" s="170">
        <v>42934</v>
      </c>
      <c r="B633" s="116">
        <v>347.14749999999998</v>
      </c>
      <c r="C633" s="116">
        <v>343.09750000000003</v>
      </c>
      <c r="D633" s="116">
        <v>341.05</v>
      </c>
      <c r="E633" s="116">
        <v>343</v>
      </c>
      <c r="F633" s="116">
        <v>6861.95</v>
      </c>
      <c r="G633">
        <v>24629</v>
      </c>
      <c r="H633" s="116"/>
      <c r="I633" s="116"/>
      <c r="L633" s="170">
        <v>42934</v>
      </c>
      <c r="M633" s="116">
        <v>342.625</v>
      </c>
      <c r="N633" s="116">
        <v>347.45</v>
      </c>
      <c r="O633" s="116">
        <v>341.05</v>
      </c>
      <c r="P633" s="116">
        <v>342.75</v>
      </c>
      <c r="Q633" s="116">
        <v>6852.5</v>
      </c>
      <c r="R633">
        <v>41199</v>
      </c>
    </row>
    <row r="634" spans="1:18" x14ac:dyDescent="0.25">
      <c r="A634" s="170">
        <v>42935</v>
      </c>
      <c r="B634" s="116">
        <v>347</v>
      </c>
      <c r="C634" s="116">
        <v>346.73750000000001</v>
      </c>
      <c r="D634" s="116">
        <v>342.04</v>
      </c>
      <c r="E634" s="116">
        <v>343.17250000000001</v>
      </c>
      <c r="F634" s="116">
        <v>6934.75</v>
      </c>
      <c r="G634">
        <v>1716</v>
      </c>
      <c r="H634" s="116"/>
      <c r="I634" s="116"/>
      <c r="L634" s="170">
        <v>42935</v>
      </c>
      <c r="M634" s="116">
        <v>346.90499999999997</v>
      </c>
      <c r="N634" s="116">
        <v>347.245</v>
      </c>
      <c r="O634" s="116">
        <v>343.11</v>
      </c>
      <c r="P634" s="116">
        <v>344.9</v>
      </c>
      <c r="Q634" s="116">
        <v>6938.1</v>
      </c>
      <c r="R634">
        <v>29743</v>
      </c>
    </row>
    <row r="635" spans="1:18" x14ac:dyDescent="0.25">
      <c r="A635" s="170">
        <v>42936</v>
      </c>
      <c r="B635" s="116">
        <v>347.03500000000003</v>
      </c>
      <c r="C635" s="116">
        <v>342.95249999999999</v>
      </c>
      <c r="D635" s="116">
        <v>341.53500000000003</v>
      </c>
      <c r="E635" s="116">
        <v>346</v>
      </c>
      <c r="F635" s="116">
        <v>6859.05</v>
      </c>
      <c r="G635">
        <v>1958</v>
      </c>
      <c r="H635" s="116"/>
      <c r="I635" s="116"/>
      <c r="L635" s="170">
        <v>42936</v>
      </c>
      <c r="M635" s="116">
        <v>343.47</v>
      </c>
      <c r="N635" s="116">
        <v>347.98</v>
      </c>
      <c r="O635" s="116">
        <v>343</v>
      </c>
      <c r="P635" s="116">
        <v>347.98</v>
      </c>
      <c r="Q635" s="116">
        <v>6869.4</v>
      </c>
      <c r="R635">
        <v>7438</v>
      </c>
    </row>
    <row r="636" spans="1:18" x14ac:dyDescent="0.25">
      <c r="A636" s="170">
        <v>42937</v>
      </c>
      <c r="B636" s="116">
        <v>345.6</v>
      </c>
      <c r="C636" s="116">
        <v>340.77749999999997</v>
      </c>
      <c r="D636" s="116">
        <v>339.9</v>
      </c>
      <c r="E636" s="116">
        <v>343.34750000000003</v>
      </c>
      <c r="F636" s="116">
        <v>6815.55</v>
      </c>
      <c r="G636">
        <v>3397</v>
      </c>
      <c r="H636" s="116"/>
      <c r="I636" s="116"/>
      <c r="L636" s="170">
        <v>42937</v>
      </c>
      <c r="M636" s="116">
        <v>340.35250000000002</v>
      </c>
      <c r="N636" s="116">
        <v>346.25</v>
      </c>
      <c r="O636" s="116">
        <v>339.75</v>
      </c>
      <c r="P636" s="116">
        <v>344.9</v>
      </c>
      <c r="Q636" s="116">
        <v>6807.05</v>
      </c>
      <c r="R636">
        <v>35748</v>
      </c>
    </row>
    <row r="637" spans="1:18" x14ac:dyDescent="0.25">
      <c r="A637" s="170">
        <v>42940</v>
      </c>
      <c r="B637" s="116">
        <v>342.5</v>
      </c>
      <c r="C637" s="116">
        <v>341.5025</v>
      </c>
      <c r="D637" s="116">
        <v>340.55250000000001</v>
      </c>
      <c r="E637" s="116">
        <v>341.73250000000002</v>
      </c>
      <c r="F637" s="116">
        <v>6830.05</v>
      </c>
      <c r="G637">
        <v>1537</v>
      </c>
      <c r="H637" s="116"/>
      <c r="I637" s="116"/>
      <c r="L637" s="170">
        <v>42940</v>
      </c>
      <c r="M637" s="116">
        <v>341.79250000000002</v>
      </c>
      <c r="N637" s="116">
        <v>343</v>
      </c>
      <c r="O637" s="116">
        <v>340.5</v>
      </c>
      <c r="P637" s="116">
        <v>342.45</v>
      </c>
      <c r="Q637" s="116">
        <v>6835.85</v>
      </c>
      <c r="R637">
        <v>29921</v>
      </c>
    </row>
    <row r="638" spans="1:18" x14ac:dyDescent="0.25">
      <c r="A638" s="170">
        <v>42941</v>
      </c>
      <c r="B638" s="116">
        <v>342.95</v>
      </c>
      <c r="C638" s="116">
        <v>340.82</v>
      </c>
      <c r="D638" s="116">
        <v>340.16250000000002</v>
      </c>
      <c r="E638" s="116">
        <v>342.95</v>
      </c>
      <c r="F638" s="116">
        <v>6816.4</v>
      </c>
      <c r="G638">
        <v>1852</v>
      </c>
      <c r="H638" s="116"/>
      <c r="I638" s="116"/>
      <c r="L638" s="170">
        <v>42941</v>
      </c>
      <c r="M638" s="116">
        <v>340.97750000000002</v>
      </c>
      <c r="N638" s="116">
        <v>343</v>
      </c>
      <c r="O638" s="116">
        <v>339.76499999999999</v>
      </c>
      <c r="P638" s="116">
        <v>343</v>
      </c>
      <c r="Q638" s="116">
        <v>6819.55</v>
      </c>
      <c r="R638">
        <v>35510</v>
      </c>
    </row>
    <row r="639" spans="1:18" x14ac:dyDescent="0.25">
      <c r="A639" s="170">
        <v>42942</v>
      </c>
      <c r="B639" s="116">
        <v>342.59750000000003</v>
      </c>
      <c r="C639" s="116">
        <v>339.36500000000001</v>
      </c>
      <c r="D639" s="116">
        <v>337.5</v>
      </c>
      <c r="E639" s="116">
        <v>342.5</v>
      </c>
      <c r="F639" s="116">
        <v>6787.3</v>
      </c>
      <c r="G639">
        <v>9318</v>
      </c>
      <c r="H639" s="116"/>
      <c r="I639" s="116"/>
      <c r="L639" s="170">
        <v>42942</v>
      </c>
      <c r="M639" s="116">
        <v>339.28250000000003</v>
      </c>
      <c r="N639" s="116">
        <v>344.9975</v>
      </c>
      <c r="O639" s="116">
        <v>337.5</v>
      </c>
      <c r="P639" s="116">
        <v>341.25</v>
      </c>
      <c r="Q639" s="116">
        <v>6785.65</v>
      </c>
      <c r="R639">
        <v>36324</v>
      </c>
    </row>
    <row r="640" spans="1:18" x14ac:dyDescent="0.25">
      <c r="A640" s="170">
        <v>42943</v>
      </c>
      <c r="B640" s="116">
        <v>342.5</v>
      </c>
      <c r="C640" s="116">
        <v>339.47</v>
      </c>
      <c r="D640" s="116">
        <v>337.78500000000003</v>
      </c>
      <c r="E640" s="116">
        <v>339.4</v>
      </c>
      <c r="F640" s="116">
        <v>6789.4</v>
      </c>
      <c r="G640">
        <v>2091</v>
      </c>
      <c r="H640" s="116"/>
      <c r="I640" s="116"/>
      <c r="L640" s="170">
        <v>42943</v>
      </c>
      <c r="M640" s="116">
        <v>339.98250000000002</v>
      </c>
      <c r="N640" s="116">
        <v>343.35</v>
      </c>
      <c r="O640" s="116">
        <v>336.6225</v>
      </c>
      <c r="P640" s="116">
        <v>339.97500000000002</v>
      </c>
      <c r="Q640" s="116">
        <v>6799.65</v>
      </c>
      <c r="R640">
        <v>65349</v>
      </c>
    </row>
    <row r="641" spans="1:18" x14ac:dyDescent="0.25">
      <c r="A641" s="170">
        <v>42944</v>
      </c>
      <c r="B641" s="116">
        <v>340.13499999999999</v>
      </c>
      <c r="C641" s="116">
        <v>338.94</v>
      </c>
      <c r="D641" s="116">
        <v>337.5</v>
      </c>
      <c r="E641" s="116">
        <v>340.13499999999999</v>
      </c>
      <c r="F641" s="116">
        <v>6778.8</v>
      </c>
      <c r="G641">
        <v>20851</v>
      </c>
      <c r="H641" s="116"/>
      <c r="I641" s="116"/>
      <c r="L641" s="170">
        <v>42944</v>
      </c>
      <c r="M641" s="116">
        <v>339.03500000000003</v>
      </c>
      <c r="N641" s="116">
        <v>340.25</v>
      </c>
      <c r="O641" s="116">
        <v>336.76499999999999</v>
      </c>
      <c r="P641" s="116">
        <v>340.10500000000002</v>
      </c>
      <c r="Q641" s="116">
        <v>6780.7</v>
      </c>
      <c r="R641">
        <v>26647</v>
      </c>
    </row>
    <row r="642" spans="1:18" x14ac:dyDescent="0.25">
      <c r="A642" s="170">
        <v>42947</v>
      </c>
      <c r="B642" s="116">
        <v>339.32499999999999</v>
      </c>
      <c r="C642" s="116">
        <v>337.51249999999999</v>
      </c>
      <c r="D642" s="116">
        <v>336.7</v>
      </c>
      <c r="E642" s="116">
        <v>339.05</v>
      </c>
      <c r="F642" s="116">
        <v>6750.25</v>
      </c>
      <c r="G642">
        <v>13015</v>
      </c>
      <c r="H642" s="116"/>
      <c r="I642" s="116"/>
      <c r="L642" s="170">
        <v>42947</v>
      </c>
      <c r="M642" s="116">
        <v>338.35750000000002</v>
      </c>
      <c r="N642" s="116">
        <v>339.94499999999999</v>
      </c>
      <c r="O642" s="116">
        <v>336.5025</v>
      </c>
      <c r="P642" s="116">
        <v>339.25</v>
      </c>
      <c r="Q642" s="116">
        <v>6767.15</v>
      </c>
      <c r="R642">
        <v>41137</v>
      </c>
    </row>
    <row r="643" spans="1:18" x14ac:dyDescent="0.25">
      <c r="A643" s="170">
        <v>42948</v>
      </c>
      <c r="B643" s="116">
        <v>338.5</v>
      </c>
      <c r="C643" s="116">
        <v>334.87</v>
      </c>
      <c r="D643" s="116">
        <v>334.25</v>
      </c>
      <c r="E643" s="116">
        <v>337.51249999999999</v>
      </c>
      <c r="F643" s="116">
        <v>6697.4</v>
      </c>
      <c r="G643">
        <v>22668</v>
      </c>
      <c r="H643" s="116"/>
      <c r="I643" s="116"/>
      <c r="L643" s="170">
        <v>42948</v>
      </c>
      <c r="M643" s="116">
        <v>335.15</v>
      </c>
      <c r="N643" s="116">
        <v>339.5</v>
      </c>
      <c r="O643" s="116">
        <v>333.79250000000002</v>
      </c>
      <c r="P643" s="116">
        <v>336.6</v>
      </c>
      <c r="Q643" s="116">
        <v>6703</v>
      </c>
      <c r="R643">
        <v>61312</v>
      </c>
    </row>
    <row r="644" spans="1:18" x14ac:dyDescent="0.25">
      <c r="A644" s="170">
        <v>42949</v>
      </c>
      <c r="B644" s="116">
        <v>336.80250000000001</v>
      </c>
      <c r="C644" s="116">
        <v>335.29750000000001</v>
      </c>
      <c r="D644" s="116">
        <v>334.505</v>
      </c>
      <c r="E644" s="116">
        <v>336.4975</v>
      </c>
      <c r="F644" s="116">
        <v>6705.95</v>
      </c>
      <c r="G644">
        <v>3023</v>
      </c>
      <c r="H644" s="116"/>
      <c r="I644" s="116"/>
      <c r="L644" s="170">
        <v>42949</v>
      </c>
      <c r="M644" s="116">
        <v>335.58</v>
      </c>
      <c r="N644" s="116">
        <v>337.27</v>
      </c>
      <c r="O644" s="116">
        <v>334.75</v>
      </c>
      <c r="P644" s="116">
        <v>337</v>
      </c>
      <c r="Q644" s="116">
        <v>6711.6</v>
      </c>
      <c r="R644">
        <v>27463</v>
      </c>
    </row>
    <row r="645" spans="1:18" x14ac:dyDescent="0.25">
      <c r="A645" s="170">
        <v>42950</v>
      </c>
      <c r="B645" s="116">
        <v>337.05</v>
      </c>
      <c r="C645" s="116">
        <v>336.755</v>
      </c>
      <c r="D645" s="116">
        <v>334.20749999999998</v>
      </c>
      <c r="E645" s="116">
        <v>334.75</v>
      </c>
      <c r="F645" s="116">
        <v>6735.1</v>
      </c>
      <c r="G645">
        <v>1548</v>
      </c>
      <c r="H645" s="116"/>
      <c r="I645" s="116"/>
      <c r="L645" s="170">
        <v>42950</v>
      </c>
      <c r="M645" s="116">
        <v>336.565</v>
      </c>
      <c r="N645" s="116">
        <v>337.4425</v>
      </c>
      <c r="O645" s="116">
        <v>334.0025</v>
      </c>
      <c r="P645" s="116">
        <v>334.80500000000001</v>
      </c>
      <c r="Q645" s="116">
        <v>6731.3</v>
      </c>
      <c r="R645">
        <v>70859</v>
      </c>
    </row>
    <row r="646" spans="1:18" x14ac:dyDescent="0.25">
      <c r="A646" s="170">
        <v>42951</v>
      </c>
      <c r="B646" s="116">
        <v>336.29750000000001</v>
      </c>
      <c r="C646" s="116">
        <v>334.84249999999997</v>
      </c>
      <c r="D646" s="116">
        <v>331.3775</v>
      </c>
      <c r="E646" s="116">
        <v>336.17</v>
      </c>
      <c r="F646" s="116">
        <v>6696.85</v>
      </c>
      <c r="G646">
        <v>1418</v>
      </c>
      <c r="H646" s="116"/>
      <c r="I646" s="116"/>
      <c r="L646" s="170">
        <v>42951</v>
      </c>
      <c r="M646" s="116">
        <v>335.11250000000001</v>
      </c>
      <c r="N646" s="116">
        <v>337.39749999999998</v>
      </c>
      <c r="O646" s="116">
        <v>330.36750000000001</v>
      </c>
      <c r="P646" s="116">
        <v>334.17</v>
      </c>
      <c r="Q646" s="116">
        <v>6702.25</v>
      </c>
      <c r="R646">
        <v>18068</v>
      </c>
    </row>
    <row r="647" spans="1:18" x14ac:dyDescent="0.25">
      <c r="A647" s="170">
        <v>42954</v>
      </c>
      <c r="B647" s="116">
        <v>339.23750000000001</v>
      </c>
      <c r="C647" s="116">
        <v>336.7</v>
      </c>
      <c r="D647" s="116">
        <v>334.2</v>
      </c>
      <c r="E647" s="116">
        <v>336.5</v>
      </c>
      <c r="F647" s="116">
        <v>6734</v>
      </c>
      <c r="G647">
        <v>3880</v>
      </c>
      <c r="H647" s="116"/>
      <c r="I647" s="116"/>
      <c r="L647" s="170">
        <v>42954</v>
      </c>
      <c r="M647" s="116">
        <v>337.005</v>
      </c>
      <c r="N647" s="116">
        <v>337.7</v>
      </c>
      <c r="O647" s="116">
        <v>334.25</v>
      </c>
      <c r="P647" s="116">
        <v>335.0025</v>
      </c>
      <c r="Q647" s="116">
        <v>6740.1</v>
      </c>
      <c r="R647">
        <v>22154</v>
      </c>
    </row>
    <row r="648" spans="1:18" x14ac:dyDescent="0.25">
      <c r="A648" s="170">
        <v>42955</v>
      </c>
      <c r="B648" s="116">
        <v>337.40750000000003</v>
      </c>
      <c r="C648" s="116">
        <v>334.24</v>
      </c>
      <c r="D648" s="116">
        <v>332.5</v>
      </c>
      <c r="E648" s="116">
        <v>335.8</v>
      </c>
      <c r="F648" s="116">
        <v>6684.8</v>
      </c>
      <c r="G648">
        <v>2228</v>
      </c>
      <c r="H648" s="116"/>
      <c r="I648" s="116"/>
      <c r="L648" s="170">
        <v>42955</v>
      </c>
      <c r="M648" s="116">
        <v>334.07749999999999</v>
      </c>
      <c r="N648" s="116">
        <v>337.505</v>
      </c>
      <c r="O648" s="116">
        <v>332.36</v>
      </c>
      <c r="P648" s="116">
        <v>336.5</v>
      </c>
      <c r="Q648" s="116">
        <v>6681.55</v>
      </c>
      <c r="R648">
        <v>27550</v>
      </c>
    </row>
    <row r="649" spans="1:18" x14ac:dyDescent="0.25">
      <c r="A649" s="170">
        <v>42956</v>
      </c>
      <c r="B649" s="116">
        <v>336.5</v>
      </c>
      <c r="C649" s="116">
        <v>336.47750000000002</v>
      </c>
      <c r="D649" s="116">
        <v>333.67500000000001</v>
      </c>
      <c r="E649" s="116">
        <v>333.70249999999999</v>
      </c>
      <c r="F649" s="116">
        <v>6729.55</v>
      </c>
      <c r="G649">
        <v>13082</v>
      </c>
      <c r="H649" s="116"/>
      <c r="I649" s="116"/>
      <c r="L649" s="170">
        <v>42956</v>
      </c>
      <c r="M649" s="116">
        <v>336.4975</v>
      </c>
      <c r="N649" s="116">
        <v>337.22</v>
      </c>
      <c r="O649" s="116">
        <v>333</v>
      </c>
      <c r="P649" s="116">
        <v>333.005</v>
      </c>
      <c r="Q649" s="116">
        <v>6729.95</v>
      </c>
      <c r="R649">
        <v>37023</v>
      </c>
    </row>
    <row r="650" spans="1:18" x14ac:dyDescent="0.25">
      <c r="A650" s="170">
        <v>42957</v>
      </c>
      <c r="B650" s="116">
        <v>337.2</v>
      </c>
      <c r="C650" s="116">
        <v>331.61500000000001</v>
      </c>
      <c r="D650" s="116">
        <v>328.45749999999998</v>
      </c>
      <c r="E650" s="116">
        <v>336.63749999999999</v>
      </c>
      <c r="F650" s="116">
        <v>6632.3</v>
      </c>
      <c r="G650">
        <v>2089</v>
      </c>
      <c r="H650" s="116"/>
      <c r="I650" s="116"/>
      <c r="L650" s="170">
        <v>42957</v>
      </c>
      <c r="M650" s="116">
        <v>332.13</v>
      </c>
      <c r="N650" s="116">
        <v>337.5</v>
      </c>
      <c r="O650" s="116">
        <v>327.75</v>
      </c>
      <c r="P650" s="116">
        <v>335</v>
      </c>
      <c r="Q650" s="116">
        <v>6642.6</v>
      </c>
      <c r="R650">
        <v>90476</v>
      </c>
    </row>
    <row r="651" spans="1:18" x14ac:dyDescent="0.25">
      <c r="A651" s="170">
        <v>42958</v>
      </c>
      <c r="B651" s="116">
        <v>331.61500000000001</v>
      </c>
      <c r="C651" s="116">
        <v>326.79000000000002</v>
      </c>
      <c r="D651" s="116">
        <v>325.05</v>
      </c>
      <c r="E651" s="116">
        <v>331.61500000000001</v>
      </c>
      <c r="F651" s="116">
        <v>6535.8</v>
      </c>
      <c r="G651">
        <v>2437</v>
      </c>
      <c r="H651" s="116"/>
      <c r="I651" s="116"/>
      <c r="L651" s="170">
        <v>42958</v>
      </c>
      <c r="M651" s="116">
        <v>327.21499999999997</v>
      </c>
      <c r="N651" s="116">
        <v>329.25</v>
      </c>
      <c r="O651" s="116">
        <v>326.60000000000002</v>
      </c>
      <c r="P651" s="116">
        <v>328.1</v>
      </c>
      <c r="Q651" s="116">
        <v>6544.3</v>
      </c>
      <c r="R651">
        <v>27932</v>
      </c>
    </row>
    <row r="652" spans="1:18" x14ac:dyDescent="0.25">
      <c r="A652" s="170">
        <v>42961</v>
      </c>
      <c r="B652" s="116">
        <v>337.55250000000001</v>
      </c>
      <c r="C652" s="116">
        <v>332.17250000000001</v>
      </c>
      <c r="D652" s="116">
        <v>328.85</v>
      </c>
      <c r="E652" s="116">
        <v>329.13499999999999</v>
      </c>
      <c r="F652" s="116">
        <v>6643.45</v>
      </c>
      <c r="G652">
        <v>1330</v>
      </c>
      <c r="H652" s="116"/>
      <c r="I652" s="116"/>
      <c r="L652" s="170">
        <v>42961</v>
      </c>
      <c r="M652" s="116">
        <v>332.6225</v>
      </c>
      <c r="N652" s="116">
        <v>337.6</v>
      </c>
      <c r="O652" s="116">
        <v>327.60000000000002</v>
      </c>
      <c r="P652" s="116">
        <v>327.60000000000002</v>
      </c>
      <c r="Q652" s="116">
        <v>6652.45</v>
      </c>
      <c r="R652">
        <v>22523</v>
      </c>
    </row>
    <row r="653" spans="1:18" x14ac:dyDescent="0.25">
      <c r="A653" s="170">
        <v>42963</v>
      </c>
      <c r="B653" s="116">
        <v>336.65</v>
      </c>
      <c r="C653" s="116">
        <v>333.58749999999998</v>
      </c>
      <c r="D653" s="116">
        <v>332.11750000000001</v>
      </c>
      <c r="E653" s="116">
        <v>332.5</v>
      </c>
      <c r="F653" s="116">
        <v>6671.75</v>
      </c>
      <c r="G653">
        <v>653</v>
      </c>
      <c r="H653" s="116"/>
      <c r="I653" s="116"/>
      <c r="L653" s="170">
        <v>42963</v>
      </c>
      <c r="M653" s="116">
        <v>334.01499999999999</v>
      </c>
      <c r="N653" s="116">
        <v>336.99250000000001</v>
      </c>
      <c r="O653" s="116">
        <v>330.1</v>
      </c>
      <c r="P653" s="116">
        <v>330.1</v>
      </c>
      <c r="Q653" s="116">
        <v>6680.3</v>
      </c>
      <c r="R653">
        <v>18636</v>
      </c>
    </row>
    <row r="654" spans="1:18" x14ac:dyDescent="0.25">
      <c r="A654" s="170">
        <v>42964</v>
      </c>
      <c r="B654" s="116">
        <v>335.35</v>
      </c>
      <c r="C654" s="116">
        <v>333.745</v>
      </c>
      <c r="D654" s="116">
        <v>332.5</v>
      </c>
      <c r="E654" s="116">
        <v>333.07</v>
      </c>
      <c r="F654" s="116">
        <v>6674.9</v>
      </c>
      <c r="G654">
        <v>980</v>
      </c>
      <c r="H654" s="116"/>
      <c r="I654" s="116"/>
      <c r="L654" s="170">
        <v>42964</v>
      </c>
      <c r="M654" s="116">
        <v>332.64</v>
      </c>
      <c r="N654" s="116">
        <v>336.3725</v>
      </c>
      <c r="O654" s="116">
        <v>332</v>
      </c>
      <c r="P654" s="116">
        <v>334.5</v>
      </c>
      <c r="Q654" s="116">
        <v>6652.8</v>
      </c>
      <c r="R654">
        <v>18803</v>
      </c>
    </row>
    <row r="655" spans="1:18" x14ac:dyDescent="0.25">
      <c r="A655" s="170">
        <v>42965</v>
      </c>
      <c r="B655" s="116">
        <v>335.96</v>
      </c>
      <c r="C655" s="116">
        <v>332.27499999999998</v>
      </c>
      <c r="D655" s="116">
        <v>331.75</v>
      </c>
      <c r="E655" s="116">
        <v>333.745</v>
      </c>
      <c r="F655" s="116">
        <v>6645.5</v>
      </c>
      <c r="G655">
        <v>33268</v>
      </c>
      <c r="H655" s="116"/>
      <c r="I655" s="116"/>
      <c r="L655" s="170">
        <v>42965</v>
      </c>
      <c r="M655" s="116">
        <v>332.67</v>
      </c>
      <c r="N655" s="116">
        <v>336.72250000000003</v>
      </c>
      <c r="O655" s="116">
        <v>331</v>
      </c>
      <c r="P655" s="116">
        <v>331</v>
      </c>
      <c r="Q655" s="116">
        <v>6653.4</v>
      </c>
      <c r="R655">
        <v>61884</v>
      </c>
    </row>
    <row r="656" spans="1:18" x14ac:dyDescent="0.25">
      <c r="A656" s="170">
        <v>42968</v>
      </c>
      <c r="B656" s="116">
        <v>333</v>
      </c>
      <c r="C656" s="116">
        <v>330.88249999999999</v>
      </c>
      <c r="D656" s="116">
        <v>329.79500000000002</v>
      </c>
      <c r="E656" s="116">
        <v>333</v>
      </c>
      <c r="F656" s="116">
        <v>6617.65</v>
      </c>
      <c r="G656">
        <v>20942</v>
      </c>
      <c r="H656" s="116"/>
      <c r="I656" s="116"/>
      <c r="L656" s="170">
        <v>42968</v>
      </c>
      <c r="M656" s="116">
        <v>330.96249999999998</v>
      </c>
      <c r="N656" s="116">
        <v>333.52499999999998</v>
      </c>
      <c r="O656" s="116">
        <v>328.90249999999997</v>
      </c>
      <c r="P656" s="116">
        <v>332</v>
      </c>
      <c r="Q656" s="116">
        <v>6619.25</v>
      </c>
      <c r="R656">
        <v>36805</v>
      </c>
    </row>
    <row r="657" spans="1:18" x14ac:dyDescent="0.25">
      <c r="A657" s="170">
        <v>42969</v>
      </c>
      <c r="B657" s="116">
        <v>336.25</v>
      </c>
      <c r="C657" s="116">
        <v>330.935</v>
      </c>
      <c r="D657" s="116">
        <v>329.2525</v>
      </c>
      <c r="E657" s="116">
        <v>332.89</v>
      </c>
      <c r="F657" s="116">
        <v>6618.7</v>
      </c>
      <c r="G657">
        <v>29268</v>
      </c>
      <c r="H657" s="116"/>
      <c r="I657" s="116"/>
      <c r="L657" s="170">
        <v>42969</v>
      </c>
      <c r="M657" s="116">
        <v>330.21749999999997</v>
      </c>
      <c r="N657" s="116">
        <v>336.75</v>
      </c>
      <c r="O657" s="116">
        <v>329.3</v>
      </c>
      <c r="P657" s="116">
        <v>331.30500000000001</v>
      </c>
      <c r="Q657" s="116">
        <v>6604.35</v>
      </c>
      <c r="R657">
        <v>46472</v>
      </c>
    </row>
    <row r="658" spans="1:18" x14ac:dyDescent="0.25">
      <c r="A658" s="170">
        <v>42970</v>
      </c>
      <c r="B658" s="116">
        <v>334.5</v>
      </c>
      <c r="C658" s="116">
        <v>331.22500000000002</v>
      </c>
      <c r="D658" s="116">
        <v>330.85</v>
      </c>
      <c r="E658" s="116">
        <v>333.5</v>
      </c>
      <c r="F658" s="116">
        <v>6624.5</v>
      </c>
      <c r="G658">
        <v>41094</v>
      </c>
      <c r="H658" s="116"/>
      <c r="I658" s="116"/>
      <c r="L658" s="170">
        <v>42970</v>
      </c>
      <c r="M658" s="116">
        <v>330.30250000000001</v>
      </c>
      <c r="N658" s="116">
        <v>335.2</v>
      </c>
      <c r="O658" s="116">
        <v>329.8</v>
      </c>
      <c r="P658" s="116">
        <v>335.2</v>
      </c>
      <c r="Q658" s="116">
        <v>6606.05</v>
      </c>
      <c r="R658">
        <v>20032</v>
      </c>
    </row>
    <row r="659" spans="1:18" x14ac:dyDescent="0.25">
      <c r="A659" s="170">
        <v>42971</v>
      </c>
      <c r="B659" s="116">
        <v>332.64</v>
      </c>
      <c r="C659" s="116">
        <v>329.73250000000002</v>
      </c>
      <c r="D659" s="116">
        <v>329.25</v>
      </c>
      <c r="E659" s="116">
        <v>331.95499999999998</v>
      </c>
      <c r="F659" s="116">
        <v>6594.65</v>
      </c>
      <c r="G659">
        <v>27670</v>
      </c>
      <c r="H659" s="116"/>
      <c r="I659" s="116"/>
      <c r="L659" s="170">
        <v>42971</v>
      </c>
      <c r="M659" s="116">
        <v>330.13</v>
      </c>
      <c r="N659" s="116">
        <v>332.5</v>
      </c>
      <c r="O659" s="116">
        <v>330.05250000000001</v>
      </c>
      <c r="P659" s="116">
        <v>331.4325</v>
      </c>
      <c r="Q659" s="116">
        <v>6602.6</v>
      </c>
      <c r="R659">
        <v>28250</v>
      </c>
    </row>
    <row r="660" spans="1:18" x14ac:dyDescent="0.25">
      <c r="A660" s="170">
        <v>42975</v>
      </c>
      <c r="B660" s="116">
        <v>353.61250000000001</v>
      </c>
      <c r="C660" s="116">
        <v>352.56</v>
      </c>
      <c r="D660" s="116">
        <v>333.73750000000001</v>
      </c>
      <c r="E660" s="116">
        <v>333.73750000000001</v>
      </c>
      <c r="F660" s="116">
        <v>7051.2</v>
      </c>
      <c r="G660">
        <v>16354</v>
      </c>
      <c r="H660" s="116"/>
      <c r="I660" s="116"/>
      <c r="L660" s="170">
        <v>42975</v>
      </c>
      <c r="M660" s="116">
        <v>352.43</v>
      </c>
      <c r="N660" s="116">
        <v>353.7</v>
      </c>
      <c r="O660" s="116">
        <v>332.5</v>
      </c>
      <c r="P660" s="116">
        <v>333.6</v>
      </c>
      <c r="Q660" s="116">
        <v>7048.6</v>
      </c>
      <c r="R660">
        <v>211001</v>
      </c>
    </row>
    <row r="661" spans="1:18" x14ac:dyDescent="0.25">
      <c r="A661" s="170">
        <v>42976</v>
      </c>
      <c r="B661" s="116">
        <v>353.49250000000001</v>
      </c>
      <c r="C661" s="116">
        <v>347.76</v>
      </c>
      <c r="D661" s="116">
        <v>345.01749999999998</v>
      </c>
      <c r="E661" s="116">
        <v>353.4</v>
      </c>
      <c r="F661" s="116">
        <v>6955.2</v>
      </c>
      <c r="G661">
        <v>14283</v>
      </c>
      <c r="H661" s="116"/>
      <c r="I661" s="116"/>
      <c r="L661" s="170">
        <v>42976</v>
      </c>
      <c r="M661" s="116">
        <v>347.81</v>
      </c>
      <c r="N661" s="116">
        <v>353.25</v>
      </c>
      <c r="O661" s="116">
        <v>344.38749999999999</v>
      </c>
      <c r="P661" s="116">
        <v>351.6</v>
      </c>
      <c r="Q661" s="116">
        <v>6956.2</v>
      </c>
      <c r="R661">
        <v>78828</v>
      </c>
    </row>
    <row r="662" spans="1:18" x14ac:dyDescent="0.25">
      <c r="A662" s="170">
        <v>42977</v>
      </c>
      <c r="B662" s="116">
        <v>352.19749999999999</v>
      </c>
      <c r="C662" s="116">
        <v>351.12</v>
      </c>
      <c r="D662" s="116">
        <v>346.69499999999999</v>
      </c>
      <c r="E662" s="116">
        <v>351.24250000000001</v>
      </c>
      <c r="F662" s="116">
        <v>7022.4</v>
      </c>
      <c r="G662">
        <v>3694</v>
      </c>
      <c r="H662" s="116"/>
      <c r="I662" s="116"/>
      <c r="L662" s="170">
        <v>42977</v>
      </c>
      <c r="M662" s="116">
        <v>351.67250000000001</v>
      </c>
      <c r="N662" s="116">
        <v>352.95</v>
      </c>
      <c r="O662" s="116">
        <v>343.50749999999999</v>
      </c>
      <c r="P662" s="116">
        <v>351.5</v>
      </c>
      <c r="Q662" s="116">
        <v>7033.45</v>
      </c>
      <c r="R662">
        <v>85274</v>
      </c>
    </row>
    <row r="663" spans="1:18" x14ac:dyDescent="0.25">
      <c r="A663" s="170">
        <v>42978</v>
      </c>
      <c r="B663" s="116">
        <v>356.0025</v>
      </c>
      <c r="C663" s="116">
        <v>355.05500000000001</v>
      </c>
      <c r="D663" s="116">
        <v>347.36500000000001</v>
      </c>
      <c r="E663" s="116">
        <v>351.77749999999997</v>
      </c>
      <c r="F663" s="116">
        <v>7101.1</v>
      </c>
      <c r="G663">
        <v>6391</v>
      </c>
      <c r="H663" s="116"/>
      <c r="I663" s="116"/>
      <c r="L663" s="170">
        <v>42978</v>
      </c>
      <c r="M663" s="116">
        <v>356.0625</v>
      </c>
      <c r="N663" s="116">
        <v>357</v>
      </c>
      <c r="O663" s="116">
        <v>347.54750000000001</v>
      </c>
      <c r="P663" s="116">
        <v>352.5</v>
      </c>
      <c r="Q663" s="116">
        <v>7121.25</v>
      </c>
      <c r="R663">
        <v>93447</v>
      </c>
    </row>
    <row r="664" spans="1:18" x14ac:dyDescent="0.25">
      <c r="A664" s="170">
        <v>42979</v>
      </c>
      <c r="B664" s="116">
        <v>355</v>
      </c>
      <c r="C664" s="116">
        <v>351.10500000000002</v>
      </c>
      <c r="D664" s="116">
        <v>350.05</v>
      </c>
      <c r="E664" s="116">
        <v>354.45</v>
      </c>
      <c r="F664" s="116">
        <v>7022.1</v>
      </c>
      <c r="G664">
        <v>2078</v>
      </c>
      <c r="H664" s="116"/>
      <c r="I664" s="116"/>
      <c r="L664" s="170">
        <v>42979</v>
      </c>
      <c r="M664" s="116">
        <v>350.76499999999999</v>
      </c>
      <c r="N664" s="116">
        <v>355.7475</v>
      </c>
      <c r="O664" s="116">
        <v>350.15</v>
      </c>
      <c r="P664" s="116">
        <v>355</v>
      </c>
      <c r="Q664" s="116">
        <v>7015.3</v>
      </c>
      <c r="R664">
        <v>32090</v>
      </c>
    </row>
    <row r="665" spans="1:18" x14ac:dyDescent="0.25">
      <c r="A665" s="170">
        <v>42982</v>
      </c>
      <c r="B665" s="116">
        <v>352.3775</v>
      </c>
      <c r="C665" s="116">
        <v>342.9375</v>
      </c>
      <c r="D665" s="116">
        <v>342.08249999999998</v>
      </c>
      <c r="E665" s="116">
        <v>351</v>
      </c>
      <c r="F665" s="116">
        <v>6858.75</v>
      </c>
      <c r="G665">
        <v>2732</v>
      </c>
      <c r="H665" s="116"/>
      <c r="I665" s="116"/>
      <c r="L665" s="170">
        <v>42982</v>
      </c>
      <c r="M665" s="116">
        <v>343.24</v>
      </c>
      <c r="N665" s="116">
        <v>353.7</v>
      </c>
      <c r="O665" s="116">
        <v>342.55500000000001</v>
      </c>
      <c r="P665" s="116">
        <v>353.7</v>
      </c>
      <c r="Q665" s="116">
        <v>6864.8</v>
      </c>
      <c r="R665">
        <v>52035</v>
      </c>
    </row>
    <row r="666" spans="1:18" x14ac:dyDescent="0.25">
      <c r="A666" s="170">
        <v>42983</v>
      </c>
      <c r="B666" s="116">
        <v>351.45</v>
      </c>
      <c r="C666" s="116">
        <v>351.14749999999998</v>
      </c>
      <c r="D666" s="116">
        <v>344.89749999999998</v>
      </c>
      <c r="E666" s="116">
        <v>344.89749999999998</v>
      </c>
      <c r="F666" s="116">
        <v>7022.95</v>
      </c>
      <c r="G666">
        <v>3725</v>
      </c>
      <c r="H666" s="116"/>
      <c r="I666" s="116"/>
      <c r="L666" s="170">
        <v>42983</v>
      </c>
      <c r="M666" s="116">
        <v>351.38749999999999</v>
      </c>
      <c r="N666" s="116">
        <v>352.25</v>
      </c>
      <c r="O666" s="116">
        <v>344</v>
      </c>
      <c r="P666" s="116">
        <v>344</v>
      </c>
      <c r="Q666" s="116">
        <v>7027.75</v>
      </c>
      <c r="R666">
        <v>95357</v>
      </c>
    </row>
    <row r="667" spans="1:18" x14ac:dyDescent="0.25">
      <c r="A667" s="170">
        <v>42984</v>
      </c>
      <c r="B667" s="116">
        <v>349.4425</v>
      </c>
      <c r="C667" s="116">
        <v>347.48500000000001</v>
      </c>
      <c r="D667" s="116">
        <v>340</v>
      </c>
      <c r="E667" s="116">
        <v>340.505</v>
      </c>
      <c r="F667" s="116">
        <v>6949.7</v>
      </c>
      <c r="G667">
        <v>2879</v>
      </c>
      <c r="H667" s="116"/>
      <c r="I667" s="116"/>
      <c r="L667" s="170">
        <v>42984</v>
      </c>
      <c r="M667" s="116">
        <v>348.67750000000001</v>
      </c>
      <c r="N667" s="116">
        <v>349.82249999999999</v>
      </c>
      <c r="O667" s="116">
        <v>345.72500000000002</v>
      </c>
      <c r="P667" s="116">
        <v>348.45</v>
      </c>
      <c r="Q667" s="116">
        <v>6973.55</v>
      </c>
      <c r="R667">
        <v>52319</v>
      </c>
    </row>
    <row r="668" spans="1:18" x14ac:dyDescent="0.25">
      <c r="A668" s="170">
        <v>42985</v>
      </c>
      <c r="B668" s="116">
        <v>358.45</v>
      </c>
      <c r="C668" s="116">
        <v>356.88749999999999</v>
      </c>
      <c r="D668" s="116">
        <v>347.16</v>
      </c>
      <c r="E668" s="116">
        <v>350</v>
      </c>
      <c r="F668" s="116">
        <v>7137.75</v>
      </c>
      <c r="G668">
        <v>8830</v>
      </c>
      <c r="H668" s="116"/>
      <c r="I668" s="116"/>
      <c r="L668" s="170">
        <v>42985</v>
      </c>
      <c r="M668" s="116">
        <v>356.6275</v>
      </c>
      <c r="N668" s="116">
        <v>358.45</v>
      </c>
      <c r="O668" s="116">
        <v>346.60250000000002</v>
      </c>
      <c r="P668" s="116">
        <v>349.9975</v>
      </c>
      <c r="Q668" s="116">
        <v>7132.55</v>
      </c>
      <c r="R668">
        <v>81994</v>
      </c>
    </row>
    <row r="669" spans="1:18" x14ac:dyDescent="0.25">
      <c r="A669" s="170">
        <v>42986</v>
      </c>
      <c r="B669" s="116">
        <v>361</v>
      </c>
      <c r="C669" s="116">
        <v>359.74</v>
      </c>
      <c r="D669" s="116">
        <v>356.7475</v>
      </c>
      <c r="E669" s="116">
        <v>357</v>
      </c>
      <c r="F669" s="116">
        <v>7194.8</v>
      </c>
      <c r="G669">
        <v>7825</v>
      </c>
      <c r="H669" s="116"/>
      <c r="I669" s="116"/>
      <c r="L669" s="170">
        <v>42986</v>
      </c>
      <c r="M669" s="116">
        <v>360.07</v>
      </c>
      <c r="N669" s="116">
        <v>361.25</v>
      </c>
      <c r="O669" s="116">
        <v>356.55</v>
      </c>
      <c r="P669" s="116">
        <v>359.38249999999999</v>
      </c>
      <c r="Q669" s="116">
        <v>7201.4</v>
      </c>
      <c r="R669">
        <v>65653</v>
      </c>
    </row>
    <row r="670" spans="1:18" x14ac:dyDescent="0.25">
      <c r="A670" s="170">
        <v>42989</v>
      </c>
      <c r="B670" s="116">
        <v>365.95</v>
      </c>
      <c r="C670" s="116">
        <v>364.6825</v>
      </c>
      <c r="D670" s="116">
        <v>360.5025</v>
      </c>
      <c r="E670" s="116">
        <v>360.9975</v>
      </c>
      <c r="F670" s="116">
        <v>7293.65</v>
      </c>
      <c r="G670">
        <v>7475</v>
      </c>
      <c r="H670" s="116"/>
      <c r="I670" s="116"/>
      <c r="L670" s="170">
        <v>42989</v>
      </c>
      <c r="M670" s="116">
        <v>364.76</v>
      </c>
      <c r="N670" s="116">
        <v>365.95</v>
      </c>
      <c r="O670" s="116">
        <v>359.4</v>
      </c>
      <c r="P670" s="116">
        <v>359.4</v>
      </c>
      <c r="Q670" s="116">
        <v>7295.2</v>
      </c>
      <c r="R670">
        <v>51092</v>
      </c>
    </row>
    <row r="671" spans="1:18" x14ac:dyDescent="0.25">
      <c r="A671" s="170">
        <v>42990</v>
      </c>
      <c r="B671" s="116">
        <v>370.41750000000002</v>
      </c>
      <c r="C671" s="116">
        <v>368.57499999999999</v>
      </c>
      <c r="D671" s="116">
        <v>361.5</v>
      </c>
      <c r="E671" s="116">
        <v>366.80500000000001</v>
      </c>
      <c r="F671" s="116">
        <v>7371.5</v>
      </c>
      <c r="G671">
        <v>7239</v>
      </c>
      <c r="H671" s="116"/>
      <c r="I671" s="116"/>
      <c r="L671" s="170">
        <v>42990</v>
      </c>
      <c r="M671" s="116">
        <v>369.4375</v>
      </c>
      <c r="N671" s="116">
        <v>370.45</v>
      </c>
      <c r="O671" s="116">
        <v>361.53</v>
      </c>
      <c r="P671" s="116">
        <v>366.5</v>
      </c>
      <c r="Q671" s="116">
        <v>7388.75</v>
      </c>
      <c r="R671">
        <v>63565</v>
      </c>
    </row>
    <row r="672" spans="1:18" x14ac:dyDescent="0.25">
      <c r="A672" s="170">
        <v>42991</v>
      </c>
      <c r="B672" s="116">
        <v>370.35</v>
      </c>
      <c r="C672" s="116">
        <v>362.66750000000002</v>
      </c>
      <c r="D672" s="116">
        <v>360.05250000000001</v>
      </c>
      <c r="E672" s="116">
        <v>367.5</v>
      </c>
      <c r="F672" s="116">
        <v>7253.35</v>
      </c>
      <c r="G672">
        <v>2852</v>
      </c>
      <c r="H672" s="116"/>
      <c r="I672" s="116"/>
      <c r="L672" s="170">
        <v>42991</v>
      </c>
      <c r="M672" s="116">
        <v>361.96499999999997</v>
      </c>
      <c r="N672" s="116">
        <v>370.5</v>
      </c>
      <c r="O672" s="116">
        <v>360.5</v>
      </c>
      <c r="P672" s="116">
        <v>369.01</v>
      </c>
      <c r="Q672" s="116">
        <v>7239.3</v>
      </c>
      <c r="R672">
        <v>52857</v>
      </c>
    </row>
    <row r="673" spans="1:18" x14ac:dyDescent="0.25">
      <c r="A673" s="170">
        <v>42992</v>
      </c>
      <c r="B673" s="116">
        <v>365</v>
      </c>
      <c r="C673" s="116">
        <v>362.63</v>
      </c>
      <c r="D673" s="116">
        <v>360.30500000000001</v>
      </c>
      <c r="E673" s="116">
        <v>365</v>
      </c>
      <c r="F673" s="116">
        <v>7252.6</v>
      </c>
      <c r="G673">
        <v>981</v>
      </c>
      <c r="H673" s="116"/>
      <c r="I673" s="116"/>
      <c r="L673" s="170">
        <v>42992</v>
      </c>
      <c r="M673" s="116">
        <v>361.70499999999998</v>
      </c>
      <c r="N673" s="116">
        <v>367.35</v>
      </c>
      <c r="O673" s="116">
        <v>360.36</v>
      </c>
      <c r="P673" s="116">
        <v>367.35</v>
      </c>
      <c r="Q673" s="116">
        <v>7234.1</v>
      </c>
      <c r="R673">
        <v>55141</v>
      </c>
    </row>
    <row r="674" spans="1:18" x14ac:dyDescent="0.25">
      <c r="A674" s="170">
        <v>42993</v>
      </c>
      <c r="B674" s="116">
        <v>367.84249999999997</v>
      </c>
      <c r="C674" s="116">
        <v>366.76499999999999</v>
      </c>
      <c r="D674" s="116">
        <v>361.53500000000003</v>
      </c>
      <c r="E674" s="116">
        <v>361.70499999999998</v>
      </c>
      <c r="F674" s="116">
        <v>7335.3</v>
      </c>
      <c r="G674">
        <v>1092</v>
      </c>
      <c r="H674" s="116"/>
      <c r="I674" s="116"/>
      <c r="L674" s="170">
        <v>42993</v>
      </c>
      <c r="M674" s="116">
        <v>367.45249999999999</v>
      </c>
      <c r="N674" s="116">
        <v>368.45</v>
      </c>
      <c r="O674" s="116">
        <v>360.80500000000001</v>
      </c>
      <c r="P674" s="116">
        <v>361.0025</v>
      </c>
      <c r="Q674" s="116">
        <v>7349.05</v>
      </c>
      <c r="R674">
        <v>54195</v>
      </c>
    </row>
    <row r="675" spans="1:18" x14ac:dyDescent="0.25">
      <c r="A675" s="170">
        <v>42996</v>
      </c>
      <c r="B675" s="116">
        <v>366.8</v>
      </c>
      <c r="C675" s="116">
        <v>364.53500000000003</v>
      </c>
      <c r="D675" s="116">
        <v>363.9</v>
      </c>
      <c r="E675" s="116">
        <v>366.8</v>
      </c>
      <c r="F675" s="116">
        <v>7290.7</v>
      </c>
      <c r="G675">
        <v>883</v>
      </c>
      <c r="H675" s="116"/>
      <c r="I675" s="116"/>
      <c r="L675" s="170">
        <v>42996</v>
      </c>
      <c r="M675" s="116">
        <v>364.42500000000001</v>
      </c>
      <c r="N675" s="116">
        <v>367.34500000000003</v>
      </c>
      <c r="O675" s="116">
        <v>364.07249999999999</v>
      </c>
      <c r="P675" s="116">
        <v>365.5</v>
      </c>
      <c r="Q675" s="116">
        <v>7288.5</v>
      </c>
      <c r="R675">
        <v>14132</v>
      </c>
    </row>
    <row r="676" spans="1:18" x14ac:dyDescent="0.25">
      <c r="A676" s="170">
        <v>42997</v>
      </c>
      <c r="B676" s="116">
        <v>366.02749999999997</v>
      </c>
      <c r="C676" s="116">
        <v>363.60500000000002</v>
      </c>
      <c r="D676" s="116">
        <v>362.04500000000002</v>
      </c>
      <c r="E676" s="116">
        <v>364.53500000000003</v>
      </c>
      <c r="F676" s="116">
        <v>7272.1</v>
      </c>
      <c r="G676">
        <v>805</v>
      </c>
      <c r="H676" s="116"/>
      <c r="I676" s="116"/>
      <c r="L676" s="170">
        <v>42997</v>
      </c>
      <c r="M676" s="116">
        <v>362.74</v>
      </c>
      <c r="N676" s="116">
        <v>366.25</v>
      </c>
      <c r="O676" s="116">
        <v>362</v>
      </c>
      <c r="P676" s="116">
        <v>365</v>
      </c>
      <c r="Q676" s="116">
        <v>7254.8</v>
      </c>
      <c r="R676">
        <v>16712</v>
      </c>
    </row>
    <row r="677" spans="1:18" x14ac:dyDescent="0.25">
      <c r="A677" s="170">
        <v>42998</v>
      </c>
      <c r="B677" s="116">
        <v>362.12</v>
      </c>
      <c r="C677" s="116">
        <v>361.15</v>
      </c>
      <c r="D677" s="116">
        <v>358.75</v>
      </c>
      <c r="E677" s="116">
        <v>361.36500000000001</v>
      </c>
      <c r="F677" s="116">
        <v>7223</v>
      </c>
      <c r="G677">
        <v>1220</v>
      </c>
      <c r="H677" s="116"/>
      <c r="I677" s="116"/>
      <c r="L677" s="170">
        <v>42998</v>
      </c>
      <c r="M677" s="116">
        <v>360.16750000000002</v>
      </c>
      <c r="N677" s="116">
        <v>362.5</v>
      </c>
      <c r="O677" s="116">
        <v>358.16</v>
      </c>
      <c r="P677" s="116">
        <v>362.5</v>
      </c>
      <c r="Q677" s="116">
        <v>7203.35</v>
      </c>
      <c r="R677">
        <v>32379</v>
      </c>
    </row>
    <row r="678" spans="1:18" x14ac:dyDescent="0.25">
      <c r="A678" s="170">
        <v>42999</v>
      </c>
      <c r="B678" s="116">
        <v>360.41250000000002</v>
      </c>
      <c r="C678" s="116">
        <v>357.19499999999999</v>
      </c>
      <c r="D678" s="116">
        <v>355.63</v>
      </c>
      <c r="E678" s="116">
        <v>360.04750000000001</v>
      </c>
      <c r="F678" s="116">
        <v>7143.9</v>
      </c>
      <c r="G678">
        <v>1321</v>
      </c>
      <c r="H678" s="116"/>
      <c r="I678" s="116"/>
      <c r="L678" s="170">
        <v>42999</v>
      </c>
      <c r="M678" s="116">
        <v>357.31</v>
      </c>
      <c r="N678" s="116">
        <v>360.59</v>
      </c>
      <c r="O678" s="116">
        <v>355.22</v>
      </c>
      <c r="P678" s="116">
        <v>360.1</v>
      </c>
      <c r="Q678" s="116">
        <v>7146.2</v>
      </c>
      <c r="R678">
        <v>113644</v>
      </c>
    </row>
    <row r="679" spans="1:18" x14ac:dyDescent="0.25">
      <c r="A679" s="170">
        <v>43000</v>
      </c>
      <c r="B679" s="116">
        <v>359.5625</v>
      </c>
      <c r="C679" s="116">
        <v>358.39499999999998</v>
      </c>
      <c r="D679" s="116">
        <v>354.53250000000003</v>
      </c>
      <c r="E679" s="116">
        <v>356.6</v>
      </c>
      <c r="F679" s="116">
        <v>7167.9</v>
      </c>
      <c r="G679">
        <v>979</v>
      </c>
      <c r="H679" s="116"/>
      <c r="I679" s="116"/>
      <c r="L679" s="170">
        <v>43000</v>
      </c>
      <c r="M679" s="116">
        <v>358.47750000000002</v>
      </c>
      <c r="N679" s="116">
        <v>360.19499999999999</v>
      </c>
      <c r="O679" s="116">
        <v>355.35250000000002</v>
      </c>
      <c r="P679" s="116">
        <v>357.5</v>
      </c>
      <c r="Q679" s="116">
        <v>7169.55</v>
      </c>
      <c r="R679">
        <v>17066</v>
      </c>
    </row>
    <row r="680" spans="1:18" x14ac:dyDescent="0.25">
      <c r="A680" s="170">
        <v>43003</v>
      </c>
      <c r="B680" s="116">
        <v>358.435</v>
      </c>
      <c r="C680" s="116">
        <v>356.57</v>
      </c>
      <c r="D680" s="116">
        <v>353.1</v>
      </c>
      <c r="E680" s="116">
        <v>357.25</v>
      </c>
      <c r="F680" s="116">
        <v>7131.4</v>
      </c>
      <c r="G680">
        <v>971</v>
      </c>
      <c r="H680" s="116"/>
      <c r="I680" s="116"/>
      <c r="L680" s="170">
        <v>43003</v>
      </c>
      <c r="M680" s="116">
        <v>357.32</v>
      </c>
      <c r="N680" s="116">
        <v>360</v>
      </c>
      <c r="O680" s="116">
        <v>352.54750000000001</v>
      </c>
      <c r="P680" s="116">
        <v>356.5</v>
      </c>
      <c r="Q680" s="116">
        <v>7146.4</v>
      </c>
      <c r="R680">
        <v>31480</v>
      </c>
    </row>
    <row r="681" spans="1:18" x14ac:dyDescent="0.25">
      <c r="A681" s="170">
        <v>43004</v>
      </c>
      <c r="B681" s="116">
        <v>358.6</v>
      </c>
      <c r="C681" s="116">
        <v>353.60750000000002</v>
      </c>
      <c r="D681" s="116">
        <v>352.5</v>
      </c>
      <c r="E681" s="116">
        <v>357.5</v>
      </c>
      <c r="F681" s="116">
        <v>7072.15</v>
      </c>
      <c r="G681">
        <v>783</v>
      </c>
      <c r="H681" s="116"/>
      <c r="I681" s="116"/>
      <c r="L681" s="170">
        <v>43004</v>
      </c>
      <c r="M681" s="116">
        <v>352.73500000000001</v>
      </c>
      <c r="N681" s="116">
        <v>358.63499999999999</v>
      </c>
      <c r="O681" s="116">
        <v>351.55</v>
      </c>
      <c r="P681" s="116">
        <v>355.65</v>
      </c>
      <c r="Q681" s="116">
        <v>7054.7</v>
      </c>
      <c r="R681">
        <v>22470</v>
      </c>
    </row>
    <row r="682" spans="1:18" x14ac:dyDescent="0.25">
      <c r="A682" s="170">
        <v>43005</v>
      </c>
      <c r="B682" s="116">
        <v>356.82749999999999</v>
      </c>
      <c r="C682" s="116">
        <v>355.01</v>
      </c>
      <c r="D682" s="116">
        <v>350.625</v>
      </c>
      <c r="E682" s="116">
        <v>354.65750000000003</v>
      </c>
      <c r="F682" s="116">
        <v>7100.2</v>
      </c>
      <c r="G682">
        <v>1517</v>
      </c>
      <c r="H682" s="116"/>
      <c r="I682" s="116"/>
      <c r="L682" s="170">
        <v>43005</v>
      </c>
      <c r="M682" s="116">
        <v>355.10250000000002</v>
      </c>
      <c r="N682" s="116">
        <v>356.7475</v>
      </c>
      <c r="O682" s="116">
        <v>350.41</v>
      </c>
      <c r="P682" s="116">
        <v>353.9375</v>
      </c>
      <c r="Q682" s="116">
        <v>7102.05</v>
      </c>
      <c r="R682">
        <v>49112</v>
      </c>
    </row>
    <row r="683" spans="1:18" x14ac:dyDescent="0.25">
      <c r="A683" s="170">
        <v>43006</v>
      </c>
      <c r="B683" s="116">
        <v>361.90249999999997</v>
      </c>
      <c r="C683" s="116">
        <v>357.75</v>
      </c>
      <c r="D683" s="116">
        <v>353.505</v>
      </c>
      <c r="E683" s="116">
        <v>356.58749999999998</v>
      </c>
      <c r="F683" s="116">
        <v>7155</v>
      </c>
      <c r="G683">
        <v>1794</v>
      </c>
      <c r="H683" s="116"/>
      <c r="I683" s="116"/>
      <c r="L683" s="170">
        <v>43006</v>
      </c>
      <c r="M683" s="116">
        <v>356.88</v>
      </c>
      <c r="N683" s="116">
        <v>362.11</v>
      </c>
      <c r="O683" s="116">
        <v>353.57</v>
      </c>
      <c r="P683" s="116">
        <v>355.5025</v>
      </c>
      <c r="Q683" s="116">
        <v>7137.6</v>
      </c>
      <c r="R683">
        <v>55293</v>
      </c>
    </row>
    <row r="684" spans="1:18" x14ac:dyDescent="0.25">
      <c r="A684" s="170">
        <v>43007</v>
      </c>
      <c r="B684" s="116">
        <v>362.5</v>
      </c>
      <c r="C684" s="116">
        <v>361.11250000000001</v>
      </c>
      <c r="D684" s="116">
        <v>355.57749999999999</v>
      </c>
      <c r="E684" s="116">
        <v>355.57749999999999</v>
      </c>
      <c r="F684" s="116">
        <v>7222.25</v>
      </c>
      <c r="G684">
        <v>967</v>
      </c>
      <c r="H684" s="116"/>
      <c r="I684" s="116"/>
      <c r="L684" s="170">
        <v>43007</v>
      </c>
      <c r="M684" s="116">
        <v>360.82499999999999</v>
      </c>
      <c r="N684" s="116">
        <v>362.76499999999999</v>
      </c>
      <c r="O684" s="116">
        <v>356</v>
      </c>
      <c r="P684" s="116">
        <v>356.0025</v>
      </c>
      <c r="Q684" s="116">
        <v>7216.5</v>
      </c>
      <c r="R684">
        <v>48861</v>
      </c>
    </row>
    <row r="685" spans="1:18" x14ac:dyDescent="0.25">
      <c r="A685" s="170">
        <v>43011</v>
      </c>
      <c r="B685" s="116">
        <v>368.77499999999998</v>
      </c>
      <c r="C685" s="116">
        <v>365.65499999999997</v>
      </c>
      <c r="D685" s="116">
        <v>362.78500000000003</v>
      </c>
      <c r="E685" s="116">
        <v>363.2</v>
      </c>
      <c r="F685" s="116">
        <v>7313.1</v>
      </c>
      <c r="G685">
        <v>1559</v>
      </c>
      <c r="H685" s="116"/>
      <c r="I685" s="116"/>
      <c r="L685" s="170">
        <v>43011</v>
      </c>
      <c r="M685" s="116">
        <v>365.47750000000002</v>
      </c>
      <c r="N685" s="116">
        <v>369.7475</v>
      </c>
      <c r="O685" s="116">
        <v>362.9975</v>
      </c>
      <c r="P685" s="116">
        <v>365</v>
      </c>
      <c r="Q685" s="116">
        <v>7309.55</v>
      </c>
      <c r="R685">
        <v>49856</v>
      </c>
    </row>
    <row r="686" spans="1:18" x14ac:dyDescent="0.25">
      <c r="A686" s="170">
        <v>43012</v>
      </c>
      <c r="B686" s="116">
        <v>367.5</v>
      </c>
      <c r="C686" s="116">
        <v>366.28</v>
      </c>
      <c r="D686" s="116">
        <v>361.6875</v>
      </c>
      <c r="E686" s="116">
        <v>363.5</v>
      </c>
      <c r="F686" s="116">
        <v>7325.6</v>
      </c>
      <c r="G686">
        <v>1598</v>
      </c>
      <c r="H686" s="116"/>
      <c r="I686" s="116"/>
      <c r="L686" s="170">
        <v>43012</v>
      </c>
      <c r="M686" s="116">
        <v>366.53</v>
      </c>
      <c r="N686" s="116">
        <v>367.74250000000001</v>
      </c>
      <c r="O686" s="116">
        <v>361.20249999999999</v>
      </c>
      <c r="P686" s="116">
        <v>362.1</v>
      </c>
      <c r="Q686" s="116">
        <v>7330.6</v>
      </c>
      <c r="R686">
        <v>23907</v>
      </c>
    </row>
    <row r="687" spans="1:18" x14ac:dyDescent="0.25">
      <c r="A687" s="170">
        <v>43013</v>
      </c>
      <c r="B687" s="116">
        <v>366.63249999999999</v>
      </c>
      <c r="C687" s="116">
        <v>362.85</v>
      </c>
      <c r="D687" s="116">
        <v>361.65499999999997</v>
      </c>
      <c r="E687" s="116">
        <v>366.495</v>
      </c>
      <c r="F687" s="116">
        <v>7257</v>
      </c>
      <c r="G687">
        <v>676</v>
      </c>
      <c r="H687" s="116"/>
      <c r="I687" s="116"/>
      <c r="L687" s="170">
        <v>43013</v>
      </c>
      <c r="M687" s="116">
        <v>363.04250000000002</v>
      </c>
      <c r="N687" s="116">
        <v>367.2475</v>
      </c>
      <c r="O687" s="116">
        <v>362.5</v>
      </c>
      <c r="P687" s="116">
        <v>365.5</v>
      </c>
      <c r="Q687" s="116">
        <v>7260.85</v>
      </c>
      <c r="R687">
        <v>8440</v>
      </c>
    </row>
    <row r="688" spans="1:18" x14ac:dyDescent="0.25">
      <c r="A688" s="170">
        <v>43014</v>
      </c>
      <c r="B688" s="116">
        <v>368</v>
      </c>
      <c r="C688" s="116">
        <v>367.08499999999998</v>
      </c>
      <c r="D688" s="116">
        <v>363.6</v>
      </c>
      <c r="E688" s="116">
        <v>364.80500000000001</v>
      </c>
      <c r="F688" s="116">
        <v>7341.7</v>
      </c>
      <c r="G688">
        <v>737</v>
      </c>
      <c r="H688" s="116"/>
      <c r="I688" s="116"/>
      <c r="L688" s="170">
        <v>43014</v>
      </c>
      <c r="M688" s="116">
        <v>367.64</v>
      </c>
      <c r="N688" s="116">
        <v>369</v>
      </c>
      <c r="O688" s="116">
        <v>362.55250000000001</v>
      </c>
      <c r="P688" s="116">
        <v>365.05</v>
      </c>
      <c r="Q688" s="116">
        <v>7352.8</v>
      </c>
      <c r="R688">
        <v>31620</v>
      </c>
    </row>
    <row r="689" spans="1:18" x14ac:dyDescent="0.25">
      <c r="A689" s="170">
        <v>43017</v>
      </c>
      <c r="B689" s="116">
        <v>368.67750000000001</v>
      </c>
      <c r="C689" s="116">
        <v>364.55</v>
      </c>
      <c r="D689" s="116">
        <v>363</v>
      </c>
      <c r="E689" s="116">
        <v>367.15750000000003</v>
      </c>
      <c r="F689" s="116">
        <v>7291</v>
      </c>
      <c r="G689">
        <v>3169</v>
      </c>
      <c r="H689" s="116"/>
      <c r="I689" s="116"/>
      <c r="L689" s="170">
        <v>43017</v>
      </c>
      <c r="M689" s="116">
        <v>364.75749999999999</v>
      </c>
      <c r="N689" s="116">
        <v>368.95</v>
      </c>
      <c r="O689" s="116">
        <v>364.15</v>
      </c>
      <c r="P689" s="116">
        <v>367.745</v>
      </c>
      <c r="Q689" s="116">
        <v>7295.15</v>
      </c>
      <c r="R689">
        <v>12400</v>
      </c>
    </row>
    <row r="690" spans="1:18" x14ac:dyDescent="0.25">
      <c r="A690" s="170">
        <v>43018</v>
      </c>
      <c r="B690" s="116">
        <v>366.8</v>
      </c>
      <c r="C690" s="116">
        <v>364.41500000000002</v>
      </c>
      <c r="D690" s="116">
        <v>363.55</v>
      </c>
      <c r="E690" s="116">
        <v>366.73</v>
      </c>
      <c r="F690" s="116">
        <v>7288.3</v>
      </c>
      <c r="G690">
        <v>932</v>
      </c>
      <c r="H690" s="116"/>
      <c r="I690" s="116"/>
      <c r="L690" s="170">
        <v>43018</v>
      </c>
      <c r="M690" s="116">
        <v>364.41250000000002</v>
      </c>
      <c r="N690" s="116">
        <v>367.35</v>
      </c>
      <c r="O690" s="116">
        <v>363.57499999999999</v>
      </c>
      <c r="P690" s="116">
        <v>367.35</v>
      </c>
      <c r="Q690" s="116">
        <v>7288.25</v>
      </c>
      <c r="R690">
        <v>16879</v>
      </c>
    </row>
    <row r="691" spans="1:18" x14ac:dyDescent="0.25">
      <c r="A691" s="170">
        <v>43019</v>
      </c>
      <c r="B691" s="116">
        <v>365.98500000000001</v>
      </c>
      <c r="C691" s="116">
        <v>364.61</v>
      </c>
      <c r="D691" s="116">
        <v>363.48</v>
      </c>
      <c r="E691" s="116">
        <v>364.45</v>
      </c>
      <c r="F691" s="116">
        <v>7292.2</v>
      </c>
      <c r="G691">
        <v>962</v>
      </c>
      <c r="H691" s="116"/>
      <c r="I691" s="116"/>
      <c r="L691" s="170">
        <v>43019</v>
      </c>
      <c r="M691" s="116">
        <v>364.44</v>
      </c>
      <c r="N691" s="116">
        <v>365.94749999999999</v>
      </c>
      <c r="O691" s="116">
        <v>362.72250000000003</v>
      </c>
      <c r="P691" s="116">
        <v>364.75</v>
      </c>
      <c r="Q691" s="116">
        <v>7288.8</v>
      </c>
      <c r="R691">
        <v>34570</v>
      </c>
    </row>
    <row r="692" spans="1:18" x14ac:dyDescent="0.25">
      <c r="A692" s="170">
        <v>43020</v>
      </c>
      <c r="B692" s="116">
        <v>374</v>
      </c>
      <c r="C692" s="116">
        <v>369.03750000000002</v>
      </c>
      <c r="D692" s="116">
        <v>364.995</v>
      </c>
      <c r="E692" s="116">
        <v>364.995</v>
      </c>
      <c r="F692" s="116">
        <v>7380.75</v>
      </c>
      <c r="G692">
        <v>6223</v>
      </c>
      <c r="H692" s="116"/>
      <c r="I692" s="116"/>
      <c r="L692" s="170">
        <v>43020</v>
      </c>
      <c r="M692" s="116">
        <v>369.04500000000002</v>
      </c>
      <c r="N692" s="116">
        <v>374.15</v>
      </c>
      <c r="O692" s="116">
        <v>364.45</v>
      </c>
      <c r="P692" s="116">
        <v>365</v>
      </c>
      <c r="Q692" s="116">
        <v>7380.9</v>
      </c>
      <c r="R692">
        <v>73945</v>
      </c>
    </row>
    <row r="693" spans="1:18" x14ac:dyDescent="0.25">
      <c r="A693" s="170">
        <v>43021</v>
      </c>
      <c r="B693" s="116">
        <v>370.1825</v>
      </c>
      <c r="C693" s="116">
        <v>367.03250000000003</v>
      </c>
      <c r="D693" s="116">
        <v>365.95749999999998</v>
      </c>
      <c r="E693" s="116">
        <v>369.1</v>
      </c>
      <c r="F693" s="116">
        <v>7340.65</v>
      </c>
      <c r="G693">
        <v>874</v>
      </c>
      <c r="H693" s="116"/>
      <c r="I693" s="116"/>
      <c r="L693" s="170">
        <v>43021</v>
      </c>
      <c r="M693" s="116">
        <v>367.27</v>
      </c>
      <c r="N693" s="116">
        <v>370</v>
      </c>
      <c r="O693" s="116">
        <v>365.96749999999997</v>
      </c>
      <c r="P693" s="116">
        <v>369</v>
      </c>
      <c r="Q693" s="116">
        <v>7345.4</v>
      </c>
      <c r="R693">
        <v>180633</v>
      </c>
    </row>
    <row r="694" spans="1:18" x14ac:dyDescent="0.25">
      <c r="A694" s="170">
        <v>43024</v>
      </c>
      <c r="B694" s="116">
        <v>369.5</v>
      </c>
      <c r="C694" s="116">
        <v>364.0675</v>
      </c>
      <c r="D694" s="116">
        <v>355.57499999999999</v>
      </c>
      <c r="E694" s="116">
        <v>367.25</v>
      </c>
      <c r="F694" s="116">
        <v>7281.35</v>
      </c>
      <c r="G694">
        <v>2223</v>
      </c>
      <c r="H694" s="116"/>
      <c r="I694" s="116"/>
      <c r="L694" s="170">
        <v>43024</v>
      </c>
      <c r="M694" s="116">
        <v>364.14249999999998</v>
      </c>
      <c r="N694" s="116">
        <v>369.95</v>
      </c>
      <c r="O694" s="116">
        <v>363.2525</v>
      </c>
      <c r="P694" s="116">
        <v>365.25</v>
      </c>
      <c r="Q694" s="116">
        <v>7282.85</v>
      </c>
      <c r="R694">
        <v>20309</v>
      </c>
    </row>
    <row r="695" spans="1:18" x14ac:dyDescent="0.25">
      <c r="A695" s="170">
        <v>43025</v>
      </c>
      <c r="B695" s="116">
        <v>369.4325</v>
      </c>
      <c r="C695" s="116">
        <v>368.26749999999998</v>
      </c>
      <c r="D695" s="116">
        <v>361.95499999999998</v>
      </c>
      <c r="E695" s="116">
        <v>364.1</v>
      </c>
      <c r="F695" s="116">
        <v>7365.35</v>
      </c>
      <c r="G695">
        <v>1369</v>
      </c>
      <c r="H695" s="116"/>
      <c r="I695" s="116"/>
      <c r="L695" s="170">
        <v>43025</v>
      </c>
      <c r="M695" s="116">
        <v>368.69749999999999</v>
      </c>
      <c r="N695" s="116">
        <v>369.4</v>
      </c>
      <c r="O695" s="116">
        <v>361.80250000000001</v>
      </c>
      <c r="P695" s="116">
        <v>364.995</v>
      </c>
      <c r="Q695" s="116">
        <v>7373.95</v>
      </c>
      <c r="R695">
        <v>17809</v>
      </c>
    </row>
    <row r="696" spans="1:18" x14ac:dyDescent="0.25">
      <c r="A696" s="170">
        <v>43026</v>
      </c>
      <c r="B696" s="116">
        <v>366.95</v>
      </c>
      <c r="C696" s="116">
        <v>362.49</v>
      </c>
      <c r="D696" s="116">
        <v>361.35</v>
      </c>
      <c r="E696" s="116">
        <v>366.25</v>
      </c>
      <c r="F696" s="116">
        <v>7249.8</v>
      </c>
      <c r="G696">
        <v>1120</v>
      </c>
      <c r="H696" s="116"/>
      <c r="I696" s="116"/>
      <c r="L696" s="170">
        <v>43026</v>
      </c>
      <c r="M696" s="116">
        <v>362.28750000000002</v>
      </c>
      <c r="N696" s="116">
        <v>368.65</v>
      </c>
      <c r="O696" s="116">
        <v>361.0675</v>
      </c>
      <c r="P696" s="116">
        <v>368.65</v>
      </c>
      <c r="Q696" s="116">
        <v>7245.75</v>
      </c>
      <c r="R696">
        <v>15678</v>
      </c>
    </row>
    <row r="697" spans="1:18" x14ac:dyDescent="0.25">
      <c r="A697" s="170">
        <v>43027</v>
      </c>
      <c r="B697" s="116">
        <v>365</v>
      </c>
      <c r="C697" s="116">
        <v>361.75</v>
      </c>
      <c r="D697" s="116">
        <v>359.34750000000003</v>
      </c>
      <c r="E697" s="116">
        <v>365</v>
      </c>
      <c r="F697" s="116">
        <v>7235</v>
      </c>
      <c r="G697">
        <v>490</v>
      </c>
      <c r="H697" s="116"/>
      <c r="I697" s="116"/>
      <c r="L697" s="170">
        <v>43027</v>
      </c>
      <c r="M697" s="116">
        <v>360.81</v>
      </c>
      <c r="N697" s="116">
        <v>364.9975</v>
      </c>
      <c r="O697" s="116">
        <v>359.14</v>
      </c>
      <c r="P697" s="116">
        <v>364.25</v>
      </c>
      <c r="Q697" s="116">
        <v>7216.2</v>
      </c>
      <c r="R697">
        <v>3810</v>
      </c>
    </row>
    <row r="698" spans="1:18" x14ac:dyDescent="0.25">
      <c r="A698" s="170">
        <v>43031</v>
      </c>
      <c r="B698" s="116">
        <v>365.82749999999999</v>
      </c>
      <c r="C698" s="116">
        <v>362.26</v>
      </c>
      <c r="D698" s="116">
        <v>360.10250000000002</v>
      </c>
      <c r="E698" s="116">
        <v>363.12</v>
      </c>
      <c r="F698" s="116">
        <v>7245.2</v>
      </c>
      <c r="G698">
        <v>1597</v>
      </c>
      <c r="H698" s="116"/>
      <c r="I698" s="116"/>
      <c r="L698" s="170">
        <v>43031</v>
      </c>
      <c r="M698" s="116">
        <v>360.81</v>
      </c>
      <c r="N698" s="116">
        <v>366.2475</v>
      </c>
      <c r="O698" s="116">
        <v>360.1</v>
      </c>
      <c r="P698" s="116">
        <v>362.5</v>
      </c>
      <c r="Q698" s="116">
        <v>7216.2</v>
      </c>
      <c r="R698">
        <v>60706</v>
      </c>
    </row>
    <row r="699" spans="1:18" x14ac:dyDescent="0.25">
      <c r="A699" s="170">
        <v>43032</v>
      </c>
      <c r="B699" s="116">
        <v>363.05</v>
      </c>
      <c r="C699" s="116">
        <v>362.17750000000001</v>
      </c>
      <c r="D699" s="116">
        <v>360.69749999999999</v>
      </c>
      <c r="E699" s="116">
        <v>361</v>
      </c>
      <c r="F699" s="116">
        <v>7243.55</v>
      </c>
      <c r="G699">
        <v>541</v>
      </c>
      <c r="H699" s="116"/>
      <c r="I699" s="116"/>
      <c r="L699" s="170">
        <v>43032</v>
      </c>
      <c r="M699" s="116">
        <v>361.92750000000001</v>
      </c>
      <c r="N699" s="116">
        <v>363.85</v>
      </c>
      <c r="O699" s="116">
        <v>360.0025</v>
      </c>
      <c r="P699" s="116">
        <v>363.85</v>
      </c>
      <c r="Q699" s="116">
        <v>7238.55</v>
      </c>
      <c r="R699">
        <v>7616</v>
      </c>
    </row>
    <row r="700" spans="1:18" x14ac:dyDescent="0.25">
      <c r="A700" s="170">
        <v>43033</v>
      </c>
      <c r="B700" s="116">
        <v>362.65</v>
      </c>
      <c r="C700" s="116">
        <v>357.66250000000002</v>
      </c>
      <c r="D700" s="116">
        <v>356.5</v>
      </c>
      <c r="E700" s="116">
        <v>362.5</v>
      </c>
      <c r="F700" s="116">
        <v>7153.25</v>
      </c>
      <c r="G700">
        <v>2001</v>
      </c>
      <c r="H700" s="116"/>
      <c r="I700" s="116"/>
      <c r="L700" s="170">
        <v>43033</v>
      </c>
      <c r="M700" s="116">
        <v>357.67</v>
      </c>
      <c r="N700" s="116">
        <v>363</v>
      </c>
      <c r="O700" s="116">
        <v>355.86250000000001</v>
      </c>
      <c r="P700" s="116">
        <v>363</v>
      </c>
      <c r="Q700" s="116">
        <v>7153.4</v>
      </c>
      <c r="R700">
        <v>25934</v>
      </c>
    </row>
    <row r="701" spans="1:18" x14ac:dyDescent="0.25">
      <c r="A701" s="170">
        <v>43034</v>
      </c>
      <c r="B701" s="116">
        <v>362.5</v>
      </c>
      <c r="C701" s="116">
        <v>356.82749999999999</v>
      </c>
      <c r="D701" s="116">
        <v>355.35</v>
      </c>
      <c r="E701" s="116">
        <v>358.72750000000002</v>
      </c>
      <c r="F701" s="116">
        <v>7136.55</v>
      </c>
      <c r="G701">
        <v>1792</v>
      </c>
      <c r="H701" s="116"/>
      <c r="I701" s="116"/>
      <c r="L701" s="170">
        <v>43034</v>
      </c>
      <c r="M701" s="116">
        <v>357.245</v>
      </c>
      <c r="N701" s="116">
        <v>359.9325</v>
      </c>
      <c r="O701" s="116">
        <v>355.5025</v>
      </c>
      <c r="P701" s="116">
        <v>358.95</v>
      </c>
      <c r="Q701" s="116">
        <v>7144.9</v>
      </c>
      <c r="R701">
        <v>160226</v>
      </c>
    </row>
    <row r="702" spans="1:18" x14ac:dyDescent="0.25">
      <c r="A702" s="170">
        <v>43035</v>
      </c>
      <c r="B702" s="116">
        <v>360.24</v>
      </c>
      <c r="C702" s="116">
        <v>358.28500000000003</v>
      </c>
      <c r="D702" s="116">
        <v>356.85</v>
      </c>
      <c r="E702" s="116">
        <v>358.38249999999999</v>
      </c>
      <c r="F702" s="116">
        <v>7165.7</v>
      </c>
      <c r="G702">
        <v>576</v>
      </c>
      <c r="H702" s="116"/>
      <c r="I702" s="116"/>
      <c r="L702" s="170">
        <v>43035</v>
      </c>
      <c r="M702" s="116">
        <v>358.53250000000003</v>
      </c>
      <c r="N702" s="116">
        <v>360.5</v>
      </c>
      <c r="O702" s="116">
        <v>356.40249999999997</v>
      </c>
      <c r="P702" s="116">
        <v>358.67500000000001</v>
      </c>
      <c r="Q702" s="116">
        <v>7170.65</v>
      </c>
      <c r="R702">
        <v>17586</v>
      </c>
    </row>
    <row r="703" spans="1:18" x14ac:dyDescent="0.25">
      <c r="A703" s="170">
        <v>43038</v>
      </c>
      <c r="B703" s="116">
        <v>361.75</v>
      </c>
      <c r="C703" s="116">
        <v>360.48750000000001</v>
      </c>
      <c r="D703" s="116">
        <v>359.28250000000003</v>
      </c>
      <c r="E703" s="116">
        <v>360</v>
      </c>
      <c r="F703" s="116">
        <v>7209.75</v>
      </c>
      <c r="G703">
        <v>632</v>
      </c>
      <c r="H703" s="116"/>
      <c r="I703" s="116"/>
      <c r="L703" s="170">
        <v>43038</v>
      </c>
      <c r="M703" s="116">
        <v>360.98250000000002</v>
      </c>
      <c r="N703" s="116">
        <v>361.94749999999999</v>
      </c>
      <c r="O703" s="116">
        <v>359</v>
      </c>
      <c r="P703" s="116">
        <v>359</v>
      </c>
      <c r="Q703" s="116">
        <v>7219.65</v>
      </c>
      <c r="R703">
        <v>20204</v>
      </c>
    </row>
    <row r="704" spans="1:18" x14ac:dyDescent="0.25">
      <c r="A704" s="170">
        <v>43039</v>
      </c>
      <c r="B704" s="116">
        <v>364.02249999999998</v>
      </c>
      <c r="C704" s="116">
        <v>361.05500000000001</v>
      </c>
      <c r="D704" s="116">
        <v>360</v>
      </c>
      <c r="E704" s="116">
        <v>361.07749999999999</v>
      </c>
      <c r="F704" s="116">
        <v>7221.1</v>
      </c>
      <c r="G704">
        <v>931</v>
      </c>
      <c r="H704" s="116"/>
      <c r="I704" s="116"/>
      <c r="L704" s="170">
        <v>43039</v>
      </c>
      <c r="M704" s="116">
        <v>361.95</v>
      </c>
      <c r="N704" s="116">
        <v>365</v>
      </c>
      <c r="O704" s="116">
        <v>359.55500000000001</v>
      </c>
      <c r="P704" s="116">
        <v>361.95</v>
      </c>
      <c r="Q704" s="116">
        <v>7239</v>
      </c>
      <c r="R704">
        <v>28985</v>
      </c>
    </row>
    <row r="705" spans="1:18" x14ac:dyDescent="0.25">
      <c r="A705" s="170">
        <v>43040</v>
      </c>
      <c r="B705" s="116">
        <v>368.5</v>
      </c>
      <c r="C705" s="116">
        <v>365.52249999999998</v>
      </c>
      <c r="D705" s="116">
        <v>361.25</v>
      </c>
      <c r="E705" s="116">
        <v>362.04</v>
      </c>
      <c r="F705" s="116">
        <v>7310.45</v>
      </c>
      <c r="G705">
        <v>2397</v>
      </c>
      <c r="H705" s="116"/>
      <c r="I705" s="116"/>
      <c r="L705" s="170">
        <v>43040</v>
      </c>
      <c r="M705" s="116">
        <v>365.88499999999999</v>
      </c>
      <c r="N705" s="116">
        <v>369.14499999999998</v>
      </c>
      <c r="O705" s="116">
        <v>360.16500000000002</v>
      </c>
      <c r="P705" s="116">
        <v>363.2</v>
      </c>
      <c r="Q705" s="116">
        <v>7317.7</v>
      </c>
      <c r="R705">
        <v>48889</v>
      </c>
    </row>
    <row r="706" spans="1:18" x14ac:dyDescent="0.25">
      <c r="A706" s="170">
        <v>43041</v>
      </c>
      <c r="B706" s="116">
        <v>366.41250000000002</v>
      </c>
      <c r="C706" s="116">
        <v>363.40750000000003</v>
      </c>
      <c r="D706" s="116">
        <v>362.05</v>
      </c>
      <c r="E706" s="116">
        <v>365.52</v>
      </c>
      <c r="F706" s="116">
        <v>7268.15</v>
      </c>
      <c r="G706">
        <v>1150</v>
      </c>
      <c r="H706" s="116"/>
      <c r="I706" s="116"/>
      <c r="L706" s="170">
        <v>43041</v>
      </c>
      <c r="M706" s="116">
        <v>364.39249999999998</v>
      </c>
      <c r="N706" s="116">
        <v>367.5</v>
      </c>
      <c r="O706" s="116">
        <v>363.04250000000002</v>
      </c>
      <c r="P706" s="116">
        <v>366.4975</v>
      </c>
      <c r="Q706" s="116">
        <v>7287.85</v>
      </c>
      <c r="R706">
        <v>19811</v>
      </c>
    </row>
    <row r="707" spans="1:18" x14ac:dyDescent="0.25">
      <c r="A707" s="170">
        <v>43042</v>
      </c>
      <c r="B707" s="116">
        <v>371.25</v>
      </c>
      <c r="C707" s="116">
        <v>370.42750000000001</v>
      </c>
      <c r="D707" s="116">
        <v>358.14</v>
      </c>
      <c r="E707" s="116">
        <v>367</v>
      </c>
      <c r="F707" s="116">
        <v>7408.55</v>
      </c>
      <c r="G707">
        <v>3457</v>
      </c>
      <c r="H707" s="116"/>
      <c r="I707" s="116"/>
      <c r="L707" s="170">
        <v>43042</v>
      </c>
      <c r="M707" s="116">
        <v>370.67250000000001</v>
      </c>
      <c r="N707" s="116">
        <v>371.8</v>
      </c>
      <c r="O707" s="116">
        <v>358</v>
      </c>
      <c r="P707" s="116">
        <v>365</v>
      </c>
      <c r="Q707" s="116">
        <v>7413.45</v>
      </c>
      <c r="R707">
        <v>95153</v>
      </c>
    </row>
    <row r="708" spans="1:18" x14ac:dyDescent="0.25">
      <c r="A708" s="170">
        <v>43045</v>
      </c>
      <c r="B708" s="116">
        <v>386.5</v>
      </c>
      <c r="C708" s="116">
        <v>379.86750000000001</v>
      </c>
      <c r="D708" s="116">
        <v>364.185</v>
      </c>
      <c r="E708" s="116">
        <v>372.5</v>
      </c>
      <c r="F708" s="116">
        <v>7597.35</v>
      </c>
      <c r="G708">
        <v>7177</v>
      </c>
      <c r="H708" s="116"/>
      <c r="I708" s="116"/>
      <c r="L708" s="170">
        <v>43045</v>
      </c>
      <c r="M708" s="116">
        <v>379.72250000000003</v>
      </c>
      <c r="N708" s="116">
        <v>387</v>
      </c>
      <c r="O708" s="116">
        <v>364.39499999999998</v>
      </c>
      <c r="P708" s="116">
        <v>370.67250000000001</v>
      </c>
      <c r="Q708" s="116">
        <v>7594.45</v>
      </c>
      <c r="R708">
        <v>108302</v>
      </c>
    </row>
    <row r="709" spans="1:18" x14ac:dyDescent="0.25">
      <c r="A709" s="170">
        <v>43046</v>
      </c>
      <c r="B709" s="116">
        <v>388.05</v>
      </c>
      <c r="C709" s="116">
        <v>384.75</v>
      </c>
      <c r="D709" s="116">
        <v>379.8</v>
      </c>
      <c r="E709" s="116">
        <v>379.8</v>
      </c>
      <c r="F709" s="116">
        <v>7695</v>
      </c>
      <c r="G709">
        <v>4499</v>
      </c>
      <c r="H709" s="116"/>
      <c r="I709" s="116"/>
      <c r="L709" s="170">
        <v>43046</v>
      </c>
      <c r="M709" s="116">
        <v>384.77499999999998</v>
      </c>
      <c r="N709" s="116">
        <v>388.69749999999999</v>
      </c>
      <c r="O709" s="116">
        <v>380</v>
      </c>
      <c r="P709" s="116">
        <v>380</v>
      </c>
      <c r="Q709" s="116">
        <v>7695.5</v>
      </c>
      <c r="R709">
        <v>83339</v>
      </c>
    </row>
    <row r="710" spans="1:18" x14ac:dyDescent="0.25">
      <c r="A710" s="170">
        <v>43047</v>
      </c>
      <c r="B710" s="116">
        <v>400</v>
      </c>
      <c r="C710" s="116">
        <v>391.39499999999998</v>
      </c>
      <c r="D710" s="116">
        <v>376.755</v>
      </c>
      <c r="E710" s="116">
        <v>384.28</v>
      </c>
      <c r="F710" s="116">
        <v>7827.9</v>
      </c>
      <c r="G710">
        <v>7196</v>
      </c>
      <c r="H710" s="116"/>
      <c r="I710" s="116"/>
      <c r="L710" s="170">
        <v>43047</v>
      </c>
      <c r="M710" s="116">
        <v>391.4375</v>
      </c>
      <c r="N710" s="116">
        <v>394.85</v>
      </c>
      <c r="O710" s="116">
        <v>381.05</v>
      </c>
      <c r="P710" s="116">
        <v>381.05</v>
      </c>
      <c r="Q710" s="116">
        <v>7828.75</v>
      </c>
      <c r="R710">
        <v>89736</v>
      </c>
    </row>
    <row r="711" spans="1:18" x14ac:dyDescent="0.25">
      <c r="A711" s="170">
        <v>43048</v>
      </c>
      <c r="B711" s="116">
        <v>395</v>
      </c>
      <c r="C711" s="116">
        <v>389.65249999999997</v>
      </c>
      <c r="D711" s="116">
        <v>388.5575</v>
      </c>
      <c r="E711" s="116">
        <v>392.435</v>
      </c>
      <c r="F711" s="116">
        <v>7793.05</v>
      </c>
      <c r="G711">
        <v>1649</v>
      </c>
      <c r="H711" s="116"/>
      <c r="I711" s="116"/>
      <c r="L711" s="170">
        <v>43048</v>
      </c>
      <c r="M711" s="116">
        <v>389.96499999999997</v>
      </c>
      <c r="N711" s="116">
        <v>394.93</v>
      </c>
      <c r="O711" s="116">
        <v>388.65</v>
      </c>
      <c r="P711" s="116">
        <v>391.44749999999999</v>
      </c>
      <c r="Q711" s="116">
        <v>7799.3</v>
      </c>
      <c r="R711">
        <v>136442</v>
      </c>
    </row>
    <row r="712" spans="1:18" x14ac:dyDescent="0.25">
      <c r="A712" s="170">
        <v>43049</v>
      </c>
      <c r="B712" s="116">
        <v>392.82249999999999</v>
      </c>
      <c r="C712" s="116">
        <v>388.505</v>
      </c>
      <c r="D712" s="116">
        <v>382.5</v>
      </c>
      <c r="E712" s="116">
        <v>389.95</v>
      </c>
      <c r="F712" s="116">
        <v>7770.1</v>
      </c>
      <c r="G712">
        <v>2284</v>
      </c>
      <c r="H712" s="116"/>
      <c r="I712" s="116"/>
      <c r="L712" s="170">
        <v>43049</v>
      </c>
      <c r="M712" s="116">
        <v>389.26249999999999</v>
      </c>
      <c r="N712" s="116">
        <v>393.14499999999998</v>
      </c>
      <c r="O712" s="116">
        <v>382.00749999999999</v>
      </c>
      <c r="P712" s="116">
        <v>391</v>
      </c>
      <c r="Q712" s="116">
        <v>7785.25</v>
      </c>
      <c r="R712">
        <v>63886</v>
      </c>
    </row>
    <row r="713" spans="1:18" x14ac:dyDescent="0.25">
      <c r="A713" s="170">
        <v>43052</v>
      </c>
      <c r="B713" s="116">
        <v>397.25</v>
      </c>
      <c r="C713" s="116">
        <v>385.73250000000002</v>
      </c>
      <c r="D713" s="116">
        <v>382.78250000000003</v>
      </c>
      <c r="E713" s="116">
        <v>396.2</v>
      </c>
      <c r="F713" s="116">
        <v>7714.65</v>
      </c>
      <c r="G713">
        <v>3844</v>
      </c>
      <c r="H713" s="116"/>
      <c r="I713" s="116"/>
      <c r="L713" s="170">
        <v>43052</v>
      </c>
      <c r="M713" s="116">
        <v>385.99250000000001</v>
      </c>
      <c r="N713" s="116">
        <v>398.70749999999998</v>
      </c>
      <c r="O713" s="116">
        <v>382.40249999999997</v>
      </c>
      <c r="P713" s="116">
        <v>397.29750000000001</v>
      </c>
      <c r="Q713" s="116">
        <v>7719.85</v>
      </c>
      <c r="R713">
        <v>55712</v>
      </c>
    </row>
    <row r="714" spans="1:18" x14ac:dyDescent="0.25">
      <c r="A714" s="170">
        <v>43053</v>
      </c>
      <c r="B714" s="116">
        <v>388.51</v>
      </c>
      <c r="C714" s="116">
        <v>382.42250000000001</v>
      </c>
      <c r="D714" s="116">
        <v>380.5</v>
      </c>
      <c r="E714" s="116">
        <v>388.5</v>
      </c>
      <c r="F714" s="116">
        <v>7648.45</v>
      </c>
      <c r="G714">
        <v>1662</v>
      </c>
      <c r="H714" s="116"/>
      <c r="I714" s="116"/>
      <c r="L714" s="170">
        <v>43053</v>
      </c>
      <c r="M714" s="116">
        <v>382.03250000000003</v>
      </c>
      <c r="N714" s="116">
        <v>389.19499999999999</v>
      </c>
      <c r="O714" s="116">
        <v>380.5025</v>
      </c>
      <c r="P714" s="116">
        <v>386.005</v>
      </c>
      <c r="Q714" s="116">
        <v>7640.65</v>
      </c>
      <c r="R714">
        <v>24703</v>
      </c>
    </row>
    <row r="715" spans="1:18" x14ac:dyDescent="0.25">
      <c r="A715" s="170">
        <v>43054</v>
      </c>
      <c r="B715" s="116">
        <v>387.5</v>
      </c>
      <c r="C715" s="116">
        <v>385.23250000000002</v>
      </c>
      <c r="D715" s="116">
        <v>377.66</v>
      </c>
      <c r="E715" s="116">
        <v>383.54500000000002</v>
      </c>
      <c r="F715" s="116">
        <v>7704.65</v>
      </c>
      <c r="G715">
        <v>2901</v>
      </c>
      <c r="H715" s="116"/>
      <c r="I715" s="116"/>
      <c r="L715" s="170">
        <v>43054</v>
      </c>
      <c r="M715" s="116">
        <v>386.05500000000001</v>
      </c>
      <c r="N715" s="116">
        <v>388.75</v>
      </c>
      <c r="O715" s="116">
        <v>377.15249999999997</v>
      </c>
      <c r="P715" s="116">
        <v>383</v>
      </c>
      <c r="Q715" s="116">
        <v>7721.1</v>
      </c>
      <c r="R715">
        <v>103007</v>
      </c>
    </row>
    <row r="716" spans="1:18" x14ac:dyDescent="0.25">
      <c r="A716" s="170">
        <v>43055</v>
      </c>
      <c r="B716" s="116">
        <v>390.935</v>
      </c>
      <c r="C716" s="116">
        <v>382.98</v>
      </c>
      <c r="D716" s="116">
        <v>382.34750000000003</v>
      </c>
      <c r="E716" s="116">
        <v>388.3</v>
      </c>
      <c r="F716" s="116">
        <v>7659.6</v>
      </c>
      <c r="G716">
        <v>2548</v>
      </c>
      <c r="H716" s="116"/>
      <c r="I716" s="116"/>
      <c r="L716" s="170">
        <v>43055</v>
      </c>
      <c r="M716" s="116">
        <v>382.15750000000003</v>
      </c>
      <c r="N716" s="116">
        <v>391.19</v>
      </c>
      <c r="O716" s="116">
        <v>381.27249999999998</v>
      </c>
      <c r="P716" s="116">
        <v>386.82499999999999</v>
      </c>
      <c r="Q716" s="116">
        <v>7643.15</v>
      </c>
      <c r="R716">
        <v>30278</v>
      </c>
    </row>
    <row r="717" spans="1:18" x14ac:dyDescent="0.25">
      <c r="A717" s="170">
        <v>43056</v>
      </c>
      <c r="B717" s="116">
        <v>386</v>
      </c>
      <c r="C717" s="116">
        <v>384.45749999999998</v>
      </c>
      <c r="D717" s="116">
        <v>383.5</v>
      </c>
      <c r="E717" s="116">
        <v>384.82249999999999</v>
      </c>
      <c r="F717" s="116">
        <v>7689.15</v>
      </c>
      <c r="G717">
        <v>1156</v>
      </c>
      <c r="H717" s="116"/>
      <c r="I717" s="116"/>
      <c r="L717" s="170">
        <v>43056</v>
      </c>
      <c r="M717" s="116">
        <v>384.51749999999998</v>
      </c>
      <c r="N717" s="116">
        <v>389.4975</v>
      </c>
      <c r="O717" s="116">
        <v>383</v>
      </c>
      <c r="P717" s="116">
        <v>383.53</v>
      </c>
      <c r="Q717" s="116">
        <v>7690.35</v>
      </c>
      <c r="R717">
        <v>15179</v>
      </c>
    </row>
    <row r="718" spans="1:18" x14ac:dyDescent="0.25">
      <c r="A718" s="170">
        <v>43059</v>
      </c>
      <c r="B718" s="116">
        <v>391.14499999999998</v>
      </c>
      <c r="C718" s="116">
        <v>386.065</v>
      </c>
      <c r="D718" s="116">
        <v>383.3</v>
      </c>
      <c r="E718" s="116">
        <v>383.3</v>
      </c>
      <c r="F718" s="116">
        <v>7721.3</v>
      </c>
      <c r="G718">
        <v>2075</v>
      </c>
      <c r="H718" s="116"/>
      <c r="I718" s="116"/>
      <c r="L718" s="170">
        <v>43059</v>
      </c>
      <c r="M718" s="116">
        <v>386.23750000000001</v>
      </c>
      <c r="N718" s="116">
        <v>391.35</v>
      </c>
      <c r="O718" s="116">
        <v>383.8</v>
      </c>
      <c r="P718" s="116">
        <v>384.51749999999998</v>
      </c>
      <c r="Q718" s="116">
        <v>7724.75</v>
      </c>
      <c r="R718">
        <v>37582</v>
      </c>
    </row>
    <row r="719" spans="1:18" x14ac:dyDescent="0.25">
      <c r="A719" s="170">
        <v>43060</v>
      </c>
      <c r="B719" s="116">
        <v>388.7475</v>
      </c>
      <c r="C719" s="116">
        <v>387.48500000000001</v>
      </c>
      <c r="D719" s="116">
        <v>385.73750000000001</v>
      </c>
      <c r="E719" s="116">
        <v>387.5575</v>
      </c>
      <c r="F719" s="116">
        <v>7749.7</v>
      </c>
      <c r="G719">
        <v>870</v>
      </c>
      <c r="H719" s="116"/>
      <c r="I719" s="116"/>
      <c r="L719" s="170">
        <v>43060</v>
      </c>
      <c r="M719" s="116">
        <v>387.21749999999997</v>
      </c>
      <c r="N719" s="116">
        <v>388.65</v>
      </c>
      <c r="O719" s="116">
        <v>385.5025</v>
      </c>
      <c r="P719" s="116">
        <v>385.5025</v>
      </c>
      <c r="Q719" s="116">
        <v>7744.35</v>
      </c>
      <c r="R719">
        <v>20423</v>
      </c>
    </row>
    <row r="720" spans="1:18" x14ac:dyDescent="0.25">
      <c r="A720" s="170">
        <v>43061</v>
      </c>
      <c r="B720" s="116">
        <v>386.5</v>
      </c>
      <c r="C720" s="116">
        <v>381.19</v>
      </c>
      <c r="D720" s="116">
        <v>380.17500000000001</v>
      </c>
      <c r="E720" s="116">
        <v>386.5</v>
      </c>
      <c r="F720" s="116">
        <v>7623.8</v>
      </c>
      <c r="G720">
        <v>2031</v>
      </c>
      <c r="H720" s="116"/>
      <c r="I720" s="116"/>
      <c r="L720" s="170">
        <v>43061</v>
      </c>
      <c r="M720" s="116">
        <v>380.32</v>
      </c>
      <c r="N720" s="116">
        <v>387.35</v>
      </c>
      <c r="O720" s="116">
        <v>379.25749999999999</v>
      </c>
      <c r="P720" s="116">
        <v>387.35</v>
      </c>
      <c r="Q720" s="116">
        <v>7606.4</v>
      </c>
      <c r="R720">
        <v>55610</v>
      </c>
    </row>
    <row r="721" spans="1:18" x14ac:dyDescent="0.25">
      <c r="A721" s="170">
        <v>43062</v>
      </c>
      <c r="B721" s="116">
        <v>382.26</v>
      </c>
      <c r="C721" s="116">
        <v>381.23500000000001</v>
      </c>
      <c r="D721" s="116">
        <v>379.8725</v>
      </c>
      <c r="E721" s="116">
        <v>380.84249999999997</v>
      </c>
      <c r="F721" s="116">
        <v>7624.7</v>
      </c>
      <c r="G721">
        <v>510</v>
      </c>
      <c r="H721" s="116"/>
      <c r="I721" s="116"/>
      <c r="L721" s="170">
        <v>43062</v>
      </c>
      <c r="M721" s="116">
        <v>380.23750000000001</v>
      </c>
      <c r="N721" s="116">
        <v>382.65</v>
      </c>
      <c r="O721" s="116">
        <v>379.5</v>
      </c>
      <c r="P721" s="116">
        <v>382.65</v>
      </c>
      <c r="Q721" s="116">
        <v>7604.75</v>
      </c>
      <c r="R721">
        <v>28130</v>
      </c>
    </row>
    <row r="722" spans="1:18" x14ac:dyDescent="0.25">
      <c r="A722" s="170">
        <v>43063</v>
      </c>
      <c r="B722" s="116">
        <v>382.49</v>
      </c>
      <c r="C722" s="116">
        <v>375.505</v>
      </c>
      <c r="D722" s="116">
        <v>374</v>
      </c>
      <c r="E722" s="116">
        <v>382.33499999999998</v>
      </c>
      <c r="F722" s="116">
        <v>7510.1</v>
      </c>
      <c r="G722">
        <v>2070</v>
      </c>
      <c r="H722" s="116"/>
      <c r="I722" s="116"/>
      <c r="L722" s="170">
        <v>43063</v>
      </c>
      <c r="M722" s="116">
        <v>375.11250000000001</v>
      </c>
      <c r="N722" s="116">
        <v>381.61250000000001</v>
      </c>
      <c r="O722" s="116">
        <v>373.75</v>
      </c>
      <c r="P722" s="116">
        <v>381.54750000000001</v>
      </c>
      <c r="Q722" s="116">
        <v>7502.25</v>
      </c>
      <c r="R722">
        <v>55095</v>
      </c>
    </row>
    <row r="723" spans="1:18" x14ac:dyDescent="0.25">
      <c r="A723" s="170">
        <v>43066</v>
      </c>
      <c r="B723" s="116">
        <v>376.6</v>
      </c>
      <c r="C723" s="116">
        <v>375.16500000000002</v>
      </c>
      <c r="D723" s="116">
        <v>371.8</v>
      </c>
      <c r="E723" s="116">
        <v>373.05</v>
      </c>
      <c r="F723" s="116">
        <v>7503.3</v>
      </c>
      <c r="G723">
        <v>1480</v>
      </c>
      <c r="H723" s="116"/>
      <c r="I723" s="116"/>
      <c r="L723" s="170">
        <v>43066</v>
      </c>
      <c r="M723" s="116">
        <v>374.71249999999998</v>
      </c>
      <c r="N723" s="116">
        <v>377.19</v>
      </c>
      <c r="O723" s="116">
        <v>371.75</v>
      </c>
      <c r="P723" s="116">
        <v>375.06</v>
      </c>
      <c r="Q723" s="116">
        <v>7494.25</v>
      </c>
      <c r="R723">
        <v>25418</v>
      </c>
    </row>
    <row r="724" spans="1:18" x14ac:dyDescent="0.25">
      <c r="A724" s="170">
        <v>43067</v>
      </c>
      <c r="B724" s="116">
        <v>377.79500000000002</v>
      </c>
      <c r="C724" s="116">
        <v>374.82249999999999</v>
      </c>
      <c r="D724" s="116">
        <v>373.5</v>
      </c>
      <c r="E724" s="116">
        <v>376.22</v>
      </c>
      <c r="F724" s="116">
        <v>7496.45</v>
      </c>
      <c r="G724">
        <v>2129</v>
      </c>
      <c r="H724" s="116"/>
      <c r="I724" s="116"/>
      <c r="L724" s="170">
        <v>43067</v>
      </c>
      <c r="M724" s="116">
        <v>374.89</v>
      </c>
      <c r="N724" s="116">
        <v>377.5</v>
      </c>
      <c r="O724" s="116">
        <v>373.13499999999999</v>
      </c>
      <c r="P724" s="116">
        <v>376.4975</v>
      </c>
      <c r="Q724" s="116">
        <v>7497.8</v>
      </c>
      <c r="R724">
        <v>46999</v>
      </c>
    </row>
    <row r="725" spans="1:18" x14ac:dyDescent="0.25">
      <c r="A725" s="170">
        <v>43068</v>
      </c>
      <c r="B725" s="116">
        <v>377.55</v>
      </c>
      <c r="C725" s="116">
        <v>375.08249999999998</v>
      </c>
      <c r="D725" s="116">
        <v>370.25749999999999</v>
      </c>
      <c r="E725" s="116">
        <v>372.5</v>
      </c>
      <c r="F725" s="116">
        <v>7501.65</v>
      </c>
      <c r="G725">
        <v>5116</v>
      </c>
      <c r="H725" s="116"/>
      <c r="I725" s="116"/>
      <c r="L725" s="170">
        <v>43068</v>
      </c>
      <c r="M725" s="116">
        <v>375.52249999999998</v>
      </c>
      <c r="N725" s="116">
        <v>378.45</v>
      </c>
      <c r="O725" s="116">
        <v>371</v>
      </c>
      <c r="P725" s="116">
        <v>371.05</v>
      </c>
      <c r="Q725" s="116">
        <v>7510.45</v>
      </c>
      <c r="R725">
        <v>68922</v>
      </c>
    </row>
    <row r="726" spans="1:18" x14ac:dyDescent="0.25">
      <c r="A726" s="170">
        <v>43069</v>
      </c>
      <c r="B726" s="116">
        <v>383.8775</v>
      </c>
      <c r="C726" s="116">
        <v>382.5</v>
      </c>
      <c r="D726" s="116">
        <v>374</v>
      </c>
      <c r="E726" s="116">
        <v>374</v>
      </c>
      <c r="F726" s="116">
        <v>7650</v>
      </c>
      <c r="G726">
        <v>5110</v>
      </c>
      <c r="H726" s="116"/>
      <c r="I726" s="116"/>
      <c r="L726" s="170">
        <v>43069</v>
      </c>
      <c r="M726" s="116">
        <v>383.17500000000001</v>
      </c>
      <c r="N726" s="116">
        <v>385</v>
      </c>
      <c r="O726" s="116">
        <v>373.58249999999998</v>
      </c>
      <c r="P726" s="116">
        <v>374</v>
      </c>
      <c r="Q726" s="116">
        <v>7663.5</v>
      </c>
      <c r="R726">
        <v>97354</v>
      </c>
    </row>
    <row r="727" spans="1:18" x14ac:dyDescent="0.25">
      <c r="A727" s="170">
        <v>43070</v>
      </c>
      <c r="B727" s="116">
        <v>387.54</v>
      </c>
      <c r="C727" s="116">
        <v>385.1825</v>
      </c>
      <c r="D727" s="116">
        <v>381</v>
      </c>
      <c r="E727" s="116">
        <v>381</v>
      </c>
      <c r="F727" s="116">
        <v>7703.65</v>
      </c>
      <c r="G727">
        <v>2175</v>
      </c>
      <c r="H727" s="116"/>
      <c r="I727" s="116"/>
      <c r="L727" s="170">
        <v>43070</v>
      </c>
      <c r="M727" s="116">
        <v>384.82249999999999</v>
      </c>
      <c r="N727" s="116">
        <v>387.65</v>
      </c>
      <c r="O727" s="116">
        <v>381.5025</v>
      </c>
      <c r="P727" s="116">
        <v>382.9975</v>
      </c>
      <c r="Q727" s="116">
        <v>7696.45</v>
      </c>
      <c r="R727">
        <v>41006</v>
      </c>
    </row>
    <row r="728" spans="1:18" x14ac:dyDescent="0.25">
      <c r="A728" s="170">
        <v>43073</v>
      </c>
      <c r="B728" s="116">
        <v>386.45</v>
      </c>
      <c r="C728" s="116">
        <v>384.61750000000001</v>
      </c>
      <c r="D728" s="116">
        <v>381.72</v>
      </c>
      <c r="E728" s="116">
        <v>385.2</v>
      </c>
      <c r="F728" s="116">
        <v>7692.35</v>
      </c>
      <c r="G728">
        <v>1751</v>
      </c>
      <c r="H728" s="116"/>
      <c r="I728" s="116"/>
      <c r="L728" s="170">
        <v>43073</v>
      </c>
      <c r="M728" s="116">
        <v>385.26749999999998</v>
      </c>
      <c r="N728" s="116">
        <v>386.95</v>
      </c>
      <c r="O728" s="116">
        <v>381.67250000000001</v>
      </c>
      <c r="P728" s="116">
        <v>386.495</v>
      </c>
      <c r="Q728" s="116">
        <v>7705.35</v>
      </c>
      <c r="R728">
        <v>33738</v>
      </c>
    </row>
    <row r="729" spans="1:18" x14ac:dyDescent="0.25">
      <c r="A729" s="170">
        <v>43074</v>
      </c>
      <c r="B729" s="116">
        <v>386.28500000000003</v>
      </c>
      <c r="C729" s="116">
        <v>384.75</v>
      </c>
      <c r="D729" s="116">
        <v>382.5025</v>
      </c>
      <c r="E729" s="116">
        <v>385</v>
      </c>
      <c r="F729" s="116">
        <v>7695</v>
      </c>
      <c r="G729">
        <v>839</v>
      </c>
      <c r="H729" s="116"/>
      <c r="I729" s="116"/>
      <c r="L729" s="170">
        <v>43074</v>
      </c>
      <c r="M729" s="116">
        <v>384.55500000000001</v>
      </c>
      <c r="N729" s="116">
        <v>387.23</v>
      </c>
      <c r="O729" s="116">
        <v>382.1875</v>
      </c>
      <c r="P729" s="116">
        <v>385.245</v>
      </c>
      <c r="Q729" s="116">
        <v>7691.1</v>
      </c>
      <c r="R729">
        <v>34970</v>
      </c>
    </row>
    <row r="730" spans="1:18" x14ac:dyDescent="0.25">
      <c r="A730" s="170">
        <v>43075</v>
      </c>
      <c r="B730" s="116">
        <v>387.1225</v>
      </c>
      <c r="C730" s="116">
        <v>383.79250000000002</v>
      </c>
      <c r="D730" s="116">
        <v>382.5</v>
      </c>
      <c r="E730" s="116">
        <v>384.96749999999997</v>
      </c>
      <c r="F730" s="116">
        <v>7675.85</v>
      </c>
      <c r="G730">
        <v>6005</v>
      </c>
      <c r="H730" s="116"/>
      <c r="I730" s="116"/>
      <c r="L730" s="170">
        <v>43075</v>
      </c>
      <c r="M730" s="116">
        <v>385.4325</v>
      </c>
      <c r="N730" s="116">
        <v>387.5</v>
      </c>
      <c r="O730" s="116">
        <v>383.95499999999998</v>
      </c>
      <c r="P730" s="116">
        <v>384.5</v>
      </c>
      <c r="Q730" s="116">
        <v>7708.65</v>
      </c>
      <c r="R730">
        <v>76748</v>
      </c>
    </row>
    <row r="731" spans="1:18" x14ac:dyDescent="0.25">
      <c r="A731" s="170">
        <v>43076</v>
      </c>
      <c r="B731" s="116">
        <v>393.5</v>
      </c>
      <c r="C731" s="116">
        <v>391.21</v>
      </c>
      <c r="D731" s="116">
        <v>385.26</v>
      </c>
      <c r="E731" s="116">
        <v>386</v>
      </c>
      <c r="F731" s="116">
        <v>7824.2</v>
      </c>
      <c r="G731">
        <v>4116</v>
      </c>
      <c r="H731" s="116"/>
      <c r="I731" s="116"/>
      <c r="L731" s="170">
        <v>43076</v>
      </c>
      <c r="M731" s="116">
        <v>390.85</v>
      </c>
      <c r="N731" s="116">
        <v>393.505</v>
      </c>
      <c r="O731" s="116">
        <v>385.07249999999999</v>
      </c>
      <c r="P731" s="116">
        <v>386.25</v>
      </c>
      <c r="Q731" s="116">
        <v>7817</v>
      </c>
      <c r="R731">
        <v>69843</v>
      </c>
    </row>
    <row r="732" spans="1:18" x14ac:dyDescent="0.25">
      <c r="A732" s="170">
        <v>43077</v>
      </c>
      <c r="B732" s="116">
        <v>399.99250000000001</v>
      </c>
      <c r="C732" s="116">
        <v>396.08</v>
      </c>
      <c r="D732" s="116">
        <v>390.23250000000002</v>
      </c>
      <c r="E732" s="116">
        <v>390.23250000000002</v>
      </c>
      <c r="F732" s="116">
        <v>7921.6</v>
      </c>
      <c r="G732">
        <v>7001</v>
      </c>
      <c r="H732" s="116"/>
      <c r="I732" s="116"/>
      <c r="L732" s="170">
        <v>43077</v>
      </c>
      <c r="M732" s="116">
        <v>396.05250000000001</v>
      </c>
      <c r="N732" s="116">
        <v>399.44749999999999</v>
      </c>
      <c r="O732" s="116">
        <v>389.7525</v>
      </c>
      <c r="P732" s="116">
        <v>390</v>
      </c>
      <c r="Q732" s="116">
        <v>7921.05</v>
      </c>
      <c r="R732">
        <v>81419</v>
      </c>
    </row>
    <row r="733" spans="1:18" x14ac:dyDescent="0.25">
      <c r="A733" s="170">
        <v>43080</v>
      </c>
      <c r="B733" s="116">
        <v>400</v>
      </c>
      <c r="C733" s="116">
        <v>392.97250000000003</v>
      </c>
      <c r="D733" s="116">
        <v>392.1</v>
      </c>
      <c r="E733" s="116">
        <v>397.5</v>
      </c>
      <c r="F733" s="116">
        <v>7859.45</v>
      </c>
      <c r="G733">
        <v>1558</v>
      </c>
      <c r="H733" s="116"/>
      <c r="I733" s="116"/>
      <c r="L733" s="170">
        <v>43080</v>
      </c>
      <c r="M733" s="116">
        <v>393.63249999999999</v>
      </c>
      <c r="N733" s="116">
        <v>397</v>
      </c>
      <c r="O733" s="116">
        <v>392.1</v>
      </c>
      <c r="P733" s="116">
        <v>394.9975</v>
      </c>
      <c r="Q733" s="116">
        <v>7872.65</v>
      </c>
      <c r="R733">
        <v>40636</v>
      </c>
    </row>
    <row r="734" spans="1:18" x14ac:dyDescent="0.25">
      <c r="A734" s="170">
        <v>43081</v>
      </c>
      <c r="B734" s="116">
        <v>397.47500000000002</v>
      </c>
      <c r="C734" s="116">
        <v>395.54500000000002</v>
      </c>
      <c r="D734" s="116">
        <v>390.7</v>
      </c>
      <c r="E734" s="116">
        <v>392.95</v>
      </c>
      <c r="F734" s="116">
        <v>7910.9</v>
      </c>
      <c r="G734">
        <v>1633</v>
      </c>
      <c r="H734" s="116"/>
      <c r="I734" s="116"/>
      <c r="L734" s="170">
        <v>43081</v>
      </c>
      <c r="M734" s="116">
        <v>396.63749999999999</v>
      </c>
      <c r="N734" s="116">
        <v>397.5</v>
      </c>
      <c r="O734" s="116">
        <v>392.40249999999997</v>
      </c>
      <c r="P734" s="116">
        <v>394.2</v>
      </c>
      <c r="Q734" s="116">
        <v>7932.75</v>
      </c>
      <c r="R734">
        <v>40336</v>
      </c>
    </row>
    <row r="735" spans="1:18" x14ac:dyDescent="0.25">
      <c r="A735" s="170">
        <v>43082</v>
      </c>
      <c r="B735" s="116">
        <v>398</v>
      </c>
      <c r="C735" s="116">
        <v>395.60750000000002</v>
      </c>
      <c r="D735" s="116">
        <v>392.5</v>
      </c>
      <c r="E735" s="116">
        <v>396.02749999999997</v>
      </c>
      <c r="F735" s="116">
        <v>7912.15</v>
      </c>
      <c r="G735">
        <v>1458</v>
      </c>
      <c r="H735" s="116"/>
      <c r="I735" s="116"/>
      <c r="L735" s="170">
        <v>43082</v>
      </c>
      <c r="M735" s="116">
        <v>396.79</v>
      </c>
      <c r="N735" s="116">
        <v>398.14249999999998</v>
      </c>
      <c r="O735" s="116">
        <v>392.55</v>
      </c>
      <c r="P735" s="116">
        <v>396.0025</v>
      </c>
      <c r="Q735" s="116">
        <v>7935.8</v>
      </c>
      <c r="R735">
        <v>25587</v>
      </c>
    </row>
    <row r="736" spans="1:18" x14ac:dyDescent="0.25">
      <c r="A736" s="170">
        <v>43083</v>
      </c>
      <c r="B736" s="116">
        <v>400.05</v>
      </c>
      <c r="C736" s="116">
        <v>393.96749999999997</v>
      </c>
      <c r="D736" s="116">
        <v>388.85</v>
      </c>
      <c r="E736" s="116">
        <v>400</v>
      </c>
      <c r="F736" s="116">
        <v>7879.35</v>
      </c>
      <c r="G736">
        <v>2831</v>
      </c>
      <c r="H736" s="116"/>
      <c r="I736" s="116"/>
      <c r="L736" s="170">
        <v>43083</v>
      </c>
      <c r="M736" s="116">
        <v>393.84249999999997</v>
      </c>
      <c r="N736" s="116">
        <v>401.95249999999999</v>
      </c>
      <c r="O736" s="116">
        <v>390.77499999999998</v>
      </c>
      <c r="P736" s="116">
        <v>401.75</v>
      </c>
      <c r="Q736" s="116">
        <v>7876.85</v>
      </c>
      <c r="R736">
        <v>30413</v>
      </c>
    </row>
    <row r="737" spans="1:18" x14ac:dyDescent="0.25">
      <c r="A737" s="170">
        <v>43084</v>
      </c>
      <c r="B737" s="116">
        <v>397.45</v>
      </c>
      <c r="C737" s="116">
        <v>393.40499999999997</v>
      </c>
      <c r="D737" s="116">
        <v>392.35</v>
      </c>
      <c r="E737" s="116">
        <v>394.84750000000003</v>
      </c>
      <c r="F737" s="116">
        <v>7868.1</v>
      </c>
      <c r="G737">
        <v>1317</v>
      </c>
      <c r="H737" s="116"/>
      <c r="I737" s="116"/>
      <c r="L737" s="170">
        <v>43084</v>
      </c>
      <c r="M737" s="116">
        <v>392.435</v>
      </c>
      <c r="N737" s="116">
        <v>395</v>
      </c>
      <c r="O737" s="116">
        <v>391.7</v>
      </c>
      <c r="P737" s="116">
        <v>395</v>
      </c>
      <c r="Q737" s="116">
        <v>7848.7</v>
      </c>
      <c r="R737">
        <v>61916</v>
      </c>
    </row>
    <row r="738" spans="1:18" x14ac:dyDescent="0.25">
      <c r="A738" s="170">
        <v>43087</v>
      </c>
      <c r="B738" s="116">
        <v>396.97500000000002</v>
      </c>
      <c r="C738" s="116">
        <v>395.85500000000002</v>
      </c>
      <c r="D738" s="116">
        <v>385.32</v>
      </c>
      <c r="E738" s="116">
        <v>392.45</v>
      </c>
      <c r="F738" s="116">
        <v>7917.1</v>
      </c>
      <c r="G738">
        <v>1678</v>
      </c>
      <c r="H738" s="116"/>
      <c r="I738" s="116"/>
      <c r="L738" s="170">
        <v>43087</v>
      </c>
      <c r="M738" s="116">
        <v>396.45</v>
      </c>
      <c r="N738" s="116">
        <v>397.45</v>
      </c>
      <c r="O738" s="116">
        <v>384.7475</v>
      </c>
      <c r="P738" s="116">
        <v>392.5</v>
      </c>
      <c r="Q738" s="116">
        <v>7929</v>
      </c>
      <c r="R738">
        <v>19901</v>
      </c>
    </row>
    <row r="739" spans="1:18" x14ac:dyDescent="0.25">
      <c r="A739" s="170">
        <v>43088</v>
      </c>
      <c r="B739" s="116">
        <v>397.3775</v>
      </c>
      <c r="C739" s="116">
        <v>395.17</v>
      </c>
      <c r="D739" s="116">
        <v>394</v>
      </c>
      <c r="E739" s="116">
        <v>395.93</v>
      </c>
      <c r="F739" s="116">
        <v>7903.4</v>
      </c>
      <c r="G739">
        <v>1178</v>
      </c>
      <c r="H739" s="116"/>
      <c r="I739" s="116"/>
      <c r="L739" s="170">
        <v>43088</v>
      </c>
      <c r="M739" s="116">
        <v>394.86250000000001</v>
      </c>
      <c r="N739" s="116">
        <v>397.45</v>
      </c>
      <c r="O739" s="116">
        <v>393.75</v>
      </c>
      <c r="P739" s="116">
        <v>397.45</v>
      </c>
      <c r="Q739" s="116">
        <v>7897.25</v>
      </c>
      <c r="R739">
        <v>27899</v>
      </c>
    </row>
    <row r="740" spans="1:18" x14ac:dyDescent="0.25">
      <c r="A740" s="170">
        <v>43089</v>
      </c>
      <c r="B740" s="116">
        <v>399.94499999999999</v>
      </c>
      <c r="C740" s="116">
        <v>397.54250000000002</v>
      </c>
      <c r="D740" s="116">
        <v>394.85</v>
      </c>
      <c r="E740" s="116">
        <v>394.85</v>
      </c>
      <c r="F740" s="116">
        <v>7950.85</v>
      </c>
      <c r="G740">
        <v>4113</v>
      </c>
      <c r="H740" s="116"/>
      <c r="I740" s="116"/>
      <c r="L740" s="170">
        <v>43089</v>
      </c>
      <c r="M740" s="116">
        <v>397.26249999999999</v>
      </c>
      <c r="N740" s="116">
        <v>399.95</v>
      </c>
      <c r="O740" s="116">
        <v>394.95499999999998</v>
      </c>
      <c r="P740" s="116">
        <v>395.75</v>
      </c>
      <c r="Q740" s="116">
        <v>7945.25</v>
      </c>
      <c r="R740">
        <v>40908</v>
      </c>
    </row>
    <row r="741" spans="1:18" x14ac:dyDescent="0.25">
      <c r="A741" s="170">
        <v>43090</v>
      </c>
      <c r="B741" s="116">
        <v>398.35250000000002</v>
      </c>
      <c r="C741" s="116">
        <v>395.8075</v>
      </c>
      <c r="D741" s="116">
        <v>394.86250000000001</v>
      </c>
      <c r="E741" s="116">
        <v>397.60750000000002</v>
      </c>
      <c r="F741" s="116">
        <v>7916.15</v>
      </c>
      <c r="G741">
        <v>698</v>
      </c>
      <c r="H741" s="116"/>
      <c r="I741" s="116"/>
      <c r="L741" s="170">
        <v>43090</v>
      </c>
      <c r="M741" s="116">
        <v>394.97250000000003</v>
      </c>
      <c r="N741" s="116">
        <v>398.55500000000001</v>
      </c>
      <c r="O741" s="116">
        <v>394.5</v>
      </c>
      <c r="P741" s="116">
        <v>397.53500000000003</v>
      </c>
      <c r="Q741" s="116">
        <v>7899.45</v>
      </c>
      <c r="R741">
        <v>20099</v>
      </c>
    </row>
    <row r="742" spans="1:18" x14ac:dyDescent="0.25">
      <c r="A742" s="170">
        <v>43091</v>
      </c>
      <c r="B742" s="116">
        <v>396</v>
      </c>
      <c r="C742" s="116">
        <v>393.375</v>
      </c>
      <c r="D742" s="116">
        <v>392.0025</v>
      </c>
      <c r="E742" s="116">
        <v>395.1825</v>
      </c>
      <c r="F742" s="116">
        <v>7867.5</v>
      </c>
      <c r="G742">
        <v>1222</v>
      </c>
      <c r="H742" s="116"/>
      <c r="I742" s="116"/>
      <c r="L742" s="170">
        <v>43091</v>
      </c>
      <c r="M742" s="116">
        <v>394.16500000000002</v>
      </c>
      <c r="N742" s="116">
        <v>396.4375</v>
      </c>
      <c r="O742" s="116">
        <v>392</v>
      </c>
      <c r="P742" s="116">
        <v>394.97250000000003</v>
      </c>
      <c r="Q742" s="116">
        <v>7883.3</v>
      </c>
      <c r="R742">
        <v>22437</v>
      </c>
    </row>
    <row r="743" spans="1:18" x14ac:dyDescent="0.25">
      <c r="A743" s="170">
        <v>43095</v>
      </c>
      <c r="B743" s="116">
        <v>394.67250000000001</v>
      </c>
      <c r="C743" s="116">
        <v>391.3775</v>
      </c>
      <c r="D743" s="116">
        <v>390.9975</v>
      </c>
      <c r="E743" s="116">
        <v>394</v>
      </c>
      <c r="F743" s="116">
        <v>7827.55</v>
      </c>
      <c r="G743">
        <v>1735</v>
      </c>
      <c r="H743" s="116"/>
      <c r="I743" s="116"/>
      <c r="L743" s="170">
        <v>43095</v>
      </c>
      <c r="M743" s="116">
        <v>391.42500000000001</v>
      </c>
      <c r="N743" s="116">
        <v>395.4</v>
      </c>
      <c r="O743" s="116">
        <v>390.4425</v>
      </c>
      <c r="P743" s="116">
        <v>394.22250000000003</v>
      </c>
      <c r="Q743" s="116">
        <v>7828.5</v>
      </c>
      <c r="R743">
        <v>15964</v>
      </c>
    </row>
    <row r="744" spans="1:18" x14ac:dyDescent="0.25">
      <c r="A744" s="170">
        <v>43096</v>
      </c>
      <c r="B744" s="116">
        <v>392</v>
      </c>
      <c r="C744" s="116">
        <v>387.0625</v>
      </c>
      <c r="D744" s="116">
        <v>386</v>
      </c>
      <c r="E744" s="116">
        <v>391.75</v>
      </c>
      <c r="F744" s="116">
        <v>7741.25</v>
      </c>
      <c r="G744">
        <v>1277</v>
      </c>
      <c r="H744" s="116"/>
      <c r="I744" s="116"/>
      <c r="L744" s="170">
        <v>43096</v>
      </c>
      <c r="M744" s="116">
        <v>387.02749999999997</v>
      </c>
      <c r="N744" s="116">
        <v>393.2</v>
      </c>
      <c r="O744" s="116">
        <v>385.61</v>
      </c>
      <c r="P744" s="116">
        <v>393.2</v>
      </c>
      <c r="Q744" s="116">
        <v>7740.55</v>
      </c>
      <c r="R744">
        <v>14190</v>
      </c>
    </row>
    <row r="745" spans="1:18" x14ac:dyDescent="0.25">
      <c r="A745" s="170">
        <v>43097</v>
      </c>
      <c r="B745" s="116">
        <v>391.25</v>
      </c>
      <c r="C745" s="116">
        <v>386.04500000000002</v>
      </c>
      <c r="D745" s="116">
        <v>384.75</v>
      </c>
      <c r="E745" s="116">
        <v>389.0625</v>
      </c>
      <c r="F745" s="116">
        <v>7720.9</v>
      </c>
      <c r="G745">
        <v>10799</v>
      </c>
      <c r="H745" s="116"/>
      <c r="I745" s="116"/>
      <c r="L745" s="170">
        <v>43097</v>
      </c>
      <c r="M745" s="116">
        <v>386.65</v>
      </c>
      <c r="N745" s="116">
        <v>391.25</v>
      </c>
      <c r="O745" s="116">
        <v>383.75</v>
      </c>
      <c r="P745" s="116">
        <v>390</v>
      </c>
      <c r="Q745" s="116">
        <v>7733</v>
      </c>
      <c r="R745">
        <v>18317</v>
      </c>
    </row>
    <row r="746" spans="1:18" x14ac:dyDescent="0.25">
      <c r="A746" s="170">
        <v>43098</v>
      </c>
      <c r="B746" s="116">
        <v>393.8</v>
      </c>
      <c r="C746" s="116">
        <v>392.25</v>
      </c>
      <c r="D746" s="116">
        <v>386.82</v>
      </c>
      <c r="E746" s="116">
        <v>386.89249999999998</v>
      </c>
      <c r="F746" s="116">
        <v>7845</v>
      </c>
      <c r="G746">
        <v>751</v>
      </c>
      <c r="H746" s="116"/>
      <c r="I746" s="116"/>
      <c r="L746" s="170">
        <v>43098</v>
      </c>
      <c r="M746" s="116">
        <v>393.54500000000002</v>
      </c>
      <c r="N746" s="116">
        <v>395.45</v>
      </c>
      <c r="O746" s="116">
        <v>385.78250000000003</v>
      </c>
      <c r="P746" s="116">
        <v>385.78250000000003</v>
      </c>
      <c r="Q746" s="116">
        <v>7870.9</v>
      </c>
      <c r="R746">
        <v>30527</v>
      </c>
    </row>
    <row r="747" spans="1:18" x14ac:dyDescent="0.25">
      <c r="A747" s="170">
        <v>43101</v>
      </c>
      <c r="B747" s="116">
        <v>395</v>
      </c>
      <c r="C747" s="116">
        <v>392.56</v>
      </c>
      <c r="D747" s="116">
        <v>391.55</v>
      </c>
      <c r="E747" s="116">
        <v>394</v>
      </c>
      <c r="F747" s="116">
        <v>7851.2</v>
      </c>
      <c r="G747">
        <v>1724</v>
      </c>
      <c r="H747" s="116"/>
      <c r="I747" s="116"/>
      <c r="L747" s="170">
        <v>43101</v>
      </c>
      <c r="M747" s="116">
        <v>393.16</v>
      </c>
      <c r="N747" s="116">
        <v>395.08</v>
      </c>
      <c r="O747" s="116">
        <v>391.43</v>
      </c>
      <c r="P747" s="116">
        <v>395</v>
      </c>
      <c r="Q747" s="116">
        <v>7863.2</v>
      </c>
      <c r="R747">
        <v>6606</v>
      </c>
    </row>
    <row r="748" spans="1:18" x14ac:dyDescent="0.25">
      <c r="A748" s="170">
        <v>43102</v>
      </c>
      <c r="B748" s="116">
        <v>395.38249999999999</v>
      </c>
      <c r="C748" s="116">
        <v>392.97750000000002</v>
      </c>
      <c r="D748" s="116">
        <v>391.94749999999999</v>
      </c>
      <c r="E748" s="116">
        <v>393.51499999999999</v>
      </c>
      <c r="F748" s="116">
        <v>7859.55</v>
      </c>
      <c r="G748">
        <v>844</v>
      </c>
      <c r="H748" s="116"/>
      <c r="I748" s="116"/>
      <c r="L748" s="170">
        <v>43102</v>
      </c>
      <c r="M748" s="116">
        <v>393.17750000000001</v>
      </c>
      <c r="N748" s="116">
        <v>396.15249999999997</v>
      </c>
      <c r="O748" s="116">
        <v>392.15</v>
      </c>
      <c r="P748" s="116">
        <v>392.75</v>
      </c>
      <c r="Q748" s="116">
        <v>7863.55</v>
      </c>
      <c r="R748">
        <v>65613</v>
      </c>
    </row>
    <row r="749" spans="1:18" x14ac:dyDescent="0.25">
      <c r="A749" s="170">
        <v>43103</v>
      </c>
      <c r="B749" s="116">
        <v>396.8125</v>
      </c>
      <c r="C749" s="116">
        <v>392.77</v>
      </c>
      <c r="D749" s="116">
        <v>392.25</v>
      </c>
      <c r="E749" s="116">
        <v>394.35</v>
      </c>
      <c r="F749" s="116">
        <v>7855.4</v>
      </c>
      <c r="G749">
        <v>905</v>
      </c>
      <c r="H749" s="116"/>
      <c r="I749" s="116"/>
      <c r="L749" s="170">
        <v>43103</v>
      </c>
      <c r="M749" s="116">
        <v>393.005</v>
      </c>
      <c r="N749" s="116">
        <v>396.75</v>
      </c>
      <c r="O749" s="116">
        <v>392.50749999999999</v>
      </c>
      <c r="P749" s="116">
        <v>395</v>
      </c>
      <c r="Q749" s="116">
        <v>7860.1</v>
      </c>
      <c r="R749">
        <v>27948</v>
      </c>
    </row>
    <row r="750" spans="1:18" x14ac:dyDescent="0.25">
      <c r="A750" s="170">
        <v>43104</v>
      </c>
      <c r="B750" s="116">
        <v>395</v>
      </c>
      <c r="C750" s="116">
        <v>393.51</v>
      </c>
      <c r="D750" s="116">
        <v>392.45749999999998</v>
      </c>
      <c r="E750" s="116">
        <v>394.34249999999997</v>
      </c>
      <c r="F750" s="116">
        <v>7870.2</v>
      </c>
      <c r="G750">
        <v>840</v>
      </c>
      <c r="H750" s="116"/>
      <c r="I750" s="116"/>
      <c r="L750" s="170">
        <v>43104</v>
      </c>
      <c r="M750" s="116">
        <v>393.46249999999998</v>
      </c>
      <c r="N750" s="116">
        <v>395.11</v>
      </c>
      <c r="O750" s="116">
        <v>391.95</v>
      </c>
      <c r="P750" s="116">
        <v>393.25</v>
      </c>
      <c r="Q750" s="116">
        <v>7869.25</v>
      </c>
      <c r="R750">
        <v>27902</v>
      </c>
    </row>
    <row r="751" spans="1:18" x14ac:dyDescent="0.25">
      <c r="A751" s="170">
        <v>43105</v>
      </c>
      <c r="B751" s="116">
        <v>393.745</v>
      </c>
      <c r="C751" s="116">
        <v>392.01749999999998</v>
      </c>
      <c r="D751" s="116">
        <v>391.60250000000002</v>
      </c>
      <c r="E751" s="116">
        <v>393</v>
      </c>
      <c r="F751" s="116">
        <v>7840.35</v>
      </c>
      <c r="G751">
        <v>1191</v>
      </c>
      <c r="H751" s="116"/>
      <c r="I751" s="116"/>
      <c r="L751" s="170">
        <v>43105</v>
      </c>
      <c r="M751" s="116">
        <v>392.83749999999998</v>
      </c>
      <c r="N751" s="116">
        <v>394.2</v>
      </c>
      <c r="O751" s="116">
        <v>392.05</v>
      </c>
      <c r="P751" s="116">
        <v>392.315</v>
      </c>
      <c r="Q751" s="116">
        <v>7856.75</v>
      </c>
      <c r="R751">
        <v>9970</v>
      </c>
    </row>
    <row r="752" spans="1:18" x14ac:dyDescent="0.25">
      <c r="A752" s="170">
        <v>43108</v>
      </c>
      <c r="B752" s="116">
        <v>399</v>
      </c>
      <c r="C752" s="116">
        <v>397.61750000000001</v>
      </c>
      <c r="D752" s="116">
        <v>392.4975</v>
      </c>
      <c r="E752" s="116">
        <v>393</v>
      </c>
      <c r="F752" s="116">
        <v>7952.35</v>
      </c>
      <c r="G752">
        <v>2623</v>
      </c>
      <c r="H752" s="116"/>
      <c r="I752" s="116"/>
      <c r="L752" s="170">
        <v>43108</v>
      </c>
      <c r="M752" s="116">
        <v>397.0575</v>
      </c>
      <c r="N752" s="116">
        <v>398.42750000000001</v>
      </c>
      <c r="O752" s="116">
        <v>391.5</v>
      </c>
      <c r="P752" s="116">
        <v>391.5</v>
      </c>
      <c r="Q752" s="116">
        <v>7941.15</v>
      </c>
      <c r="R752">
        <v>35919</v>
      </c>
    </row>
    <row r="753" spans="1:18" x14ac:dyDescent="0.25">
      <c r="A753" s="170">
        <v>43109</v>
      </c>
      <c r="B753" s="116">
        <v>398.5</v>
      </c>
      <c r="C753" s="116">
        <v>389.8075</v>
      </c>
      <c r="D753" s="116">
        <v>385.61250000000001</v>
      </c>
      <c r="E753" s="116">
        <v>397.33499999999998</v>
      </c>
      <c r="F753" s="116">
        <v>7796.15</v>
      </c>
      <c r="G753">
        <v>2918</v>
      </c>
      <c r="H753" s="116"/>
      <c r="I753" s="116"/>
      <c r="L753" s="170">
        <v>43109</v>
      </c>
      <c r="M753" s="116">
        <v>388.96249999999998</v>
      </c>
      <c r="N753" s="116">
        <v>398.4425</v>
      </c>
      <c r="O753" s="116">
        <v>384.4</v>
      </c>
      <c r="P753" s="116">
        <v>397.0575</v>
      </c>
      <c r="Q753" s="116">
        <v>7779.25</v>
      </c>
      <c r="R753">
        <v>58444</v>
      </c>
    </row>
    <row r="754" spans="1:18" x14ac:dyDescent="0.25">
      <c r="A754" s="170">
        <v>43110</v>
      </c>
      <c r="B754" s="116">
        <v>393</v>
      </c>
      <c r="C754" s="116">
        <v>391.26499999999999</v>
      </c>
      <c r="D754" s="116">
        <v>383</v>
      </c>
      <c r="E754" s="116">
        <v>389</v>
      </c>
      <c r="F754" s="116">
        <v>7825.3</v>
      </c>
      <c r="G754">
        <v>1095</v>
      </c>
      <c r="H754" s="116"/>
      <c r="I754" s="116"/>
      <c r="L754" s="170">
        <v>43110</v>
      </c>
      <c r="M754" s="116">
        <v>392.33249999999998</v>
      </c>
      <c r="N754" s="116">
        <v>393.33</v>
      </c>
      <c r="O754" s="116">
        <v>388.96499999999997</v>
      </c>
      <c r="P754" s="116">
        <v>392.5</v>
      </c>
      <c r="Q754" s="116">
        <v>7846.65</v>
      </c>
      <c r="R754">
        <v>22046</v>
      </c>
    </row>
    <row r="755" spans="1:18" x14ac:dyDescent="0.25">
      <c r="A755" s="170">
        <v>43111</v>
      </c>
      <c r="B755" s="116">
        <v>394.64499999999998</v>
      </c>
      <c r="C755" s="116">
        <v>392.79750000000001</v>
      </c>
      <c r="D755" s="116">
        <v>391.55250000000001</v>
      </c>
      <c r="E755" s="116">
        <v>392.48250000000002</v>
      </c>
      <c r="F755" s="116">
        <v>7855.95</v>
      </c>
      <c r="G755">
        <v>733</v>
      </c>
      <c r="H755" s="116"/>
      <c r="I755" s="116"/>
      <c r="L755" s="170">
        <v>43111</v>
      </c>
      <c r="M755" s="116">
        <v>393.71499999999997</v>
      </c>
      <c r="N755" s="116">
        <v>395.5</v>
      </c>
      <c r="O755" s="116">
        <v>390.41750000000002</v>
      </c>
      <c r="P755" s="116">
        <v>392.74</v>
      </c>
      <c r="Q755" s="116">
        <v>7874.3</v>
      </c>
      <c r="R755">
        <v>47060</v>
      </c>
    </row>
    <row r="756" spans="1:18" x14ac:dyDescent="0.25">
      <c r="A756" s="170">
        <v>43112</v>
      </c>
      <c r="B756" s="116">
        <v>395</v>
      </c>
      <c r="C756" s="116">
        <v>389.40750000000003</v>
      </c>
      <c r="D756" s="116">
        <v>387.75</v>
      </c>
      <c r="E756" s="116">
        <v>393.505</v>
      </c>
      <c r="F756" s="116">
        <v>7788.15</v>
      </c>
      <c r="G756">
        <v>1779</v>
      </c>
      <c r="H756" s="116"/>
      <c r="I756" s="116"/>
      <c r="L756" s="170">
        <v>43112</v>
      </c>
      <c r="M756" s="116">
        <v>389.46249999999998</v>
      </c>
      <c r="N756" s="116">
        <v>395.0025</v>
      </c>
      <c r="O756" s="116">
        <v>387.2525</v>
      </c>
      <c r="P756" s="116">
        <v>393.9</v>
      </c>
      <c r="Q756" s="116">
        <v>7789.25</v>
      </c>
      <c r="R756">
        <v>32341</v>
      </c>
    </row>
    <row r="757" spans="1:18" x14ac:dyDescent="0.25">
      <c r="A757" s="170">
        <v>43115</v>
      </c>
      <c r="B757" s="116">
        <v>391.98</v>
      </c>
      <c r="C757" s="116">
        <v>387.36</v>
      </c>
      <c r="D757" s="116">
        <v>386.75</v>
      </c>
      <c r="E757" s="116">
        <v>390</v>
      </c>
      <c r="F757" s="116">
        <v>7747.2</v>
      </c>
      <c r="G757">
        <v>1373</v>
      </c>
      <c r="H757" s="116"/>
      <c r="I757" s="116"/>
      <c r="L757" s="170">
        <v>43115</v>
      </c>
      <c r="M757" s="116">
        <v>387.89749999999998</v>
      </c>
      <c r="N757" s="116">
        <v>393</v>
      </c>
      <c r="O757" s="116">
        <v>387.25</v>
      </c>
      <c r="P757" s="116">
        <v>390.75</v>
      </c>
      <c r="Q757" s="116">
        <v>7757.95</v>
      </c>
      <c r="R757">
        <v>26404</v>
      </c>
    </row>
    <row r="758" spans="1:18" x14ac:dyDescent="0.25">
      <c r="A758" s="170">
        <v>43116</v>
      </c>
      <c r="B758" s="116">
        <v>390.5025</v>
      </c>
      <c r="C758" s="116">
        <v>387.88749999999999</v>
      </c>
      <c r="D758" s="116">
        <v>386.83749999999998</v>
      </c>
      <c r="E758" s="116">
        <v>387.90499999999997</v>
      </c>
      <c r="F758" s="116">
        <v>7757.75</v>
      </c>
      <c r="G758">
        <v>9939</v>
      </c>
      <c r="H758" s="116"/>
      <c r="I758" s="116"/>
      <c r="L758" s="170">
        <v>43116</v>
      </c>
      <c r="M758" s="116">
        <v>388.73</v>
      </c>
      <c r="N758" s="116">
        <v>391.2475</v>
      </c>
      <c r="O758" s="116">
        <v>386.1</v>
      </c>
      <c r="P758" s="116">
        <v>388</v>
      </c>
      <c r="Q758" s="116">
        <v>7774.6</v>
      </c>
      <c r="R758">
        <v>27957</v>
      </c>
    </row>
    <row r="759" spans="1:18" x14ac:dyDescent="0.25">
      <c r="A759" s="170">
        <v>43117</v>
      </c>
      <c r="B759" s="116">
        <v>389.96</v>
      </c>
      <c r="C759" s="116">
        <v>387.9325</v>
      </c>
      <c r="D759" s="116">
        <v>384.5</v>
      </c>
      <c r="E759" s="116">
        <v>388.96499999999997</v>
      </c>
      <c r="F759" s="116">
        <v>7758.65</v>
      </c>
      <c r="G759">
        <v>2376</v>
      </c>
      <c r="H759" s="116"/>
      <c r="I759" s="116"/>
      <c r="L759" s="170">
        <v>43117</v>
      </c>
      <c r="M759" s="116">
        <v>388.09500000000003</v>
      </c>
      <c r="N759" s="116">
        <v>390.75</v>
      </c>
      <c r="O759" s="116">
        <v>383.83</v>
      </c>
      <c r="P759" s="116">
        <v>389.98500000000001</v>
      </c>
      <c r="Q759" s="116">
        <v>7761.9</v>
      </c>
      <c r="R759">
        <v>70240</v>
      </c>
    </row>
    <row r="760" spans="1:18" x14ac:dyDescent="0.25">
      <c r="A760" s="170">
        <v>43118</v>
      </c>
      <c r="B760" s="116">
        <v>391.12</v>
      </c>
      <c r="C760" s="116">
        <v>388.53500000000003</v>
      </c>
      <c r="D760" s="116">
        <v>384.51499999999999</v>
      </c>
      <c r="E760" s="116">
        <v>390.05</v>
      </c>
      <c r="F760" s="116">
        <v>7770.7</v>
      </c>
      <c r="G760">
        <v>1925</v>
      </c>
      <c r="H760" s="116"/>
      <c r="I760" s="116"/>
      <c r="L760" s="170">
        <v>43118</v>
      </c>
      <c r="M760" s="116">
        <v>386.81</v>
      </c>
      <c r="N760" s="116">
        <v>391.5</v>
      </c>
      <c r="O760" s="116">
        <v>384.33</v>
      </c>
      <c r="P760" s="116">
        <v>391.5</v>
      </c>
      <c r="Q760" s="116">
        <v>7736.2</v>
      </c>
      <c r="R760">
        <v>30001</v>
      </c>
    </row>
    <row r="761" spans="1:18" x14ac:dyDescent="0.25">
      <c r="A761" s="170">
        <v>43119</v>
      </c>
      <c r="B761" s="116">
        <v>389.51</v>
      </c>
      <c r="C761" s="116">
        <v>384.61</v>
      </c>
      <c r="D761" s="116">
        <v>384.20499999999998</v>
      </c>
      <c r="E761" s="116">
        <v>387.875</v>
      </c>
      <c r="F761" s="116">
        <v>7692.2</v>
      </c>
      <c r="G761">
        <v>781</v>
      </c>
      <c r="H761" s="116"/>
      <c r="I761" s="116"/>
      <c r="L761" s="170">
        <v>43119</v>
      </c>
      <c r="M761" s="116">
        <v>384.03250000000003</v>
      </c>
      <c r="N761" s="116">
        <v>390</v>
      </c>
      <c r="O761" s="116">
        <v>383.35</v>
      </c>
      <c r="P761" s="116">
        <v>390</v>
      </c>
      <c r="Q761" s="116">
        <v>7680.65</v>
      </c>
      <c r="R761">
        <v>19037</v>
      </c>
    </row>
    <row r="762" spans="1:18" x14ac:dyDescent="0.25">
      <c r="A762" s="170">
        <v>43122</v>
      </c>
      <c r="B762" s="116">
        <v>384.95</v>
      </c>
      <c r="C762" s="116">
        <v>382.9325</v>
      </c>
      <c r="D762" s="116">
        <v>382.35500000000002</v>
      </c>
      <c r="E762" s="116">
        <v>384.61</v>
      </c>
      <c r="F762" s="116">
        <v>7658.65</v>
      </c>
      <c r="G762">
        <v>1500</v>
      </c>
      <c r="H762" s="116"/>
      <c r="I762" s="116"/>
      <c r="L762" s="170">
        <v>43122</v>
      </c>
      <c r="M762" s="116">
        <v>383.35</v>
      </c>
      <c r="N762" s="116">
        <v>385.75</v>
      </c>
      <c r="O762" s="116">
        <v>382.00749999999999</v>
      </c>
      <c r="P762" s="116">
        <v>383.3775</v>
      </c>
      <c r="Q762" s="116">
        <v>7667</v>
      </c>
      <c r="R762">
        <v>31062</v>
      </c>
    </row>
    <row r="763" spans="1:18" x14ac:dyDescent="0.25">
      <c r="A763" s="170">
        <v>43123</v>
      </c>
      <c r="B763" s="116">
        <v>383.7</v>
      </c>
      <c r="C763" s="116">
        <v>379.58</v>
      </c>
      <c r="D763" s="116">
        <v>378.60250000000002</v>
      </c>
      <c r="E763" s="116">
        <v>383.05</v>
      </c>
      <c r="F763" s="116">
        <v>7591.6</v>
      </c>
      <c r="G763">
        <v>2186</v>
      </c>
      <c r="H763" s="116"/>
      <c r="I763" s="116"/>
      <c r="L763" s="170">
        <v>43123</v>
      </c>
      <c r="M763" s="116">
        <v>379.98500000000001</v>
      </c>
      <c r="N763" s="116">
        <v>384.95</v>
      </c>
      <c r="O763" s="116">
        <v>379.25</v>
      </c>
      <c r="P763" s="116">
        <v>384.95</v>
      </c>
      <c r="Q763" s="116">
        <v>7599.7</v>
      </c>
      <c r="R763">
        <v>36738</v>
      </c>
    </row>
    <row r="764" spans="1:18" x14ac:dyDescent="0.25">
      <c r="A764" s="170">
        <v>43124</v>
      </c>
      <c r="B764" s="116">
        <v>381.05</v>
      </c>
      <c r="C764" s="116">
        <v>378.77249999999998</v>
      </c>
      <c r="D764" s="116">
        <v>377.3</v>
      </c>
      <c r="E764" s="116">
        <v>381</v>
      </c>
      <c r="F764" s="116">
        <v>7575.45</v>
      </c>
      <c r="G764">
        <v>3189</v>
      </c>
      <c r="H764" s="116"/>
      <c r="I764" s="116"/>
      <c r="L764" s="170">
        <v>43124</v>
      </c>
      <c r="M764" s="116">
        <v>379.64499999999998</v>
      </c>
      <c r="N764" s="116">
        <v>381.69749999999999</v>
      </c>
      <c r="O764" s="116">
        <v>377.42500000000001</v>
      </c>
      <c r="P764" s="116">
        <v>381.5</v>
      </c>
      <c r="Q764" s="116">
        <v>7592.9</v>
      </c>
      <c r="R764">
        <v>15863</v>
      </c>
    </row>
    <row r="765" spans="1:18" x14ac:dyDescent="0.25">
      <c r="A765" s="170">
        <v>43125</v>
      </c>
      <c r="B765" s="116">
        <v>380.45</v>
      </c>
      <c r="C765" s="116">
        <v>375.65499999999997</v>
      </c>
      <c r="D765" s="116">
        <v>372.6</v>
      </c>
      <c r="E765" s="116">
        <v>377.5</v>
      </c>
      <c r="F765" s="116">
        <v>7513.1</v>
      </c>
      <c r="G765">
        <v>2577</v>
      </c>
      <c r="H765" s="116"/>
      <c r="I765" s="116"/>
      <c r="L765" s="170">
        <v>43125</v>
      </c>
      <c r="M765" s="116">
        <v>374.53750000000002</v>
      </c>
      <c r="N765" s="116">
        <v>381.28</v>
      </c>
      <c r="O765" s="116">
        <v>371.65</v>
      </c>
      <c r="P765" s="116">
        <v>377.65</v>
      </c>
      <c r="Q765" s="116">
        <v>7490.75</v>
      </c>
      <c r="R765">
        <v>37438</v>
      </c>
    </row>
    <row r="766" spans="1:18" x14ac:dyDescent="0.25">
      <c r="A766" s="170">
        <v>43129</v>
      </c>
      <c r="B766" s="116">
        <v>378.32749999999999</v>
      </c>
      <c r="C766" s="116">
        <v>376.73750000000001</v>
      </c>
      <c r="D766" s="116">
        <v>373.48750000000001</v>
      </c>
      <c r="E766" s="116">
        <v>376.25</v>
      </c>
      <c r="F766" s="116">
        <v>7534.75</v>
      </c>
      <c r="G766">
        <v>1628</v>
      </c>
      <c r="H766" s="116"/>
      <c r="I766" s="116"/>
      <c r="L766" s="170">
        <v>43129</v>
      </c>
      <c r="M766" s="116">
        <v>376.54250000000002</v>
      </c>
      <c r="N766" s="116">
        <v>379.34750000000003</v>
      </c>
      <c r="O766" s="116">
        <v>373</v>
      </c>
      <c r="P766" s="116">
        <v>376.5</v>
      </c>
      <c r="Q766" s="116">
        <v>7530.85</v>
      </c>
      <c r="R766">
        <v>46573</v>
      </c>
    </row>
    <row r="767" spans="1:18" x14ac:dyDescent="0.25">
      <c r="A767" s="170">
        <v>43130</v>
      </c>
      <c r="B767" s="116">
        <v>375.29250000000002</v>
      </c>
      <c r="C767" s="116">
        <v>371.83749999999998</v>
      </c>
      <c r="D767" s="116">
        <v>369.95</v>
      </c>
      <c r="E767" s="116">
        <v>375.29250000000002</v>
      </c>
      <c r="F767" s="116">
        <v>7436.75</v>
      </c>
      <c r="G767">
        <v>61629</v>
      </c>
      <c r="H767" s="116"/>
      <c r="I767" s="116"/>
      <c r="L767" s="170">
        <v>43130</v>
      </c>
      <c r="M767" s="116">
        <v>372.79500000000002</v>
      </c>
      <c r="N767" s="116">
        <v>376.0625</v>
      </c>
      <c r="O767" s="116">
        <v>370.2525</v>
      </c>
      <c r="P767" s="116">
        <v>376</v>
      </c>
      <c r="Q767" s="116">
        <v>7455.9</v>
      </c>
      <c r="R767">
        <v>28872</v>
      </c>
    </row>
    <row r="768" spans="1:18" x14ac:dyDescent="0.25">
      <c r="A768" s="170">
        <v>43131</v>
      </c>
      <c r="B768" s="116">
        <v>375.29250000000002</v>
      </c>
      <c r="C768" s="116">
        <v>373.24</v>
      </c>
      <c r="D768" s="116">
        <v>371.83249999999998</v>
      </c>
      <c r="E768" s="116">
        <v>371.83249999999998</v>
      </c>
      <c r="F768" s="116">
        <v>7464.8</v>
      </c>
      <c r="G768">
        <v>594</v>
      </c>
      <c r="H768" s="116"/>
      <c r="I768" s="116"/>
      <c r="L768" s="170">
        <v>43131</v>
      </c>
      <c r="M768" s="116">
        <v>373.45749999999998</v>
      </c>
      <c r="N768" s="116">
        <v>375.7</v>
      </c>
      <c r="O768" s="116">
        <v>370.81</v>
      </c>
      <c r="P768" s="116">
        <v>374.19749999999999</v>
      </c>
      <c r="Q768" s="116">
        <v>7469.15</v>
      </c>
      <c r="R768">
        <v>24839</v>
      </c>
    </row>
    <row r="769" spans="1:18" x14ac:dyDescent="0.25">
      <c r="A769" s="170">
        <v>43132</v>
      </c>
      <c r="B769" s="116">
        <v>375.65499999999997</v>
      </c>
      <c r="C769" s="116">
        <v>365.29500000000002</v>
      </c>
      <c r="D769" s="116">
        <v>364.12</v>
      </c>
      <c r="E769" s="116">
        <v>375</v>
      </c>
      <c r="F769" s="116">
        <v>7305.9</v>
      </c>
      <c r="G769">
        <v>3358</v>
      </c>
      <c r="H769" s="116"/>
      <c r="I769" s="116"/>
      <c r="L769" s="170">
        <v>43132</v>
      </c>
      <c r="M769" s="116">
        <v>365.54250000000002</v>
      </c>
      <c r="N769" s="116">
        <v>376.84750000000003</v>
      </c>
      <c r="O769" s="116">
        <v>364</v>
      </c>
      <c r="P769" s="116">
        <v>374.95</v>
      </c>
      <c r="Q769" s="116">
        <v>7310.85</v>
      </c>
      <c r="R769">
        <v>106395</v>
      </c>
    </row>
    <row r="770" spans="1:18" x14ac:dyDescent="0.25">
      <c r="A770" s="170">
        <v>43133</v>
      </c>
      <c r="B770" s="116">
        <v>381.55250000000001</v>
      </c>
      <c r="C770" s="116">
        <v>357.04</v>
      </c>
      <c r="D770" s="116">
        <v>356.1</v>
      </c>
      <c r="E770" s="116">
        <v>364.89249999999998</v>
      </c>
      <c r="F770" s="116">
        <v>7140.8</v>
      </c>
      <c r="G770">
        <v>8032</v>
      </c>
      <c r="H770" s="116"/>
      <c r="I770" s="116"/>
      <c r="L770" s="170">
        <v>43133</v>
      </c>
      <c r="M770" s="116">
        <v>356.77249999999998</v>
      </c>
      <c r="N770" s="116">
        <v>370.75</v>
      </c>
      <c r="O770" s="116">
        <v>356.25</v>
      </c>
      <c r="P770" s="116">
        <v>365</v>
      </c>
      <c r="Q770" s="116">
        <v>7135.45</v>
      </c>
      <c r="R770">
        <v>64413</v>
      </c>
    </row>
    <row r="771" spans="1:18" x14ac:dyDescent="0.25">
      <c r="A771" s="170">
        <v>43136</v>
      </c>
      <c r="B771" s="116">
        <v>360.4975</v>
      </c>
      <c r="C771" s="116">
        <v>356.64</v>
      </c>
      <c r="D771" s="116">
        <v>350.0025</v>
      </c>
      <c r="E771" s="116">
        <v>360.4975</v>
      </c>
      <c r="F771" s="116">
        <v>7132.8</v>
      </c>
      <c r="G771">
        <v>76314</v>
      </c>
      <c r="H771" s="116"/>
      <c r="I771" s="116"/>
      <c r="L771" s="170">
        <v>43136</v>
      </c>
      <c r="M771" s="116">
        <v>356.73500000000001</v>
      </c>
      <c r="N771" s="116">
        <v>359.95</v>
      </c>
      <c r="O771" s="116">
        <v>349.88249999999999</v>
      </c>
      <c r="P771" s="116">
        <v>356.5</v>
      </c>
      <c r="Q771" s="116">
        <v>7134.7</v>
      </c>
      <c r="R771">
        <v>55575</v>
      </c>
    </row>
    <row r="772" spans="1:18" x14ac:dyDescent="0.25">
      <c r="A772" s="170">
        <v>43137</v>
      </c>
      <c r="B772" s="116">
        <v>352.44749999999999</v>
      </c>
      <c r="C772" s="116">
        <v>350.61</v>
      </c>
      <c r="D772" s="116">
        <v>349</v>
      </c>
      <c r="E772" s="116">
        <v>350.71499999999997</v>
      </c>
      <c r="F772" s="116">
        <v>7012.2</v>
      </c>
      <c r="G772">
        <v>3875</v>
      </c>
      <c r="H772" s="116"/>
      <c r="I772" s="116"/>
      <c r="L772" s="170">
        <v>43137</v>
      </c>
      <c r="M772" s="116">
        <v>350.815</v>
      </c>
      <c r="N772" s="116">
        <v>351.755</v>
      </c>
      <c r="O772" s="116">
        <v>349.25</v>
      </c>
      <c r="P772" s="116">
        <v>350</v>
      </c>
      <c r="Q772" s="116">
        <v>7016.3</v>
      </c>
      <c r="R772">
        <v>68219</v>
      </c>
    </row>
    <row r="773" spans="1:18" x14ac:dyDescent="0.25">
      <c r="A773" s="170">
        <v>43138</v>
      </c>
      <c r="B773" s="116">
        <v>356.065</v>
      </c>
      <c r="C773" s="116">
        <v>350.6925</v>
      </c>
      <c r="D773" s="116">
        <v>349.4</v>
      </c>
      <c r="E773" s="116">
        <v>354.95</v>
      </c>
      <c r="F773" s="116">
        <v>7013.85</v>
      </c>
      <c r="G773">
        <v>19843</v>
      </c>
      <c r="H773" s="116"/>
      <c r="I773" s="116"/>
      <c r="L773" s="170">
        <v>43138</v>
      </c>
      <c r="M773" s="116">
        <v>350.35</v>
      </c>
      <c r="N773" s="116">
        <v>355.8</v>
      </c>
      <c r="O773" s="116">
        <v>348.79</v>
      </c>
      <c r="P773" s="116">
        <v>354.89749999999998</v>
      </c>
      <c r="Q773" s="116">
        <v>7007</v>
      </c>
      <c r="R773">
        <v>40086</v>
      </c>
    </row>
    <row r="774" spans="1:18" x14ac:dyDescent="0.25">
      <c r="A774" s="170">
        <v>43139</v>
      </c>
      <c r="B774" s="116">
        <v>354.52499999999998</v>
      </c>
      <c r="C774" s="116">
        <v>349.56</v>
      </c>
      <c r="D774" s="116">
        <v>344.38749999999999</v>
      </c>
      <c r="E774" s="116">
        <v>352.27249999999998</v>
      </c>
      <c r="F774" s="116">
        <v>6991.2</v>
      </c>
      <c r="G774">
        <v>32444</v>
      </c>
      <c r="H774" s="116"/>
      <c r="I774" s="116"/>
      <c r="L774" s="170">
        <v>43139</v>
      </c>
      <c r="M774" s="116">
        <v>349.3</v>
      </c>
      <c r="N774" s="116">
        <v>354.7</v>
      </c>
      <c r="O774" s="116">
        <v>344.36250000000001</v>
      </c>
      <c r="P774" s="116">
        <v>350.7</v>
      </c>
      <c r="Q774" s="116">
        <v>6986</v>
      </c>
      <c r="R774">
        <v>68289</v>
      </c>
    </row>
    <row r="775" spans="1:18" x14ac:dyDescent="0.25">
      <c r="A775" s="170">
        <v>43140</v>
      </c>
      <c r="B775" s="116">
        <v>351.25</v>
      </c>
      <c r="C775" s="116">
        <v>347.95249999999999</v>
      </c>
      <c r="D775" s="116">
        <v>347</v>
      </c>
      <c r="E775" s="116">
        <v>351.25</v>
      </c>
      <c r="F775" s="116">
        <v>6959.05</v>
      </c>
      <c r="G775">
        <v>1698</v>
      </c>
      <c r="H775" s="116"/>
      <c r="I775" s="116"/>
      <c r="L775" s="170">
        <v>43140</v>
      </c>
      <c r="M775" s="116">
        <v>348.48250000000002</v>
      </c>
      <c r="N775" s="116">
        <v>351.66</v>
      </c>
      <c r="O775" s="116">
        <v>346.11</v>
      </c>
      <c r="P775" s="116">
        <v>348.65</v>
      </c>
      <c r="Q775" s="116">
        <v>6969.65</v>
      </c>
      <c r="R775">
        <v>74532</v>
      </c>
    </row>
    <row r="776" spans="1:18" x14ac:dyDescent="0.25">
      <c r="A776" s="170">
        <v>43143</v>
      </c>
      <c r="B776" s="116">
        <v>359.9</v>
      </c>
      <c r="C776" s="116">
        <v>356.82499999999999</v>
      </c>
      <c r="D776" s="116">
        <v>351</v>
      </c>
      <c r="E776" s="116">
        <v>351</v>
      </c>
      <c r="F776" s="116">
        <v>7136.5</v>
      </c>
      <c r="G776">
        <v>3838</v>
      </c>
      <c r="H776" s="116"/>
      <c r="I776" s="116"/>
      <c r="L776" s="170">
        <v>43143</v>
      </c>
      <c r="M776" s="116">
        <v>357.09500000000003</v>
      </c>
      <c r="N776" s="116">
        <v>359.95</v>
      </c>
      <c r="O776" s="116">
        <v>349.70249999999999</v>
      </c>
      <c r="P776" s="116">
        <v>349.9</v>
      </c>
      <c r="Q776" s="116">
        <v>7141.9</v>
      </c>
      <c r="R776">
        <v>104885</v>
      </c>
    </row>
    <row r="777" spans="1:18" x14ac:dyDescent="0.25">
      <c r="A777" s="170">
        <v>43145</v>
      </c>
      <c r="B777" s="116">
        <v>368.63499999999999</v>
      </c>
      <c r="C777" s="116">
        <v>363.005</v>
      </c>
      <c r="D777" s="116">
        <v>359.32749999999999</v>
      </c>
      <c r="E777" s="116">
        <v>359.32749999999999</v>
      </c>
      <c r="F777" s="116">
        <v>7260.1</v>
      </c>
      <c r="G777">
        <v>2732</v>
      </c>
      <c r="H777" s="116"/>
      <c r="I777" s="116"/>
      <c r="L777" s="170">
        <v>43145</v>
      </c>
      <c r="M777" s="116">
        <v>363.2475</v>
      </c>
      <c r="N777" s="116">
        <v>369.21</v>
      </c>
      <c r="O777" s="116">
        <v>358.1</v>
      </c>
      <c r="P777" s="116">
        <v>360</v>
      </c>
      <c r="Q777" s="116">
        <v>7264.95</v>
      </c>
      <c r="R777">
        <v>117449</v>
      </c>
    </row>
    <row r="778" spans="1:18" x14ac:dyDescent="0.25">
      <c r="A778" s="170">
        <v>43146</v>
      </c>
      <c r="B778" s="116">
        <v>382</v>
      </c>
      <c r="C778" s="116">
        <v>379.26749999999998</v>
      </c>
      <c r="D778" s="116">
        <v>371.47500000000002</v>
      </c>
      <c r="E778" s="116">
        <v>374</v>
      </c>
      <c r="F778" s="116">
        <v>7585.35</v>
      </c>
      <c r="G778">
        <v>19915</v>
      </c>
      <c r="H778" s="116"/>
      <c r="I778" s="116"/>
      <c r="L778" s="170">
        <v>43146</v>
      </c>
      <c r="M778" s="116">
        <v>379.16</v>
      </c>
      <c r="N778" s="116">
        <v>382.25</v>
      </c>
      <c r="O778" s="116">
        <v>371.35250000000002</v>
      </c>
      <c r="P778" s="116">
        <v>375</v>
      </c>
      <c r="Q778" s="116">
        <v>7583.2</v>
      </c>
      <c r="R778">
        <v>354436</v>
      </c>
    </row>
    <row r="779" spans="1:18" x14ac:dyDescent="0.25">
      <c r="A779" s="170">
        <v>43147</v>
      </c>
      <c r="B779" s="116">
        <v>385.745</v>
      </c>
      <c r="C779" s="116">
        <v>379.505</v>
      </c>
      <c r="D779" s="116">
        <v>379</v>
      </c>
      <c r="E779" s="116">
        <v>382.9</v>
      </c>
      <c r="F779" s="116">
        <v>7590.1</v>
      </c>
      <c r="G779">
        <v>5546</v>
      </c>
      <c r="H779" s="116"/>
      <c r="I779" s="116"/>
      <c r="L779" s="170">
        <v>43147</v>
      </c>
      <c r="M779" s="116">
        <v>379.64249999999998</v>
      </c>
      <c r="N779" s="116">
        <v>386</v>
      </c>
      <c r="O779" s="116">
        <v>378.75</v>
      </c>
      <c r="P779" s="116">
        <v>382.5</v>
      </c>
      <c r="Q779" s="116">
        <v>7592.85</v>
      </c>
      <c r="R779">
        <v>76991</v>
      </c>
    </row>
    <row r="780" spans="1:18" x14ac:dyDescent="0.25">
      <c r="A780" s="170">
        <v>43150</v>
      </c>
      <c r="B780" s="116">
        <v>380.5025</v>
      </c>
      <c r="C780" s="116">
        <v>375.62</v>
      </c>
      <c r="D780" s="116">
        <v>374.7</v>
      </c>
      <c r="E780" s="116">
        <v>380.5025</v>
      </c>
      <c r="F780" s="116">
        <v>7512.4</v>
      </c>
      <c r="G780">
        <v>3757</v>
      </c>
      <c r="H780" s="116"/>
      <c r="I780" s="116"/>
      <c r="L780" s="170">
        <v>43150</v>
      </c>
      <c r="M780" s="116">
        <v>375.33499999999998</v>
      </c>
      <c r="N780" s="116">
        <v>381.5</v>
      </c>
      <c r="O780" s="116">
        <v>374.5025</v>
      </c>
      <c r="P780" s="116">
        <v>381.5</v>
      </c>
      <c r="Q780" s="116">
        <v>7506.7</v>
      </c>
      <c r="R780">
        <v>50746</v>
      </c>
    </row>
    <row r="781" spans="1:18" x14ac:dyDescent="0.25">
      <c r="A781" s="170">
        <v>43151</v>
      </c>
      <c r="B781" s="116">
        <v>380.53</v>
      </c>
      <c r="C781" s="116">
        <v>377.74250000000001</v>
      </c>
      <c r="D781" s="116">
        <v>374</v>
      </c>
      <c r="E781" s="116">
        <v>378.245</v>
      </c>
      <c r="F781" s="116">
        <v>7554.85</v>
      </c>
      <c r="G781">
        <v>2313</v>
      </c>
      <c r="H781" s="116"/>
      <c r="I781" s="116"/>
      <c r="L781" s="170">
        <v>43151</v>
      </c>
      <c r="M781" s="116">
        <v>378.63249999999999</v>
      </c>
      <c r="N781" s="116">
        <v>380.29750000000001</v>
      </c>
      <c r="O781" s="116">
        <v>376</v>
      </c>
      <c r="P781" s="116">
        <v>376</v>
      </c>
      <c r="Q781" s="116">
        <v>7572.65</v>
      </c>
      <c r="R781">
        <v>49865</v>
      </c>
    </row>
    <row r="782" spans="1:18" x14ac:dyDescent="0.25">
      <c r="A782" s="170">
        <v>43152</v>
      </c>
      <c r="B782" s="116">
        <v>380.4</v>
      </c>
      <c r="C782" s="116">
        <v>379.67250000000001</v>
      </c>
      <c r="D782" s="116">
        <v>378.09500000000003</v>
      </c>
      <c r="E782" s="116">
        <v>380.11250000000001</v>
      </c>
      <c r="F782" s="116">
        <v>7593.45</v>
      </c>
      <c r="G782">
        <v>1795</v>
      </c>
      <c r="H782" s="116"/>
      <c r="I782" s="116"/>
      <c r="L782" s="170">
        <v>43152</v>
      </c>
      <c r="M782" s="116">
        <v>379.8775</v>
      </c>
      <c r="N782" s="116">
        <v>380.93</v>
      </c>
      <c r="O782" s="116">
        <v>378.52499999999998</v>
      </c>
      <c r="P782" s="116">
        <v>378.95</v>
      </c>
      <c r="Q782" s="116">
        <v>7597.55</v>
      </c>
      <c r="R782">
        <v>73367</v>
      </c>
    </row>
    <row r="783" spans="1:18" x14ac:dyDescent="0.25">
      <c r="A783" s="170">
        <v>43153</v>
      </c>
      <c r="B783" s="116">
        <v>382.72</v>
      </c>
      <c r="C783" s="116">
        <v>377.02249999999998</v>
      </c>
      <c r="D783" s="116">
        <v>373.80250000000001</v>
      </c>
      <c r="E783" s="116">
        <v>378.75</v>
      </c>
      <c r="F783" s="116">
        <v>7540.45</v>
      </c>
      <c r="G783">
        <v>3308</v>
      </c>
      <c r="H783" s="116"/>
      <c r="I783" s="116"/>
      <c r="L783" s="170">
        <v>43153</v>
      </c>
      <c r="M783" s="116">
        <v>377.16500000000002</v>
      </c>
      <c r="N783" s="116">
        <v>382.94499999999999</v>
      </c>
      <c r="O783" s="116">
        <v>373.96249999999998</v>
      </c>
      <c r="P783" s="116">
        <v>379.95</v>
      </c>
      <c r="Q783" s="116">
        <v>7543.3</v>
      </c>
      <c r="R783">
        <v>94421</v>
      </c>
    </row>
    <row r="784" spans="1:18" x14ac:dyDescent="0.25">
      <c r="A784" s="170">
        <v>43154</v>
      </c>
      <c r="B784" s="116">
        <v>380.67250000000001</v>
      </c>
      <c r="C784" s="116">
        <v>379.125</v>
      </c>
      <c r="D784" s="116">
        <v>377.2</v>
      </c>
      <c r="E784" s="116">
        <v>377.2</v>
      </c>
      <c r="F784" s="116">
        <v>7582.5</v>
      </c>
      <c r="G784">
        <v>1959</v>
      </c>
      <c r="H784" s="116"/>
      <c r="I784" s="116"/>
      <c r="L784" s="170">
        <v>43154</v>
      </c>
      <c r="M784" s="116">
        <v>379.14</v>
      </c>
      <c r="N784" s="116">
        <v>380.94749999999999</v>
      </c>
      <c r="O784" s="116">
        <v>376.30500000000001</v>
      </c>
      <c r="P784" s="116">
        <v>378.65</v>
      </c>
      <c r="Q784" s="116">
        <v>7582.8</v>
      </c>
      <c r="R784">
        <v>66464</v>
      </c>
    </row>
    <row r="785" spans="1:18" x14ac:dyDescent="0.25">
      <c r="A785" s="170">
        <v>43157</v>
      </c>
      <c r="B785" s="116">
        <v>382.44499999999999</v>
      </c>
      <c r="C785" s="116">
        <v>380.77499999999998</v>
      </c>
      <c r="D785" s="116">
        <v>378.13499999999999</v>
      </c>
      <c r="E785" s="116">
        <v>380</v>
      </c>
      <c r="F785" s="116">
        <v>7615.5</v>
      </c>
      <c r="G785">
        <v>2320</v>
      </c>
      <c r="H785" s="116"/>
      <c r="I785" s="116"/>
      <c r="L785" s="170">
        <v>43157</v>
      </c>
      <c r="M785" s="116">
        <v>381.26249999999999</v>
      </c>
      <c r="N785" s="116">
        <v>382.5</v>
      </c>
      <c r="O785" s="116">
        <v>378.10750000000002</v>
      </c>
      <c r="P785" s="116">
        <v>380.75</v>
      </c>
      <c r="Q785" s="116">
        <v>7625.25</v>
      </c>
      <c r="R785">
        <v>65894</v>
      </c>
    </row>
    <row r="786" spans="1:18" x14ac:dyDescent="0.25">
      <c r="A786" s="170">
        <v>43158</v>
      </c>
      <c r="B786" s="116">
        <v>389.495</v>
      </c>
      <c r="C786" s="116">
        <v>388.06</v>
      </c>
      <c r="D786" s="116">
        <v>380.05250000000001</v>
      </c>
      <c r="E786" s="116">
        <v>381.10250000000002</v>
      </c>
      <c r="F786" s="116">
        <v>7761.2</v>
      </c>
      <c r="G786">
        <v>4310</v>
      </c>
      <c r="H786" s="116"/>
      <c r="I786" s="116"/>
      <c r="L786" s="170">
        <v>43158</v>
      </c>
      <c r="M786" s="116">
        <v>387.9975</v>
      </c>
      <c r="N786" s="116">
        <v>389.7</v>
      </c>
      <c r="O786" s="116">
        <v>381</v>
      </c>
      <c r="P786" s="116">
        <v>382.2</v>
      </c>
      <c r="Q786" s="116">
        <v>7759.95</v>
      </c>
      <c r="R786">
        <v>69883</v>
      </c>
    </row>
    <row r="787" spans="1:18" x14ac:dyDescent="0.25">
      <c r="A787" s="170">
        <v>43159</v>
      </c>
      <c r="B787" s="116">
        <v>393.22750000000002</v>
      </c>
      <c r="C787" s="116">
        <v>388.21749999999997</v>
      </c>
      <c r="D787" s="116">
        <v>385.85</v>
      </c>
      <c r="E787" s="116">
        <v>387.37</v>
      </c>
      <c r="F787" s="116">
        <v>7764.35</v>
      </c>
      <c r="G787">
        <v>2150</v>
      </c>
      <c r="H787" s="116"/>
      <c r="I787" s="116"/>
      <c r="L787" s="170">
        <v>43159</v>
      </c>
      <c r="M787" s="116">
        <v>388.08249999999998</v>
      </c>
      <c r="N787" s="116">
        <v>393.7</v>
      </c>
      <c r="O787" s="116">
        <v>385.94749999999999</v>
      </c>
      <c r="P787" s="116">
        <v>387.95</v>
      </c>
      <c r="Q787" s="116">
        <v>7761.65</v>
      </c>
      <c r="R787">
        <v>75576</v>
      </c>
    </row>
    <row r="788" spans="1:18" x14ac:dyDescent="0.25">
      <c r="A788" s="170">
        <v>43160</v>
      </c>
      <c r="B788" s="116">
        <v>393.80500000000001</v>
      </c>
      <c r="C788" s="116">
        <v>392.52749999999997</v>
      </c>
      <c r="D788" s="116">
        <v>388.85</v>
      </c>
      <c r="E788" s="116">
        <v>388.85</v>
      </c>
      <c r="F788" s="116">
        <v>7850.55</v>
      </c>
      <c r="G788">
        <v>2456</v>
      </c>
      <c r="H788" s="116"/>
      <c r="I788" s="116"/>
      <c r="L788" s="170">
        <v>43160</v>
      </c>
      <c r="M788" s="116">
        <v>392.47</v>
      </c>
      <c r="N788" s="116">
        <v>393.8</v>
      </c>
      <c r="O788" s="116">
        <v>388.85</v>
      </c>
      <c r="P788" s="116">
        <v>388.85</v>
      </c>
      <c r="Q788" s="116">
        <v>7849.4</v>
      </c>
      <c r="R788">
        <v>61086</v>
      </c>
    </row>
    <row r="789" spans="1:18" x14ac:dyDescent="0.25">
      <c r="A789" s="170">
        <v>43164</v>
      </c>
      <c r="B789" s="116">
        <v>393.21499999999997</v>
      </c>
      <c r="C789" s="116">
        <v>385.71749999999997</v>
      </c>
      <c r="D789" s="116">
        <v>384.76749999999998</v>
      </c>
      <c r="E789" s="116">
        <v>392.55</v>
      </c>
      <c r="F789" s="116">
        <v>7714.35</v>
      </c>
      <c r="G789">
        <v>2479</v>
      </c>
      <c r="H789" s="116"/>
      <c r="I789" s="116"/>
      <c r="L789" s="170">
        <v>43164</v>
      </c>
      <c r="M789" s="116">
        <v>385.7</v>
      </c>
      <c r="N789" s="116">
        <v>394</v>
      </c>
      <c r="O789" s="116">
        <v>384.76</v>
      </c>
      <c r="P789" s="116">
        <v>394</v>
      </c>
      <c r="Q789" s="116">
        <v>7714</v>
      </c>
      <c r="R789">
        <v>63643</v>
      </c>
    </row>
    <row r="790" spans="1:18" x14ac:dyDescent="0.25">
      <c r="A790" s="170">
        <v>43165</v>
      </c>
      <c r="B790" s="116">
        <v>388.95249999999999</v>
      </c>
      <c r="C790" s="116">
        <v>384.3775</v>
      </c>
      <c r="D790" s="116">
        <v>383.85</v>
      </c>
      <c r="E790" s="116">
        <v>387.2</v>
      </c>
      <c r="F790" s="116">
        <v>7687.55</v>
      </c>
      <c r="G790">
        <v>6938</v>
      </c>
      <c r="H790" s="116"/>
      <c r="I790" s="116"/>
      <c r="L790" s="170">
        <v>43165</v>
      </c>
      <c r="M790" s="116">
        <v>384.4425</v>
      </c>
      <c r="N790" s="116">
        <v>389</v>
      </c>
      <c r="O790" s="116">
        <v>382.5</v>
      </c>
      <c r="P790" s="116">
        <v>388.17</v>
      </c>
      <c r="Q790" s="116">
        <v>7688.85</v>
      </c>
      <c r="R790">
        <v>62306</v>
      </c>
    </row>
    <row r="791" spans="1:18" x14ac:dyDescent="0.25">
      <c r="A791" s="170">
        <v>43166</v>
      </c>
      <c r="B791" s="116">
        <v>389.66750000000002</v>
      </c>
      <c r="C791" s="116">
        <v>385.28</v>
      </c>
      <c r="D791" s="116">
        <v>382.80500000000001</v>
      </c>
      <c r="E791" s="116">
        <v>384.45</v>
      </c>
      <c r="F791" s="116">
        <v>7705.6</v>
      </c>
      <c r="G791">
        <v>1867</v>
      </c>
      <c r="H791" s="116"/>
      <c r="I791" s="116"/>
      <c r="L791" s="170">
        <v>43166</v>
      </c>
      <c r="M791" s="116">
        <v>385.22250000000003</v>
      </c>
      <c r="N791" s="116">
        <v>389.9</v>
      </c>
      <c r="O791" s="116">
        <v>382.51749999999998</v>
      </c>
      <c r="P791" s="116">
        <v>385.495</v>
      </c>
      <c r="Q791" s="116">
        <v>7704.45</v>
      </c>
      <c r="R791">
        <v>61388</v>
      </c>
    </row>
    <row r="792" spans="1:18" x14ac:dyDescent="0.25">
      <c r="A792" s="170">
        <v>43167</v>
      </c>
      <c r="B792" s="116">
        <v>389</v>
      </c>
      <c r="C792" s="116">
        <v>385.59</v>
      </c>
      <c r="D792" s="116">
        <v>385.3</v>
      </c>
      <c r="E792" s="116">
        <v>387.95</v>
      </c>
      <c r="F792" s="116">
        <v>7711.8</v>
      </c>
      <c r="G792">
        <v>1116</v>
      </c>
      <c r="H792" s="116"/>
      <c r="I792" s="116"/>
      <c r="L792" s="170">
        <v>43167</v>
      </c>
      <c r="M792" s="116">
        <v>385.5025</v>
      </c>
      <c r="N792" s="116">
        <v>389.4</v>
      </c>
      <c r="O792" s="116">
        <v>385</v>
      </c>
      <c r="P792" s="116">
        <v>389.4</v>
      </c>
      <c r="Q792" s="116">
        <v>7710.05</v>
      </c>
      <c r="R792">
        <v>49994</v>
      </c>
    </row>
    <row r="793" spans="1:18" x14ac:dyDescent="0.25">
      <c r="A793" s="170">
        <v>43168</v>
      </c>
      <c r="B793" s="116">
        <v>386.79500000000002</v>
      </c>
      <c r="C793" s="116">
        <v>382.52749999999997</v>
      </c>
      <c r="D793" s="116">
        <v>382.21249999999998</v>
      </c>
      <c r="E793" s="116">
        <v>386.79500000000002</v>
      </c>
      <c r="F793" s="116">
        <v>7650.55</v>
      </c>
      <c r="G793">
        <v>3215</v>
      </c>
      <c r="H793" s="116"/>
      <c r="I793" s="116"/>
      <c r="L793" s="170">
        <v>43168</v>
      </c>
      <c r="M793" s="116">
        <v>382.86750000000001</v>
      </c>
      <c r="N793" s="116">
        <v>388.375</v>
      </c>
      <c r="O793" s="116">
        <v>382.1</v>
      </c>
      <c r="P793" s="116">
        <v>388.375</v>
      </c>
      <c r="Q793" s="116">
        <v>7657.35</v>
      </c>
      <c r="R793">
        <v>104310</v>
      </c>
    </row>
    <row r="794" spans="1:18" x14ac:dyDescent="0.25">
      <c r="A794" s="170">
        <v>43171</v>
      </c>
      <c r="B794" s="116">
        <v>385</v>
      </c>
      <c r="C794" s="116">
        <v>381.02</v>
      </c>
      <c r="D794" s="116">
        <v>379.2475</v>
      </c>
      <c r="E794" s="116">
        <v>385</v>
      </c>
      <c r="F794" s="116">
        <v>7620.4</v>
      </c>
      <c r="G794">
        <v>3321</v>
      </c>
      <c r="H794" s="116"/>
      <c r="I794" s="116"/>
      <c r="L794" s="170">
        <v>43171</v>
      </c>
      <c r="M794" s="116">
        <v>380.95</v>
      </c>
      <c r="N794" s="116">
        <v>385.45</v>
      </c>
      <c r="O794" s="116">
        <v>378.3</v>
      </c>
      <c r="P794" s="116">
        <v>384.74</v>
      </c>
      <c r="Q794" s="116">
        <v>7619</v>
      </c>
      <c r="R794">
        <v>28943</v>
      </c>
    </row>
    <row r="795" spans="1:18" x14ac:dyDescent="0.25">
      <c r="A795" s="170">
        <v>43172</v>
      </c>
      <c r="B795" s="116">
        <v>388.92</v>
      </c>
      <c r="C795" s="116">
        <v>385.17250000000001</v>
      </c>
      <c r="D795" s="116">
        <v>383.55</v>
      </c>
      <c r="E795" s="116">
        <v>383.75</v>
      </c>
      <c r="F795" s="116">
        <v>7703.45</v>
      </c>
      <c r="G795">
        <v>3621</v>
      </c>
      <c r="H795" s="116"/>
      <c r="I795" s="116"/>
      <c r="L795" s="170">
        <v>43172</v>
      </c>
      <c r="M795" s="116">
        <v>385.01249999999999</v>
      </c>
      <c r="N795" s="116">
        <v>389.2</v>
      </c>
      <c r="O795" s="116">
        <v>380.78500000000003</v>
      </c>
      <c r="P795" s="116">
        <v>380.95</v>
      </c>
      <c r="Q795" s="116">
        <v>7700.25</v>
      </c>
      <c r="R795">
        <v>65859</v>
      </c>
    </row>
    <row r="796" spans="1:18" x14ac:dyDescent="0.25">
      <c r="A796" s="170">
        <v>43173</v>
      </c>
      <c r="B796" s="116">
        <v>385.3075</v>
      </c>
      <c r="C796" s="116">
        <v>382.73500000000001</v>
      </c>
      <c r="D796" s="116">
        <v>381.39</v>
      </c>
      <c r="E796" s="116">
        <v>385</v>
      </c>
      <c r="F796" s="116">
        <v>7654.7</v>
      </c>
      <c r="G796">
        <v>21153</v>
      </c>
      <c r="H796" s="116"/>
      <c r="I796" s="116"/>
      <c r="L796" s="170">
        <v>43173</v>
      </c>
      <c r="M796" s="116">
        <v>382.38749999999999</v>
      </c>
      <c r="N796" s="116">
        <v>385.79750000000001</v>
      </c>
      <c r="O796" s="116">
        <v>380.83749999999998</v>
      </c>
      <c r="P796" s="116">
        <v>385.05</v>
      </c>
      <c r="Q796" s="116">
        <v>7647.75</v>
      </c>
      <c r="R796">
        <v>64620</v>
      </c>
    </row>
    <row r="797" spans="1:18" x14ac:dyDescent="0.25">
      <c r="A797" s="170">
        <v>43174</v>
      </c>
      <c r="B797" s="116">
        <v>386.79750000000001</v>
      </c>
      <c r="C797" s="116">
        <v>385.86500000000001</v>
      </c>
      <c r="D797" s="116">
        <v>384.25</v>
      </c>
      <c r="E797" s="116">
        <v>384.4375</v>
      </c>
      <c r="F797" s="116">
        <v>7717.3</v>
      </c>
      <c r="G797">
        <v>6136</v>
      </c>
      <c r="H797" s="116"/>
      <c r="I797" s="116"/>
      <c r="L797" s="170">
        <v>43174</v>
      </c>
      <c r="M797" s="116">
        <v>385.99250000000001</v>
      </c>
      <c r="N797" s="116">
        <v>386.95</v>
      </c>
      <c r="O797" s="116">
        <v>380.26</v>
      </c>
      <c r="P797" s="116">
        <v>386.45</v>
      </c>
      <c r="Q797" s="116">
        <v>7719.85</v>
      </c>
      <c r="R797">
        <v>65489</v>
      </c>
    </row>
    <row r="798" spans="1:18" x14ac:dyDescent="0.25">
      <c r="A798" s="170">
        <v>43175</v>
      </c>
      <c r="B798" s="116">
        <v>388.315</v>
      </c>
      <c r="C798" s="116">
        <v>384.66250000000002</v>
      </c>
      <c r="D798" s="116">
        <v>383.46</v>
      </c>
      <c r="E798" s="116">
        <v>386.5</v>
      </c>
      <c r="F798" s="116">
        <v>7693.25</v>
      </c>
      <c r="G798">
        <v>1383</v>
      </c>
      <c r="H798" s="116"/>
      <c r="I798" s="116"/>
      <c r="L798" s="170">
        <v>43175</v>
      </c>
      <c r="M798" s="116">
        <v>384.76749999999998</v>
      </c>
      <c r="N798" s="116">
        <v>387.89749999999998</v>
      </c>
      <c r="O798" s="116">
        <v>383.505</v>
      </c>
      <c r="P798" s="116">
        <v>387.5</v>
      </c>
      <c r="Q798" s="116">
        <v>7695.35</v>
      </c>
      <c r="R798">
        <v>176601</v>
      </c>
    </row>
    <row r="799" spans="1:18" x14ac:dyDescent="0.25">
      <c r="A799" s="170">
        <v>43178</v>
      </c>
      <c r="B799" s="116">
        <v>385.57</v>
      </c>
      <c r="C799" s="116">
        <v>383.22</v>
      </c>
      <c r="D799" s="116">
        <v>382.14</v>
      </c>
      <c r="E799" s="116">
        <v>385.55500000000001</v>
      </c>
      <c r="F799" s="116">
        <v>7664.4</v>
      </c>
      <c r="G799">
        <v>1030</v>
      </c>
      <c r="H799" s="116"/>
      <c r="I799" s="116"/>
      <c r="L799" s="170">
        <v>43178</v>
      </c>
      <c r="M799" s="116">
        <v>383.16500000000002</v>
      </c>
      <c r="N799" s="116">
        <v>386.2475</v>
      </c>
      <c r="O799" s="116">
        <v>381.375</v>
      </c>
      <c r="P799" s="116">
        <v>386.1275</v>
      </c>
      <c r="Q799" s="116">
        <v>7663.3</v>
      </c>
      <c r="R799">
        <v>66918</v>
      </c>
    </row>
    <row r="800" spans="1:18" x14ac:dyDescent="0.25">
      <c r="A800" s="170">
        <v>43179</v>
      </c>
      <c r="B800" s="116">
        <v>393.95</v>
      </c>
      <c r="C800" s="116">
        <v>392.05250000000001</v>
      </c>
      <c r="D800" s="116">
        <v>384.72500000000002</v>
      </c>
      <c r="E800" s="116">
        <v>384.72500000000002</v>
      </c>
      <c r="F800" s="116">
        <v>7841.05</v>
      </c>
      <c r="G800">
        <v>6115</v>
      </c>
      <c r="H800" s="116"/>
      <c r="I800" s="116"/>
      <c r="L800" s="170">
        <v>43179</v>
      </c>
      <c r="M800" s="116">
        <v>392.07249999999999</v>
      </c>
      <c r="N800" s="116">
        <v>393.75</v>
      </c>
      <c r="O800" s="116">
        <v>383.185</v>
      </c>
      <c r="P800" s="116">
        <v>384.995</v>
      </c>
      <c r="Q800" s="116">
        <v>7841.45</v>
      </c>
      <c r="R800">
        <v>135487</v>
      </c>
    </row>
    <row r="801" spans="1:18" x14ac:dyDescent="0.25">
      <c r="A801" s="170">
        <v>43180</v>
      </c>
      <c r="B801" s="116">
        <v>397.9</v>
      </c>
      <c r="C801" s="116">
        <v>392.625</v>
      </c>
      <c r="D801" s="116">
        <v>389</v>
      </c>
      <c r="E801" s="116">
        <v>394.9975</v>
      </c>
      <c r="F801" s="116">
        <v>7852.5</v>
      </c>
      <c r="G801">
        <v>3468</v>
      </c>
      <c r="H801" s="116"/>
      <c r="I801" s="116"/>
      <c r="L801" s="170">
        <v>43180</v>
      </c>
      <c r="M801" s="116">
        <v>392.66250000000002</v>
      </c>
      <c r="N801" s="116">
        <v>398.25</v>
      </c>
      <c r="O801" s="116">
        <v>389.7525</v>
      </c>
      <c r="P801" s="116">
        <v>394.45</v>
      </c>
      <c r="Q801" s="116">
        <v>7853.25</v>
      </c>
      <c r="R801">
        <v>75926</v>
      </c>
    </row>
    <row r="802" spans="1:18" x14ac:dyDescent="0.25">
      <c r="A802" s="170">
        <v>43181</v>
      </c>
      <c r="B802" s="116">
        <v>395.9975</v>
      </c>
      <c r="C802" s="116">
        <v>392.3075</v>
      </c>
      <c r="D802" s="116">
        <v>391.92</v>
      </c>
      <c r="E802" s="116">
        <v>392</v>
      </c>
      <c r="F802" s="116">
        <v>7846.15</v>
      </c>
      <c r="G802">
        <v>2632</v>
      </c>
      <c r="H802" s="116"/>
      <c r="I802" s="116"/>
      <c r="L802" s="170">
        <v>43181</v>
      </c>
      <c r="M802" s="116">
        <v>392.03750000000002</v>
      </c>
      <c r="N802" s="116">
        <v>395.8</v>
      </c>
      <c r="O802" s="116">
        <v>390.86750000000001</v>
      </c>
      <c r="P802" s="116">
        <v>392.4</v>
      </c>
      <c r="Q802" s="116">
        <v>7840.75</v>
      </c>
      <c r="R802">
        <v>60100</v>
      </c>
    </row>
    <row r="803" spans="1:18" x14ac:dyDescent="0.25">
      <c r="A803" s="170">
        <v>43182</v>
      </c>
      <c r="B803" s="116">
        <v>392.2</v>
      </c>
      <c r="C803" s="116">
        <v>389.8775</v>
      </c>
      <c r="D803" s="116">
        <v>388.4</v>
      </c>
      <c r="E803" s="116">
        <v>392.2</v>
      </c>
      <c r="F803" s="116">
        <v>7797.55</v>
      </c>
      <c r="G803">
        <v>2531</v>
      </c>
      <c r="H803" s="116"/>
      <c r="I803" s="116"/>
      <c r="L803" s="170">
        <v>43182</v>
      </c>
      <c r="M803" s="116">
        <v>389.69</v>
      </c>
      <c r="N803" s="116">
        <v>391.83249999999998</v>
      </c>
      <c r="O803" s="116">
        <v>387.98</v>
      </c>
      <c r="P803" s="116">
        <v>390</v>
      </c>
      <c r="Q803" s="116">
        <v>7793.8</v>
      </c>
      <c r="R803">
        <v>97274</v>
      </c>
    </row>
    <row r="804" spans="1:18" x14ac:dyDescent="0.25">
      <c r="A804" s="170">
        <v>43185</v>
      </c>
      <c r="B804" s="116">
        <v>395.27749999999997</v>
      </c>
      <c r="C804" s="116">
        <v>390.66250000000002</v>
      </c>
      <c r="D804" s="116">
        <v>386</v>
      </c>
      <c r="E804" s="116">
        <v>392.25</v>
      </c>
      <c r="F804" s="116">
        <v>7813.25</v>
      </c>
      <c r="G804">
        <v>33494</v>
      </c>
      <c r="H804" s="116"/>
      <c r="I804" s="116"/>
      <c r="L804" s="170">
        <v>43185</v>
      </c>
      <c r="M804" s="116">
        <v>391.45249999999999</v>
      </c>
      <c r="N804" s="116">
        <v>395.94749999999999</v>
      </c>
      <c r="O804" s="116">
        <v>388</v>
      </c>
      <c r="P804" s="116">
        <v>391.35</v>
      </c>
      <c r="Q804" s="116">
        <v>7829.05</v>
      </c>
      <c r="R804">
        <v>62461</v>
      </c>
    </row>
    <row r="805" spans="1:18" x14ac:dyDescent="0.25">
      <c r="A805" s="170">
        <v>43186</v>
      </c>
      <c r="B805" s="116">
        <v>408.45</v>
      </c>
      <c r="C805" s="116">
        <v>404.1925</v>
      </c>
      <c r="D805" s="116">
        <v>391.8</v>
      </c>
      <c r="E805" s="116">
        <v>392.82</v>
      </c>
      <c r="F805" s="116">
        <v>8083.85</v>
      </c>
      <c r="G805">
        <v>18075</v>
      </c>
      <c r="H805" s="116"/>
      <c r="I805" s="116"/>
      <c r="L805" s="170">
        <v>43186</v>
      </c>
      <c r="M805" s="116">
        <v>405.63499999999999</v>
      </c>
      <c r="N805" s="116">
        <v>407.7</v>
      </c>
      <c r="O805" s="116">
        <v>393.05</v>
      </c>
      <c r="P805" s="116">
        <v>394.9975</v>
      </c>
      <c r="Q805" s="116">
        <v>8112.7</v>
      </c>
      <c r="R805">
        <v>125000</v>
      </c>
    </row>
    <row r="806" spans="1:18" x14ac:dyDescent="0.25">
      <c r="A806" s="170">
        <v>43187</v>
      </c>
      <c r="B806" s="116">
        <v>411.75</v>
      </c>
      <c r="C806" s="116">
        <v>410.10750000000002</v>
      </c>
      <c r="D806" s="116">
        <v>406.25</v>
      </c>
      <c r="E806" s="116">
        <v>408.45</v>
      </c>
      <c r="F806" s="116">
        <v>8202.15</v>
      </c>
      <c r="G806">
        <v>6192</v>
      </c>
      <c r="H806" s="116"/>
      <c r="I806" s="116"/>
      <c r="L806" s="170">
        <v>43187</v>
      </c>
      <c r="M806" s="116">
        <v>410.17750000000001</v>
      </c>
      <c r="N806" s="116">
        <v>412.5</v>
      </c>
      <c r="O806" s="116">
        <v>406.05</v>
      </c>
      <c r="P806" s="116">
        <v>407.75</v>
      </c>
      <c r="Q806" s="116">
        <v>8203.5499999999993</v>
      </c>
      <c r="R806">
        <v>124076</v>
      </c>
    </row>
    <row r="807" spans="1:18" x14ac:dyDescent="0.25">
      <c r="A807" s="170">
        <v>43192</v>
      </c>
      <c r="B807" s="116">
        <v>416.07</v>
      </c>
      <c r="C807" s="116">
        <v>415.45499999999998</v>
      </c>
      <c r="D807" s="116">
        <v>408.38749999999999</v>
      </c>
      <c r="E807" s="116">
        <v>410.05</v>
      </c>
      <c r="F807" s="116">
        <v>8309.1</v>
      </c>
      <c r="G807">
        <v>3141</v>
      </c>
      <c r="H807" s="116"/>
      <c r="I807" s="116"/>
      <c r="L807" s="170">
        <v>43192</v>
      </c>
      <c r="M807" s="116">
        <v>415.44749999999999</v>
      </c>
      <c r="N807" s="116">
        <v>417</v>
      </c>
      <c r="O807" s="116">
        <v>408.4975</v>
      </c>
      <c r="P807" s="116">
        <v>409.99250000000001</v>
      </c>
      <c r="Q807" s="116">
        <v>8308.9500000000007</v>
      </c>
      <c r="R807">
        <v>61024</v>
      </c>
    </row>
    <row r="808" spans="1:18" x14ac:dyDescent="0.25">
      <c r="A808" s="170">
        <v>43193</v>
      </c>
      <c r="B808" s="116">
        <v>418.7</v>
      </c>
      <c r="C808" s="116">
        <v>418.03500000000003</v>
      </c>
      <c r="D808" s="116">
        <v>414.25</v>
      </c>
      <c r="E808" s="116">
        <v>414.25</v>
      </c>
      <c r="F808" s="116">
        <v>8360.7000000000007</v>
      </c>
      <c r="G808">
        <v>1738</v>
      </c>
      <c r="H808" s="116"/>
      <c r="I808" s="116"/>
      <c r="L808" s="170">
        <v>43193</v>
      </c>
      <c r="M808" s="116">
        <v>417.19749999999999</v>
      </c>
      <c r="N808" s="116">
        <v>418.995</v>
      </c>
      <c r="O808" s="116">
        <v>413.9975</v>
      </c>
      <c r="P808" s="116">
        <v>414.995</v>
      </c>
      <c r="Q808" s="116">
        <v>8343.9500000000007</v>
      </c>
      <c r="R808">
        <v>60612</v>
      </c>
    </row>
    <row r="809" spans="1:18" x14ac:dyDescent="0.25">
      <c r="A809" s="170">
        <v>43194</v>
      </c>
      <c r="B809" s="116">
        <v>419.7</v>
      </c>
      <c r="C809" s="116">
        <v>417.94</v>
      </c>
      <c r="D809" s="116">
        <v>416.64</v>
      </c>
      <c r="E809" s="116">
        <v>417.05</v>
      </c>
      <c r="F809" s="116">
        <v>8358.7999999999993</v>
      </c>
      <c r="G809">
        <v>5206</v>
      </c>
      <c r="H809" s="116"/>
      <c r="I809" s="116"/>
      <c r="L809" s="170">
        <v>43194</v>
      </c>
      <c r="M809" s="116">
        <v>417.55250000000001</v>
      </c>
      <c r="N809" s="116">
        <v>419.95</v>
      </c>
      <c r="O809" s="116">
        <v>415.6</v>
      </c>
      <c r="P809" s="116">
        <v>416.1</v>
      </c>
      <c r="Q809" s="116">
        <v>8351.0499999999993</v>
      </c>
      <c r="R809">
        <v>66915</v>
      </c>
    </row>
    <row r="810" spans="1:18" x14ac:dyDescent="0.25">
      <c r="A810" s="170">
        <v>43195</v>
      </c>
      <c r="B810" s="116">
        <v>420.03</v>
      </c>
      <c r="C810" s="116">
        <v>419.78500000000003</v>
      </c>
      <c r="D810" s="116">
        <v>418.30250000000001</v>
      </c>
      <c r="E810" s="116">
        <v>419.86500000000001</v>
      </c>
      <c r="F810" s="116">
        <v>8395.7000000000007</v>
      </c>
      <c r="G810">
        <v>995</v>
      </c>
      <c r="H810" s="116"/>
      <c r="I810" s="116"/>
      <c r="L810" s="170">
        <v>43195</v>
      </c>
      <c r="M810" s="116">
        <v>419.21249999999998</v>
      </c>
      <c r="N810" s="116">
        <v>420.4</v>
      </c>
      <c r="O810" s="116">
        <v>418.05250000000001</v>
      </c>
      <c r="P810" s="116">
        <v>419.4325</v>
      </c>
      <c r="Q810" s="116">
        <v>8384.25</v>
      </c>
      <c r="R810">
        <v>36648</v>
      </c>
    </row>
    <row r="811" spans="1:18" x14ac:dyDescent="0.25">
      <c r="A811" s="170">
        <v>43196</v>
      </c>
      <c r="B811" s="116">
        <v>420.375</v>
      </c>
      <c r="C811" s="116">
        <v>417.77499999999998</v>
      </c>
      <c r="D811" s="116">
        <v>416.02499999999998</v>
      </c>
      <c r="E811" s="116">
        <v>417.75</v>
      </c>
      <c r="F811" s="116">
        <v>8355.5</v>
      </c>
      <c r="G811">
        <v>1402</v>
      </c>
      <c r="H811" s="116"/>
      <c r="I811" s="116"/>
      <c r="L811" s="170">
        <v>43196</v>
      </c>
      <c r="M811" s="116">
        <v>417.34750000000003</v>
      </c>
      <c r="N811" s="116">
        <v>420.02749999999997</v>
      </c>
      <c r="O811" s="116">
        <v>415.75</v>
      </c>
      <c r="P811" s="116">
        <v>419.21249999999998</v>
      </c>
      <c r="Q811" s="116">
        <v>8346.9500000000007</v>
      </c>
      <c r="R811">
        <v>38544</v>
      </c>
    </row>
    <row r="812" spans="1:18" x14ac:dyDescent="0.25">
      <c r="A812" s="170">
        <v>43199</v>
      </c>
      <c r="B812" s="116">
        <v>420.01749999999998</v>
      </c>
      <c r="C812" s="116">
        <v>419.42750000000001</v>
      </c>
      <c r="D812" s="116">
        <v>417.5</v>
      </c>
      <c r="E812" s="116">
        <v>417.995</v>
      </c>
      <c r="F812" s="116">
        <v>8388.5499999999993</v>
      </c>
      <c r="G812">
        <v>2007</v>
      </c>
      <c r="H812" s="116"/>
      <c r="I812" s="116"/>
      <c r="L812" s="170">
        <v>43199</v>
      </c>
      <c r="M812" s="116">
        <v>419.11250000000001</v>
      </c>
      <c r="N812" s="116">
        <v>419.9</v>
      </c>
      <c r="O812" s="116">
        <v>416.505</v>
      </c>
      <c r="P812" s="116">
        <v>417.5</v>
      </c>
      <c r="Q812" s="116">
        <v>8382.25</v>
      </c>
      <c r="R812">
        <v>54041</v>
      </c>
    </row>
    <row r="813" spans="1:18" x14ac:dyDescent="0.25">
      <c r="A813" s="170">
        <v>43200</v>
      </c>
      <c r="B813" s="116">
        <v>427.61750000000001</v>
      </c>
      <c r="C813" s="116">
        <v>425.17250000000001</v>
      </c>
      <c r="D813" s="116">
        <v>419.25</v>
      </c>
      <c r="E813" s="116">
        <v>420.04</v>
      </c>
      <c r="F813" s="116">
        <v>8503.4500000000007</v>
      </c>
      <c r="G813">
        <v>2023</v>
      </c>
      <c r="H813" s="116"/>
      <c r="I813" s="116"/>
      <c r="L813" s="170">
        <v>43200</v>
      </c>
      <c r="M813" s="116">
        <v>424.95499999999998</v>
      </c>
      <c r="N813" s="116">
        <v>427.84</v>
      </c>
      <c r="O813" s="116">
        <v>419</v>
      </c>
      <c r="P813" s="116">
        <v>419.98750000000001</v>
      </c>
      <c r="Q813" s="116">
        <v>8499.1</v>
      </c>
      <c r="R813">
        <v>59706</v>
      </c>
    </row>
    <row r="814" spans="1:18" x14ac:dyDescent="0.25">
      <c r="A814" s="170">
        <v>43201</v>
      </c>
      <c r="B814" s="116">
        <v>425.51499999999999</v>
      </c>
      <c r="C814" s="116">
        <v>423.68</v>
      </c>
      <c r="D814" s="116">
        <v>419.64499999999998</v>
      </c>
      <c r="E814" s="116">
        <v>425.51499999999999</v>
      </c>
      <c r="F814" s="116">
        <v>8473.6</v>
      </c>
      <c r="G814">
        <v>1662</v>
      </c>
      <c r="H814" s="116"/>
      <c r="I814" s="116"/>
      <c r="L814" s="170">
        <v>43201</v>
      </c>
      <c r="M814" s="116">
        <v>423.8175</v>
      </c>
      <c r="N814" s="116">
        <v>425.33499999999998</v>
      </c>
      <c r="O814" s="116">
        <v>418.91</v>
      </c>
      <c r="P814" s="116">
        <v>424.98</v>
      </c>
      <c r="Q814" s="116">
        <v>8476.35</v>
      </c>
      <c r="R814">
        <v>36711</v>
      </c>
    </row>
    <row r="815" spans="1:18" x14ac:dyDescent="0.25">
      <c r="A815" s="170">
        <v>43202</v>
      </c>
      <c r="B815" s="116">
        <v>434.9</v>
      </c>
      <c r="C815" s="116">
        <v>431.36750000000001</v>
      </c>
      <c r="D815" s="116">
        <v>416.28</v>
      </c>
      <c r="E815" s="116">
        <v>423.75</v>
      </c>
      <c r="F815" s="116">
        <v>8627.35</v>
      </c>
      <c r="G815">
        <v>28370</v>
      </c>
      <c r="H815" s="116"/>
      <c r="I815" s="116"/>
      <c r="L815" s="170">
        <v>43202</v>
      </c>
      <c r="M815" s="116">
        <v>431.84750000000003</v>
      </c>
      <c r="N815" s="116">
        <v>434.25</v>
      </c>
      <c r="O815" s="116">
        <v>419.15</v>
      </c>
      <c r="P815" s="116">
        <v>422.3</v>
      </c>
      <c r="Q815" s="116">
        <v>8636.9500000000007</v>
      </c>
      <c r="R815">
        <v>83815</v>
      </c>
    </row>
    <row r="816" spans="1:18" x14ac:dyDescent="0.25">
      <c r="A816" s="170">
        <v>43203</v>
      </c>
      <c r="B816" s="116">
        <v>436.98500000000001</v>
      </c>
      <c r="C816" s="116">
        <v>434.61500000000001</v>
      </c>
      <c r="D816" s="116">
        <v>430.89</v>
      </c>
      <c r="E816" s="116">
        <v>431.375</v>
      </c>
      <c r="F816" s="116">
        <v>8692.2999999999993</v>
      </c>
      <c r="G816">
        <v>2354</v>
      </c>
      <c r="H816" s="116"/>
      <c r="I816" s="116"/>
      <c r="L816" s="170">
        <v>43203</v>
      </c>
      <c r="M816" s="116">
        <v>434.375</v>
      </c>
      <c r="N816" s="116">
        <v>437</v>
      </c>
      <c r="O816" s="116">
        <v>430.35250000000002</v>
      </c>
      <c r="P816" s="116">
        <v>432.5025</v>
      </c>
      <c r="Q816" s="116">
        <v>8687.5</v>
      </c>
      <c r="R816">
        <v>50680</v>
      </c>
    </row>
    <row r="817" spans="1:18" x14ac:dyDescent="0.25">
      <c r="A817" s="170">
        <v>43206</v>
      </c>
      <c r="B817" s="116">
        <v>438.88499999999999</v>
      </c>
      <c r="C817" s="116">
        <v>437.23500000000001</v>
      </c>
      <c r="D817" s="116">
        <v>433.45</v>
      </c>
      <c r="E817" s="116">
        <v>434.4975</v>
      </c>
      <c r="F817" s="116">
        <v>8744.7000000000007</v>
      </c>
      <c r="G817">
        <v>1963</v>
      </c>
      <c r="H817" s="116"/>
      <c r="I817" s="116"/>
      <c r="L817" s="170">
        <v>43206</v>
      </c>
      <c r="M817" s="116">
        <v>437.47</v>
      </c>
      <c r="N817" s="116">
        <v>439</v>
      </c>
      <c r="O817" s="116">
        <v>432.5</v>
      </c>
      <c r="P817" s="116">
        <v>435.22500000000002</v>
      </c>
      <c r="Q817" s="116">
        <v>8749.4</v>
      </c>
      <c r="R817">
        <v>87657</v>
      </c>
    </row>
    <row r="818" spans="1:18" x14ac:dyDescent="0.25">
      <c r="A818" s="170">
        <v>43207</v>
      </c>
      <c r="B818" s="116">
        <v>451.75</v>
      </c>
      <c r="C818" s="116">
        <v>450.79750000000001</v>
      </c>
      <c r="D818" s="116">
        <v>437.75</v>
      </c>
      <c r="E818" s="116">
        <v>437.75</v>
      </c>
      <c r="F818" s="116">
        <v>9015.9500000000007</v>
      </c>
      <c r="G818">
        <v>8689</v>
      </c>
      <c r="H818" s="116"/>
      <c r="I818" s="116"/>
      <c r="L818" s="170">
        <v>43207</v>
      </c>
      <c r="M818" s="116">
        <v>450.68</v>
      </c>
      <c r="N818" s="116">
        <v>452.45</v>
      </c>
      <c r="O818" s="116">
        <v>438.8</v>
      </c>
      <c r="P818" s="116">
        <v>439.22500000000002</v>
      </c>
      <c r="Q818" s="116">
        <v>9013.6</v>
      </c>
      <c r="R818">
        <v>117758</v>
      </c>
    </row>
    <row r="819" spans="1:18" x14ac:dyDescent="0.25">
      <c r="A819" s="170">
        <v>43208</v>
      </c>
      <c r="B819" s="116">
        <v>455.9975</v>
      </c>
      <c r="C819" s="116">
        <v>449.35500000000002</v>
      </c>
      <c r="D819" s="116">
        <v>448.58249999999998</v>
      </c>
      <c r="E819" s="116">
        <v>451.4</v>
      </c>
      <c r="F819" s="116">
        <v>8987.1</v>
      </c>
      <c r="G819">
        <v>2605</v>
      </c>
      <c r="H819" s="116"/>
      <c r="I819" s="116"/>
      <c r="L819" s="170">
        <v>43208</v>
      </c>
      <c r="M819" s="116">
        <v>448.76249999999999</v>
      </c>
      <c r="N819" s="116">
        <v>455.94749999999999</v>
      </c>
      <c r="O819" s="116">
        <v>447.51</v>
      </c>
      <c r="P819" s="116">
        <v>449.05500000000001</v>
      </c>
      <c r="Q819" s="116">
        <v>8975.25</v>
      </c>
      <c r="R819">
        <v>47494</v>
      </c>
    </row>
    <row r="820" spans="1:18" x14ac:dyDescent="0.25">
      <c r="A820" s="170">
        <v>43209</v>
      </c>
      <c r="B820" s="116">
        <v>460</v>
      </c>
      <c r="C820" s="116">
        <v>457.67500000000001</v>
      </c>
      <c r="D820" s="116">
        <v>448.0025</v>
      </c>
      <c r="E820" s="116">
        <v>448.0025</v>
      </c>
      <c r="F820" s="116">
        <v>9153.5</v>
      </c>
      <c r="G820">
        <v>2469</v>
      </c>
      <c r="H820" s="116"/>
      <c r="I820" s="116"/>
      <c r="L820" s="170">
        <v>43209</v>
      </c>
      <c r="M820" s="116">
        <v>457.27749999999997</v>
      </c>
      <c r="N820" s="116">
        <v>459.9</v>
      </c>
      <c r="O820" s="116">
        <v>448.2</v>
      </c>
      <c r="P820" s="116">
        <v>448.79250000000002</v>
      </c>
      <c r="Q820" s="116">
        <v>9145.5499999999993</v>
      </c>
      <c r="R820">
        <v>67268</v>
      </c>
    </row>
    <row r="821" spans="1:18" x14ac:dyDescent="0.25">
      <c r="A821" s="170">
        <v>43210</v>
      </c>
      <c r="B821" s="116">
        <v>462.3175</v>
      </c>
      <c r="C821" s="116">
        <v>458.27</v>
      </c>
      <c r="D821" s="116">
        <v>456.15499999999997</v>
      </c>
      <c r="E821" s="116">
        <v>457.55</v>
      </c>
      <c r="F821" s="116">
        <v>9165.4</v>
      </c>
      <c r="G821">
        <v>1710</v>
      </c>
      <c r="H821" s="116"/>
      <c r="I821" s="116"/>
      <c r="L821" s="170">
        <v>43210</v>
      </c>
      <c r="M821" s="116">
        <v>458.1</v>
      </c>
      <c r="N821" s="116">
        <v>462.5</v>
      </c>
      <c r="O821" s="116">
        <v>456.25</v>
      </c>
      <c r="P821" s="116">
        <v>458.75</v>
      </c>
      <c r="Q821" s="116">
        <v>9162</v>
      </c>
      <c r="R821">
        <v>43195</v>
      </c>
    </row>
    <row r="822" spans="1:18" x14ac:dyDescent="0.25">
      <c r="A822" s="170">
        <v>43213</v>
      </c>
      <c r="B822" s="116">
        <v>458.3</v>
      </c>
      <c r="C822" s="116">
        <v>446.22250000000003</v>
      </c>
      <c r="D822" s="116">
        <v>444.42250000000001</v>
      </c>
      <c r="E822" s="116">
        <v>456.5</v>
      </c>
      <c r="F822" s="116">
        <v>8924.4500000000007</v>
      </c>
      <c r="G822">
        <v>14468</v>
      </c>
      <c r="H822" s="116"/>
      <c r="I822" s="116"/>
      <c r="L822" s="170">
        <v>43213</v>
      </c>
      <c r="M822" s="116">
        <v>445.26749999999998</v>
      </c>
      <c r="N822" s="116">
        <v>459.10750000000002</v>
      </c>
      <c r="O822" s="116">
        <v>444.0025</v>
      </c>
      <c r="P822" s="116">
        <v>458.05500000000001</v>
      </c>
      <c r="Q822" s="116">
        <v>8905.35</v>
      </c>
      <c r="R822">
        <v>67578</v>
      </c>
    </row>
    <row r="823" spans="1:18" x14ac:dyDescent="0.25">
      <c r="A823" s="170">
        <v>43214</v>
      </c>
      <c r="B823" s="116">
        <v>450.88249999999999</v>
      </c>
      <c r="C823" s="116">
        <v>441.16500000000002</v>
      </c>
      <c r="D823" s="116">
        <v>440.47</v>
      </c>
      <c r="E823" s="116">
        <v>447.2</v>
      </c>
      <c r="F823" s="116">
        <v>8823.2999999999993</v>
      </c>
      <c r="G823">
        <v>5447</v>
      </c>
      <c r="H823" s="116"/>
      <c r="I823" s="116"/>
      <c r="L823" s="170">
        <v>43214</v>
      </c>
      <c r="M823" s="116">
        <v>441.10250000000002</v>
      </c>
      <c r="N823" s="116">
        <v>451.04250000000002</v>
      </c>
      <c r="O823" s="116">
        <v>440.40750000000003</v>
      </c>
      <c r="P823" s="116">
        <v>445.995</v>
      </c>
      <c r="Q823" s="116">
        <v>8822.0499999999993</v>
      </c>
      <c r="R823">
        <v>51022</v>
      </c>
    </row>
    <row r="824" spans="1:18" x14ac:dyDescent="0.25">
      <c r="A824" s="170">
        <v>43215</v>
      </c>
      <c r="B824" s="116">
        <v>444.97750000000002</v>
      </c>
      <c r="C824" s="116">
        <v>436.73250000000002</v>
      </c>
      <c r="D824" s="116">
        <v>433.40249999999997</v>
      </c>
      <c r="E824" s="116">
        <v>443.32749999999999</v>
      </c>
      <c r="F824" s="116">
        <v>8734.65</v>
      </c>
      <c r="G824">
        <v>1922</v>
      </c>
      <c r="H824" s="116"/>
      <c r="I824" s="116"/>
      <c r="L824" s="170">
        <v>43215</v>
      </c>
      <c r="M824" s="116">
        <v>436.72750000000002</v>
      </c>
      <c r="N824" s="116">
        <v>445.41500000000002</v>
      </c>
      <c r="O824" s="116">
        <v>433.0025</v>
      </c>
      <c r="P824" s="116">
        <v>441</v>
      </c>
      <c r="Q824" s="116">
        <v>8734.5499999999993</v>
      </c>
      <c r="R824">
        <v>84260</v>
      </c>
    </row>
    <row r="825" spans="1:18" x14ac:dyDescent="0.25">
      <c r="A825" s="170">
        <v>43216</v>
      </c>
      <c r="B825" s="116">
        <v>459.4975</v>
      </c>
      <c r="C825" s="116">
        <v>453.07749999999999</v>
      </c>
      <c r="D825" s="116">
        <v>439.99</v>
      </c>
      <c r="E825" s="116">
        <v>439.99</v>
      </c>
      <c r="F825" s="116">
        <v>9061.5499999999993</v>
      </c>
      <c r="G825">
        <v>3917</v>
      </c>
      <c r="H825" s="116"/>
      <c r="I825" s="116"/>
      <c r="L825" s="170">
        <v>43216</v>
      </c>
      <c r="M825" s="116">
        <v>452.14749999999998</v>
      </c>
      <c r="N825" s="116">
        <v>459.5</v>
      </c>
      <c r="O825" s="116">
        <v>438.505</v>
      </c>
      <c r="P825" s="116">
        <v>439.99250000000001</v>
      </c>
      <c r="Q825" s="116">
        <v>9042.9500000000007</v>
      </c>
      <c r="R825">
        <v>132498</v>
      </c>
    </row>
    <row r="826" spans="1:18" x14ac:dyDescent="0.25">
      <c r="A826" s="170">
        <v>43217</v>
      </c>
      <c r="B826" s="116">
        <v>456.29750000000001</v>
      </c>
      <c r="C826" s="116">
        <v>452.875</v>
      </c>
      <c r="D826" s="116">
        <v>443.32749999999999</v>
      </c>
      <c r="E826" s="116">
        <v>452.5</v>
      </c>
      <c r="F826" s="116">
        <v>9057.5</v>
      </c>
      <c r="G826">
        <v>3000</v>
      </c>
      <c r="H826" s="116"/>
      <c r="I826" s="116"/>
      <c r="L826" s="170">
        <v>43217</v>
      </c>
      <c r="M826" s="116">
        <v>453.08499999999998</v>
      </c>
      <c r="N826" s="116">
        <v>456.49</v>
      </c>
      <c r="O826" s="116">
        <v>450.3</v>
      </c>
      <c r="P826" s="116">
        <v>450.76</v>
      </c>
      <c r="Q826" s="116">
        <v>9061.7000000000007</v>
      </c>
      <c r="R826">
        <v>38931</v>
      </c>
    </row>
    <row r="827" spans="1:18" x14ac:dyDescent="0.25">
      <c r="A827" s="170">
        <v>43220</v>
      </c>
      <c r="B827" s="116">
        <v>472.375</v>
      </c>
      <c r="C827" s="116">
        <v>470.3175</v>
      </c>
      <c r="D827" s="116">
        <v>454.5</v>
      </c>
      <c r="E827" s="116">
        <v>454.5</v>
      </c>
      <c r="F827" s="116">
        <v>9406.35</v>
      </c>
      <c r="G827">
        <v>3581</v>
      </c>
      <c r="H827" s="116"/>
      <c r="I827" s="116"/>
      <c r="L827" s="170">
        <v>43220</v>
      </c>
      <c r="M827" s="116">
        <v>469.82749999999999</v>
      </c>
      <c r="N827" s="116">
        <v>472.4</v>
      </c>
      <c r="O827" s="116">
        <v>453.19749999999999</v>
      </c>
      <c r="P827" s="116">
        <v>455</v>
      </c>
      <c r="Q827" s="116">
        <v>9396.5499999999993</v>
      </c>
      <c r="R827">
        <v>66876</v>
      </c>
    </row>
    <row r="828" spans="1:18" x14ac:dyDescent="0.25">
      <c r="A828" s="170">
        <v>43222</v>
      </c>
      <c r="B828" s="116">
        <v>474.5</v>
      </c>
      <c r="C828" s="116">
        <v>461.2</v>
      </c>
      <c r="D828" s="116">
        <v>460.6</v>
      </c>
      <c r="E828" s="116">
        <v>470</v>
      </c>
      <c r="F828" s="116">
        <v>9224</v>
      </c>
      <c r="G828">
        <v>2611</v>
      </c>
      <c r="H828" s="116"/>
      <c r="I828" s="116"/>
      <c r="L828" s="170">
        <v>43222</v>
      </c>
      <c r="M828" s="116">
        <v>460.0625</v>
      </c>
      <c r="N828" s="116">
        <v>474.85</v>
      </c>
      <c r="O828" s="116">
        <v>459.23500000000001</v>
      </c>
      <c r="P828" s="116">
        <v>470.25</v>
      </c>
      <c r="Q828" s="116">
        <v>9201.25</v>
      </c>
      <c r="R828">
        <v>62931</v>
      </c>
    </row>
    <row r="829" spans="1:18" x14ac:dyDescent="0.25">
      <c r="A829" s="170">
        <v>43223</v>
      </c>
      <c r="B829" s="116">
        <v>464.26499999999999</v>
      </c>
      <c r="C829" s="116">
        <v>456.005</v>
      </c>
      <c r="D829" s="116">
        <v>451.25</v>
      </c>
      <c r="E829" s="116">
        <v>462.6</v>
      </c>
      <c r="F829" s="116">
        <v>9120.1</v>
      </c>
      <c r="G829">
        <v>2570</v>
      </c>
      <c r="H829" s="116"/>
      <c r="I829" s="116"/>
      <c r="L829" s="170">
        <v>43223</v>
      </c>
      <c r="M829" s="116">
        <v>454.9325</v>
      </c>
      <c r="N829" s="116">
        <v>464.495</v>
      </c>
      <c r="O829" s="116">
        <v>452.755</v>
      </c>
      <c r="P829" s="116">
        <v>463.6</v>
      </c>
      <c r="Q829" s="116">
        <v>9098.65</v>
      </c>
      <c r="R829">
        <v>46201</v>
      </c>
    </row>
    <row r="830" spans="1:18" x14ac:dyDescent="0.25">
      <c r="A830" s="170">
        <v>43224</v>
      </c>
      <c r="B830" s="116">
        <v>457.13499999999999</v>
      </c>
      <c r="C830" s="116">
        <v>455.15750000000003</v>
      </c>
      <c r="D830" s="116">
        <v>454.5025</v>
      </c>
      <c r="E830" s="116">
        <v>455.495</v>
      </c>
      <c r="F830" s="116">
        <v>9103.15</v>
      </c>
      <c r="G830">
        <v>1077</v>
      </c>
      <c r="H830" s="116"/>
      <c r="I830" s="116"/>
      <c r="L830" s="170">
        <v>43224</v>
      </c>
      <c r="M830" s="116">
        <v>455.57</v>
      </c>
      <c r="N830" s="116">
        <v>457.89749999999998</v>
      </c>
      <c r="O830" s="116">
        <v>454.23500000000001</v>
      </c>
      <c r="P830" s="116">
        <v>457.01</v>
      </c>
      <c r="Q830" s="116">
        <v>9111.4</v>
      </c>
      <c r="R830">
        <v>33795</v>
      </c>
    </row>
    <row r="831" spans="1:18" x14ac:dyDescent="0.25">
      <c r="A831" s="170">
        <v>43227</v>
      </c>
      <c r="B831" s="116">
        <v>461.7475</v>
      </c>
      <c r="C831" s="116">
        <v>454.42</v>
      </c>
      <c r="D831" s="116">
        <v>445</v>
      </c>
      <c r="E831" s="116">
        <v>456.0025</v>
      </c>
      <c r="F831" s="116">
        <v>9088.4</v>
      </c>
      <c r="G831">
        <v>2134</v>
      </c>
      <c r="H831" s="116"/>
      <c r="I831" s="116"/>
      <c r="L831" s="170">
        <v>43227</v>
      </c>
      <c r="M831" s="116">
        <v>454.63499999999999</v>
      </c>
      <c r="N831" s="116">
        <v>458.7</v>
      </c>
      <c r="O831" s="116">
        <v>450.755</v>
      </c>
      <c r="P831" s="116">
        <v>455.70249999999999</v>
      </c>
      <c r="Q831" s="116">
        <v>9092.7000000000007</v>
      </c>
      <c r="R831">
        <v>57050</v>
      </c>
    </row>
    <row r="832" spans="1:18" x14ac:dyDescent="0.25">
      <c r="A832" s="170">
        <v>43228</v>
      </c>
      <c r="B832" s="116">
        <v>458.72750000000002</v>
      </c>
      <c r="C832" s="116">
        <v>455.84750000000003</v>
      </c>
      <c r="D832" s="116">
        <v>454.28750000000002</v>
      </c>
      <c r="E832" s="116">
        <v>458.72750000000002</v>
      </c>
      <c r="F832" s="116">
        <v>9116.9500000000007</v>
      </c>
      <c r="G832">
        <v>6221</v>
      </c>
      <c r="H832" s="116"/>
      <c r="I832" s="116"/>
      <c r="L832" s="170">
        <v>43228</v>
      </c>
      <c r="M832" s="116">
        <v>455.88499999999999</v>
      </c>
      <c r="N832" s="116">
        <v>458.75</v>
      </c>
      <c r="O832" s="116">
        <v>454.10500000000002</v>
      </c>
      <c r="P832" s="116">
        <v>458.75</v>
      </c>
      <c r="Q832" s="116">
        <v>9117.7000000000007</v>
      </c>
      <c r="R832">
        <v>91703</v>
      </c>
    </row>
    <row r="833" spans="1:18" x14ac:dyDescent="0.25">
      <c r="A833" s="170">
        <v>43229</v>
      </c>
      <c r="B833" s="116">
        <v>457.625</v>
      </c>
      <c r="C833" s="116">
        <v>454.6</v>
      </c>
      <c r="D833" s="116">
        <v>450.61750000000001</v>
      </c>
      <c r="E833" s="116">
        <v>455.15499999999997</v>
      </c>
      <c r="F833" s="116">
        <v>9092</v>
      </c>
      <c r="G833">
        <v>13137</v>
      </c>
      <c r="H833" s="116"/>
      <c r="I833" s="116"/>
      <c r="L833" s="170">
        <v>43229</v>
      </c>
      <c r="M833" s="116">
        <v>456.03750000000002</v>
      </c>
      <c r="N833" s="116">
        <v>458.45</v>
      </c>
      <c r="O833" s="116">
        <v>453.51</v>
      </c>
      <c r="P833" s="116">
        <v>453.51</v>
      </c>
      <c r="Q833" s="116">
        <v>9120.75</v>
      </c>
      <c r="R833">
        <v>24599</v>
      </c>
    </row>
    <row r="834" spans="1:18" x14ac:dyDescent="0.25">
      <c r="A834" s="170">
        <v>43230</v>
      </c>
      <c r="B834" s="116">
        <v>460.3775</v>
      </c>
      <c r="C834" s="116">
        <v>449.32249999999999</v>
      </c>
      <c r="D834" s="116">
        <v>446.74</v>
      </c>
      <c r="E834" s="116">
        <v>457.5</v>
      </c>
      <c r="F834" s="116">
        <v>8986.4500000000007</v>
      </c>
      <c r="G834">
        <v>4032</v>
      </c>
      <c r="H834" s="116"/>
      <c r="I834" s="116"/>
      <c r="L834" s="170">
        <v>43230</v>
      </c>
      <c r="M834" s="116">
        <v>449.07749999999999</v>
      </c>
      <c r="N834" s="116">
        <v>460.7525</v>
      </c>
      <c r="O834" s="116">
        <v>446.73250000000002</v>
      </c>
      <c r="P834" s="116">
        <v>456.95</v>
      </c>
      <c r="Q834" s="116">
        <v>8981.5499999999993</v>
      </c>
      <c r="R834">
        <v>44274</v>
      </c>
    </row>
    <row r="835" spans="1:18" x14ac:dyDescent="0.25">
      <c r="A835" s="170">
        <v>43231</v>
      </c>
      <c r="B835" s="116">
        <v>480.47750000000002</v>
      </c>
      <c r="C835" s="116">
        <v>475.33</v>
      </c>
      <c r="D835" s="116">
        <v>458.0025</v>
      </c>
      <c r="E835" s="116">
        <v>462.5</v>
      </c>
      <c r="F835" s="116">
        <v>9506.6</v>
      </c>
      <c r="G835">
        <v>14098</v>
      </c>
      <c r="H835" s="116"/>
      <c r="I835" s="116"/>
      <c r="L835" s="170">
        <v>43231</v>
      </c>
      <c r="M835" s="116">
        <v>476.15</v>
      </c>
      <c r="N835" s="116">
        <v>480.98500000000001</v>
      </c>
      <c r="O835" s="116">
        <v>457.5</v>
      </c>
      <c r="P835" s="116">
        <v>462</v>
      </c>
      <c r="Q835" s="116">
        <v>9523</v>
      </c>
      <c r="R835">
        <v>208693</v>
      </c>
    </row>
    <row r="836" spans="1:18" x14ac:dyDescent="0.25">
      <c r="A836" s="170">
        <v>43234</v>
      </c>
      <c r="B836" s="116">
        <v>479.85750000000002</v>
      </c>
      <c r="C836" s="116">
        <v>478.67250000000001</v>
      </c>
      <c r="D836" s="116">
        <v>474.94499999999999</v>
      </c>
      <c r="E836" s="116">
        <v>475.33</v>
      </c>
      <c r="F836" s="116">
        <v>9573.4500000000007</v>
      </c>
      <c r="G836">
        <v>2114</v>
      </c>
      <c r="H836" s="116"/>
      <c r="I836" s="116"/>
      <c r="L836" s="170">
        <v>43234</v>
      </c>
      <c r="M836" s="116">
        <v>478.57</v>
      </c>
      <c r="N836" s="116">
        <v>481.1225</v>
      </c>
      <c r="O836" s="116">
        <v>475.1</v>
      </c>
      <c r="P836" s="116">
        <v>476.15</v>
      </c>
      <c r="Q836" s="116">
        <v>9571.4</v>
      </c>
      <c r="R836">
        <v>49576</v>
      </c>
    </row>
    <row r="837" spans="1:18" x14ac:dyDescent="0.25">
      <c r="A837" s="170">
        <v>43235</v>
      </c>
      <c r="B837" s="116">
        <v>483.09500000000003</v>
      </c>
      <c r="C837" s="116">
        <v>477.3725</v>
      </c>
      <c r="D837" s="116">
        <v>473.59500000000003</v>
      </c>
      <c r="E837" s="116">
        <v>478.85</v>
      </c>
      <c r="F837" s="116">
        <v>9547.4500000000007</v>
      </c>
      <c r="G837">
        <v>2462</v>
      </c>
      <c r="H837" s="116"/>
      <c r="I837" s="116"/>
      <c r="L837" s="170">
        <v>43235</v>
      </c>
      <c r="M837" s="116">
        <v>478.26</v>
      </c>
      <c r="N837" s="116">
        <v>482</v>
      </c>
      <c r="O837" s="116">
        <v>473.75</v>
      </c>
      <c r="P837" s="116">
        <v>480</v>
      </c>
      <c r="Q837" s="116">
        <v>9565.2000000000007</v>
      </c>
      <c r="R837">
        <v>88137</v>
      </c>
    </row>
    <row r="838" spans="1:18" x14ac:dyDescent="0.25">
      <c r="A838" s="170">
        <v>43236</v>
      </c>
      <c r="B838" s="116">
        <v>483.5025</v>
      </c>
      <c r="C838" s="116">
        <v>481.88</v>
      </c>
      <c r="D838" s="116">
        <v>473.39</v>
      </c>
      <c r="E838" s="116">
        <v>474.51249999999999</v>
      </c>
      <c r="F838" s="116">
        <v>9637.6</v>
      </c>
      <c r="G838">
        <v>2565</v>
      </c>
      <c r="H838" s="116"/>
      <c r="I838" s="116"/>
      <c r="L838" s="170">
        <v>43236</v>
      </c>
      <c r="M838" s="116">
        <v>481.4</v>
      </c>
      <c r="N838" s="116">
        <v>482.495</v>
      </c>
      <c r="O838" s="116">
        <v>473.02249999999998</v>
      </c>
      <c r="P838" s="116">
        <v>477.2475</v>
      </c>
      <c r="Q838" s="116">
        <v>9628</v>
      </c>
      <c r="R838">
        <v>50709</v>
      </c>
    </row>
    <row r="839" spans="1:18" x14ac:dyDescent="0.25">
      <c r="A839" s="170">
        <v>43237</v>
      </c>
      <c r="B839" s="116">
        <v>493.25</v>
      </c>
      <c r="C839" s="116">
        <v>484.75749999999999</v>
      </c>
      <c r="D839" s="116">
        <v>477.39499999999998</v>
      </c>
      <c r="E839" s="116">
        <v>483</v>
      </c>
      <c r="F839" s="116">
        <v>9695.15</v>
      </c>
      <c r="G839">
        <v>3989</v>
      </c>
      <c r="H839" s="116"/>
      <c r="I839" s="116"/>
      <c r="L839" s="170">
        <v>43237</v>
      </c>
      <c r="M839" s="116">
        <v>485.29250000000002</v>
      </c>
      <c r="N839" s="116">
        <v>494.4975</v>
      </c>
      <c r="O839" s="116">
        <v>477.4</v>
      </c>
      <c r="P839" s="116">
        <v>482.25</v>
      </c>
      <c r="Q839" s="116">
        <v>9705.85</v>
      </c>
      <c r="R839">
        <v>82957</v>
      </c>
    </row>
    <row r="840" spans="1:18" x14ac:dyDescent="0.25">
      <c r="A840" s="170">
        <v>43238</v>
      </c>
      <c r="B840" s="116">
        <v>492.5</v>
      </c>
      <c r="C840" s="116">
        <v>484.4375</v>
      </c>
      <c r="D840" s="116">
        <v>482.5</v>
      </c>
      <c r="E840" s="116">
        <v>485.39749999999998</v>
      </c>
      <c r="F840" s="116">
        <v>9688.75</v>
      </c>
      <c r="G840">
        <v>2990</v>
      </c>
      <c r="H840" s="116"/>
      <c r="I840" s="116"/>
      <c r="L840" s="170">
        <v>43238</v>
      </c>
      <c r="M840" s="116">
        <v>484.17500000000001</v>
      </c>
      <c r="N840" s="116">
        <v>490.45</v>
      </c>
      <c r="O840" s="116">
        <v>481.75749999999999</v>
      </c>
      <c r="P840" s="116">
        <v>484.5</v>
      </c>
      <c r="Q840" s="116">
        <v>9683.5</v>
      </c>
      <c r="R840">
        <v>85659</v>
      </c>
    </row>
    <row r="841" spans="1:18" x14ac:dyDescent="0.25">
      <c r="A841" s="170">
        <v>43241</v>
      </c>
      <c r="B841" s="116">
        <v>487.01249999999999</v>
      </c>
      <c r="C841" s="116">
        <v>473.99250000000001</v>
      </c>
      <c r="D841" s="116">
        <v>472.65499999999997</v>
      </c>
      <c r="E841" s="116">
        <v>484.4</v>
      </c>
      <c r="F841" s="116">
        <v>9479.85</v>
      </c>
      <c r="G841">
        <v>2608</v>
      </c>
      <c r="H841" s="116"/>
      <c r="I841" s="116"/>
      <c r="L841" s="170">
        <v>43241</v>
      </c>
      <c r="M841" s="116">
        <v>474.3175</v>
      </c>
      <c r="N841" s="116">
        <v>487.5</v>
      </c>
      <c r="O841" s="116">
        <v>473.30250000000001</v>
      </c>
      <c r="P841" s="116">
        <v>484.5</v>
      </c>
      <c r="Q841" s="116">
        <v>9486.35</v>
      </c>
      <c r="R841">
        <v>41497</v>
      </c>
    </row>
    <row r="842" spans="1:18" x14ac:dyDescent="0.25">
      <c r="A842" s="170">
        <v>43242</v>
      </c>
      <c r="B842" s="116">
        <v>482.39749999999998</v>
      </c>
      <c r="C842" s="116">
        <v>480.80250000000001</v>
      </c>
      <c r="D842" s="116">
        <v>471.44749999999999</v>
      </c>
      <c r="E842" s="116">
        <v>474.95</v>
      </c>
      <c r="F842" s="116">
        <v>9616.0499999999993</v>
      </c>
      <c r="G842">
        <v>899</v>
      </c>
      <c r="H842" s="116"/>
      <c r="I842" s="116"/>
      <c r="L842" s="170">
        <v>43242</v>
      </c>
      <c r="M842" s="116">
        <v>481.71249999999998</v>
      </c>
      <c r="N842" s="116">
        <v>482.5</v>
      </c>
      <c r="O842" s="116">
        <v>471.88</v>
      </c>
      <c r="P842" s="116">
        <v>475.25</v>
      </c>
      <c r="Q842" s="116">
        <v>9634.25</v>
      </c>
      <c r="R842">
        <v>53911</v>
      </c>
    </row>
    <row r="843" spans="1:18" x14ac:dyDescent="0.25">
      <c r="A843" s="170">
        <v>43243</v>
      </c>
      <c r="B843" s="116">
        <v>485.245</v>
      </c>
      <c r="C843" s="116">
        <v>481.7475</v>
      </c>
      <c r="D843" s="116">
        <v>480.85</v>
      </c>
      <c r="E843" s="116">
        <v>481.8</v>
      </c>
      <c r="F843" s="116">
        <v>9634.9500000000007</v>
      </c>
      <c r="G843">
        <v>758</v>
      </c>
      <c r="H843" s="116"/>
      <c r="I843" s="116"/>
      <c r="L843" s="170">
        <v>43243</v>
      </c>
      <c r="M843" s="116">
        <v>482.065</v>
      </c>
      <c r="N843" s="116">
        <v>485.98500000000001</v>
      </c>
      <c r="O843" s="116">
        <v>480.51</v>
      </c>
      <c r="P843" s="116">
        <v>482.1825</v>
      </c>
      <c r="Q843" s="116">
        <v>9641.2999999999993</v>
      </c>
      <c r="R843">
        <v>36962</v>
      </c>
    </row>
    <row r="844" spans="1:18" x14ac:dyDescent="0.25">
      <c r="A844" s="170">
        <v>43244</v>
      </c>
      <c r="B844" s="116">
        <v>485.57749999999999</v>
      </c>
      <c r="C844" s="116">
        <v>482.88749999999999</v>
      </c>
      <c r="D844" s="116">
        <v>480.75</v>
      </c>
      <c r="E844" s="116">
        <v>482.8</v>
      </c>
      <c r="F844" s="116">
        <v>9657.75</v>
      </c>
      <c r="G844">
        <v>1647</v>
      </c>
      <c r="H844" s="116"/>
      <c r="I844" s="116"/>
      <c r="L844" s="170">
        <v>43244</v>
      </c>
      <c r="M844" s="116">
        <v>483.26749999999998</v>
      </c>
      <c r="N844" s="116">
        <v>485.59750000000003</v>
      </c>
      <c r="O844" s="116">
        <v>481.45</v>
      </c>
      <c r="P844" s="116">
        <v>482.495</v>
      </c>
      <c r="Q844" s="116">
        <v>9665.35</v>
      </c>
      <c r="R844">
        <v>29401</v>
      </c>
    </row>
    <row r="845" spans="1:18" x14ac:dyDescent="0.25">
      <c r="A845" s="170">
        <v>43245</v>
      </c>
      <c r="B845" s="116">
        <v>489.5</v>
      </c>
      <c r="C845" s="116">
        <v>486.49250000000001</v>
      </c>
      <c r="D845" s="116">
        <v>482.19</v>
      </c>
      <c r="E845" s="116">
        <v>482.565</v>
      </c>
      <c r="F845" s="116">
        <v>9729.85</v>
      </c>
      <c r="G845">
        <v>1218</v>
      </c>
      <c r="H845" s="116"/>
      <c r="I845" s="116"/>
      <c r="L845" s="170">
        <v>43245</v>
      </c>
      <c r="M845" s="116">
        <v>486.74</v>
      </c>
      <c r="N845" s="116">
        <v>489.95</v>
      </c>
      <c r="O845" s="116">
        <v>481.70249999999999</v>
      </c>
      <c r="P845" s="116">
        <v>482.89499999999998</v>
      </c>
      <c r="Q845" s="116">
        <v>9734.7999999999993</v>
      </c>
      <c r="R845">
        <v>30723</v>
      </c>
    </row>
    <row r="846" spans="1:18" x14ac:dyDescent="0.25">
      <c r="A846" s="170">
        <v>43248</v>
      </c>
      <c r="B846" s="116">
        <v>489.1</v>
      </c>
      <c r="C846" s="116">
        <v>483.47250000000003</v>
      </c>
      <c r="D846" s="116">
        <v>481.4</v>
      </c>
      <c r="E846" s="116">
        <v>485.55</v>
      </c>
      <c r="F846" s="116">
        <v>9669.4500000000007</v>
      </c>
      <c r="G846">
        <v>1222</v>
      </c>
      <c r="H846" s="116"/>
      <c r="I846" s="116"/>
      <c r="L846" s="170">
        <v>43248</v>
      </c>
      <c r="M846" s="116">
        <v>482.95249999999999</v>
      </c>
      <c r="N846" s="116">
        <v>488.75</v>
      </c>
      <c r="O846" s="116">
        <v>481.80250000000001</v>
      </c>
      <c r="P846" s="116">
        <v>485.75</v>
      </c>
      <c r="Q846" s="116">
        <v>9659.0499999999993</v>
      </c>
      <c r="R846">
        <v>36871</v>
      </c>
    </row>
    <row r="847" spans="1:18" x14ac:dyDescent="0.25">
      <c r="A847" s="170">
        <v>43249</v>
      </c>
      <c r="B847" s="116">
        <v>481.84500000000003</v>
      </c>
      <c r="C847" s="116">
        <v>475.9375</v>
      </c>
      <c r="D847" s="116">
        <v>474.875</v>
      </c>
      <c r="E847" s="116">
        <v>481.55</v>
      </c>
      <c r="F847" s="116">
        <v>9518.75</v>
      </c>
      <c r="G847">
        <v>1291</v>
      </c>
      <c r="H847" s="116"/>
      <c r="I847" s="116"/>
      <c r="L847" s="170">
        <v>43249</v>
      </c>
      <c r="M847" s="116">
        <v>475.61500000000001</v>
      </c>
      <c r="N847" s="116">
        <v>482.45</v>
      </c>
      <c r="O847" s="116">
        <v>474</v>
      </c>
      <c r="P847" s="116">
        <v>480.1</v>
      </c>
      <c r="Q847" s="116">
        <v>9512.2999999999993</v>
      </c>
      <c r="R847">
        <v>43914</v>
      </c>
    </row>
    <row r="848" spans="1:18" x14ac:dyDescent="0.25">
      <c r="A848" s="170">
        <v>43250</v>
      </c>
      <c r="B848" s="116">
        <v>479.2475</v>
      </c>
      <c r="C848" s="116">
        <v>476.86500000000001</v>
      </c>
      <c r="D848" s="116">
        <v>474.70249999999999</v>
      </c>
      <c r="E848" s="116">
        <v>474.70249999999999</v>
      </c>
      <c r="F848" s="116">
        <v>9537.2999999999993</v>
      </c>
      <c r="G848">
        <v>953</v>
      </c>
      <c r="H848" s="116"/>
      <c r="I848" s="116"/>
      <c r="L848" s="170">
        <v>43250</v>
      </c>
      <c r="M848" s="116">
        <v>476.5025</v>
      </c>
      <c r="N848" s="116">
        <v>480.25</v>
      </c>
      <c r="O848" s="116">
        <v>475</v>
      </c>
      <c r="P848" s="116">
        <v>478.9</v>
      </c>
      <c r="Q848" s="116">
        <v>9530.0499999999993</v>
      </c>
      <c r="R848">
        <v>59099</v>
      </c>
    </row>
    <row r="849" spans="1:18" x14ac:dyDescent="0.25">
      <c r="A849" s="170">
        <v>43251</v>
      </c>
      <c r="B849" s="116">
        <v>489.75</v>
      </c>
      <c r="C849" s="116">
        <v>482.88749999999999</v>
      </c>
      <c r="D849" s="116">
        <v>477.5</v>
      </c>
      <c r="E849" s="116">
        <v>477.5</v>
      </c>
      <c r="F849" s="116">
        <v>9657.75</v>
      </c>
      <c r="G849">
        <v>8532</v>
      </c>
      <c r="H849" s="116"/>
      <c r="I849" s="116"/>
      <c r="L849" s="170">
        <v>43251</v>
      </c>
      <c r="M849" s="116">
        <v>482.7</v>
      </c>
      <c r="N849" s="116">
        <v>489.95</v>
      </c>
      <c r="O849" s="116">
        <v>477.5</v>
      </c>
      <c r="P849" s="116">
        <v>477.995</v>
      </c>
      <c r="Q849" s="116">
        <v>9654</v>
      </c>
      <c r="R849">
        <v>149624</v>
      </c>
    </row>
    <row r="850" spans="1:18" x14ac:dyDescent="0.25">
      <c r="A850" s="170">
        <v>43252</v>
      </c>
      <c r="B850" s="116">
        <v>499.9</v>
      </c>
      <c r="C850" s="116">
        <v>494.91250000000002</v>
      </c>
      <c r="D850" s="116">
        <v>483</v>
      </c>
      <c r="E850" s="116">
        <v>483.45</v>
      </c>
      <c r="F850" s="116">
        <v>9898.25</v>
      </c>
      <c r="G850">
        <v>4292</v>
      </c>
      <c r="H850" s="116"/>
      <c r="I850" s="116"/>
      <c r="L850" s="170">
        <v>43252</v>
      </c>
      <c r="M850" s="116">
        <v>494.92750000000001</v>
      </c>
      <c r="N850" s="116">
        <v>499.95</v>
      </c>
      <c r="O850" s="116">
        <v>482.185</v>
      </c>
      <c r="P850" s="116">
        <v>483.45</v>
      </c>
      <c r="Q850" s="116">
        <v>9898.5499999999993</v>
      </c>
      <c r="R850">
        <v>148674</v>
      </c>
    </row>
    <row r="851" spans="1:18" x14ac:dyDescent="0.25">
      <c r="A851" s="170">
        <v>43255</v>
      </c>
      <c r="B851" s="116">
        <v>499.95</v>
      </c>
      <c r="C851" s="116">
        <v>490.52</v>
      </c>
      <c r="D851" s="116">
        <v>487.27499999999998</v>
      </c>
      <c r="E851" s="116">
        <v>497.5</v>
      </c>
      <c r="F851" s="116">
        <v>9810.4</v>
      </c>
      <c r="G851">
        <v>52375</v>
      </c>
      <c r="H851" s="116"/>
      <c r="I851" s="116"/>
      <c r="L851" s="170">
        <v>43255</v>
      </c>
      <c r="M851" s="116">
        <v>490.85</v>
      </c>
      <c r="N851" s="116">
        <v>500</v>
      </c>
      <c r="O851" s="116">
        <v>488.66500000000002</v>
      </c>
      <c r="P851" s="116">
        <v>500</v>
      </c>
      <c r="Q851" s="116">
        <v>9817</v>
      </c>
      <c r="R851">
        <v>37046</v>
      </c>
    </row>
    <row r="852" spans="1:18" x14ac:dyDescent="0.25">
      <c r="A852" s="170">
        <v>43256</v>
      </c>
      <c r="B852" s="116">
        <v>491.82</v>
      </c>
      <c r="C852" s="116">
        <v>477.10250000000002</v>
      </c>
      <c r="D852" s="116">
        <v>475.27499999999998</v>
      </c>
      <c r="E852" s="116">
        <v>490.5</v>
      </c>
      <c r="F852" s="116">
        <v>9542.0499999999993</v>
      </c>
      <c r="G852">
        <v>2365</v>
      </c>
      <c r="H852" s="116"/>
      <c r="I852" s="116"/>
      <c r="L852" s="170">
        <v>43256</v>
      </c>
      <c r="M852" s="116">
        <v>476.78250000000003</v>
      </c>
      <c r="N852" s="116">
        <v>492</v>
      </c>
      <c r="O852" s="116">
        <v>474.5</v>
      </c>
      <c r="P852" s="116">
        <v>490.96249999999998</v>
      </c>
      <c r="Q852" s="116">
        <v>9535.65</v>
      </c>
      <c r="R852">
        <v>62074</v>
      </c>
    </row>
    <row r="853" spans="1:18" x14ac:dyDescent="0.25">
      <c r="A853" s="170">
        <v>43257</v>
      </c>
      <c r="B853" s="116">
        <v>490</v>
      </c>
      <c r="C853" s="116">
        <v>487.86250000000001</v>
      </c>
      <c r="D853" s="116">
        <v>477.26</v>
      </c>
      <c r="E853" s="116">
        <v>477.26</v>
      </c>
      <c r="F853" s="116">
        <v>9757.25</v>
      </c>
      <c r="G853">
        <v>1762</v>
      </c>
      <c r="H853" s="116"/>
      <c r="I853" s="116"/>
      <c r="L853" s="170">
        <v>43257</v>
      </c>
      <c r="M853" s="116">
        <v>488.01749999999998</v>
      </c>
      <c r="N853" s="116">
        <v>489.85</v>
      </c>
      <c r="O853" s="116">
        <v>478.01749999999998</v>
      </c>
      <c r="P853" s="116">
        <v>479.95</v>
      </c>
      <c r="Q853" s="116">
        <v>9760.35</v>
      </c>
      <c r="R853">
        <v>38522</v>
      </c>
    </row>
    <row r="854" spans="1:18" x14ac:dyDescent="0.25">
      <c r="A854" s="170">
        <v>43258</v>
      </c>
      <c r="B854" s="116">
        <v>491.9975</v>
      </c>
      <c r="C854" s="116">
        <v>489.57</v>
      </c>
      <c r="D854" s="116">
        <v>486.95</v>
      </c>
      <c r="E854" s="116">
        <v>489.07</v>
      </c>
      <c r="F854" s="116">
        <v>9791.4</v>
      </c>
      <c r="G854">
        <v>1114</v>
      </c>
      <c r="H854" s="116"/>
      <c r="I854" s="116"/>
      <c r="L854" s="170">
        <v>43258</v>
      </c>
      <c r="M854" s="116">
        <v>489.3725</v>
      </c>
      <c r="N854" s="116">
        <v>491.995</v>
      </c>
      <c r="O854" s="116">
        <v>486.51</v>
      </c>
      <c r="P854" s="116">
        <v>490.9975</v>
      </c>
      <c r="Q854" s="116">
        <v>9787.4500000000007</v>
      </c>
      <c r="R854">
        <v>45248</v>
      </c>
    </row>
    <row r="855" spans="1:18" x14ac:dyDescent="0.25">
      <c r="A855" s="170">
        <v>43259</v>
      </c>
      <c r="B855" s="116">
        <v>497.8</v>
      </c>
      <c r="C855" s="116">
        <v>494.47</v>
      </c>
      <c r="D855" s="116">
        <v>488.90750000000003</v>
      </c>
      <c r="E855" s="116">
        <v>490.7</v>
      </c>
      <c r="F855" s="116">
        <v>9889.4</v>
      </c>
      <c r="G855">
        <v>2119</v>
      </c>
      <c r="H855" s="116"/>
      <c r="I855" s="116"/>
      <c r="L855" s="170">
        <v>43259</v>
      </c>
      <c r="M855" s="116">
        <v>494.4425</v>
      </c>
      <c r="N855" s="116">
        <v>498.2475</v>
      </c>
      <c r="O855" s="116">
        <v>488.0025</v>
      </c>
      <c r="P855" s="116">
        <v>489.9975</v>
      </c>
      <c r="Q855" s="116">
        <v>9888.85</v>
      </c>
      <c r="R855">
        <v>58211</v>
      </c>
    </row>
    <row r="856" spans="1:18" x14ac:dyDescent="0.25">
      <c r="A856" s="170">
        <v>43262</v>
      </c>
      <c r="B856" s="116">
        <v>502.5</v>
      </c>
      <c r="C856" s="116">
        <v>495.0675</v>
      </c>
      <c r="D856" s="116">
        <v>494.03250000000003</v>
      </c>
      <c r="E856" s="116">
        <v>494.4</v>
      </c>
      <c r="F856" s="116">
        <v>9901.35</v>
      </c>
      <c r="G856">
        <v>1821</v>
      </c>
      <c r="H856" s="116"/>
      <c r="I856" s="116"/>
      <c r="L856" s="170">
        <v>43262</v>
      </c>
      <c r="M856" s="116">
        <v>495.83749999999998</v>
      </c>
      <c r="N856" s="116">
        <v>503.02249999999998</v>
      </c>
      <c r="O856" s="116">
        <v>494</v>
      </c>
      <c r="P856" s="116">
        <v>494.39749999999998</v>
      </c>
      <c r="Q856" s="116">
        <v>9916.75</v>
      </c>
      <c r="R856">
        <v>43431</v>
      </c>
    </row>
    <row r="857" spans="1:18" x14ac:dyDescent="0.25">
      <c r="A857" s="170">
        <v>43263</v>
      </c>
      <c r="B857" s="116">
        <v>499.39249999999998</v>
      </c>
      <c r="C857" s="116">
        <v>491.935</v>
      </c>
      <c r="D857" s="116">
        <v>491.25</v>
      </c>
      <c r="E857" s="116">
        <v>499.39249999999998</v>
      </c>
      <c r="F857" s="116">
        <v>9838.7000000000007</v>
      </c>
      <c r="G857">
        <v>1854</v>
      </c>
      <c r="H857" s="116"/>
      <c r="I857" s="116"/>
      <c r="L857" s="170">
        <v>43263</v>
      </c>
      <c r="M857" s="116">
        <v>491.71249999999998</v>
      </c>
      <c r="N857" s="116">
        <v>497.32499999999999</v>
      </c>
      <c r="O857" s="116">
        <v>491</v>
      </c>
      <c r="P857" s="116">
        <v>496.95</v>
      </c>
      <c r="Q857" s="116">
        <v>9834.25</v>
      </c>
      <c r="R857">
        <v>27119</v>
      </c>
    </row>
    <row r="858" spans="1:18" x14ac:dyDescent="0.25">
      <c r="A858" s="170">
        <v>43264</v>
      </c>
      <c r="B858" s="116">
        <v>494.09249999999997</v>
      </c>
      <c r="C858" s="116">
        <v>491.35500000000002</v>
      </c>
      <c r="D858" s="116">
        <v>489.85</v>
      </c>
      <c r="E858" s="116">
        <v>493.35</v>
      </c>
      <c r="F858" s="116">
        <v>9827.1</v>
      </c>
      <c r="G858">
        <v>794</v>
      </c>
      <c r="H858" s="116"/>
      <c r="I858" s="116"/>
      <c r="L858" s="170">
        <v>43264</v>
      </c>
      <c r="M858" s="116">
        <v>491.85250000000002</v>
      </c>
      <c r="N858" s="116">
        <v>494.5</v>
      </c>
      <c r="O858" s="116">
        <v>489.5</v>
      </c>
      <c r="P858" s="116">
        <v>494.5</v>
      </c>
      <c r="Q858" s="116">
        <v>9837.0499999999993</v>
      </c>
      <c r="R858">
        <v>29531</v>
      </c>
    </row>
    <row r="859" spans="1:18" x14ac:dyDescent="0.25">
      <c r="A859" s="170">
        <v>43265</v>
      </c>
      <c r="B859" s="116">
        <v>492.32749999999999</v>
      </c>
      <c r="C859" s="116">
        <v>487.71</v>
      </c>
      <c r="D859" s="116">
        <v>483</v>
      </c>
      <c r="E859" s="116">
        <v>491.90499999999997</v>
      </c>
      <c r="F859" s="116">
        <v>9754.2000000000007</v>
      </c>
      <c r="G859">
        <v>1175</v>
      </c>
      <c r="H859" s="116"/>
      <c r="I859" s="116"/>
      <c r="L859" s="170">
        <v>43265</v>
      </c>
      <c r="M859" s="116">
        <v>487.83749999999998</v>
      </c>
      <c r="N859" s="116">
        <v>492.9975</v>
      </c>
      <c r="O859" s="116">
        <v>487</v>
      </c>
      <c r="P859" s="116">
        <v>491.80250000000001</v>
      </c>
      <c r="Q859" s="116">
        <v>9756.75</v>
      </c>
      <c r="R859">
        <v>29254</v>
      </c>
    </row>
    <row r="860" spans="1:18" x14ac:dyDescent="0.25">
      <c r="A860" s="170">
        <v>43266</v>
      </c>
      <c r="B860" s="116">
        <v>489.95</v>
      </c>
      <c r="C860" s="116">
        <v>486.82249999999999</v>
      </c>
      <c r="D860" s="116">
        <v>483.92250000000001</v>
      </c>
      <c r="E860" s="116">
        <v>488.05</v>
      </c>
      <c r="F860" s="116">
        <v>9736.4500000000007</v>
      </c>
      <c r="G860">
        <v>1667</v>
      </c>
      <c r="H860" s="116"/>
      <c r="I860" s="116"/>
      <c r="L860" s="170">
        <v>43266</v>
      </c>
      <c r="M860" s="116">
        <v>487.125</v>
      </c>
      <c r="N860" s="116">
        <v>488.745</v>
      </c>
      <c r="O860" s="116">
        <v>483.75</v>
      </c>
      <c r="P860" s="116">
        <v>488</v>
      </c>
      <c r="Q860" s="116">
        <v>9742.5</v>
      </c>
      <c r="R860">
        <v>76681</v>
      </c>
    </row>
    <row r="861" spans="1:18" x14ac:dyDescent="0.25">
      <c r="A861" s="170">
        <v>43269</v>
      </c>
      <c r="B861" s="116">
        <v>489.15249999999997</v>
      </c>
      <c r="C861" s="116">
        <v>481.2</v>
      </c>
      <c r="D861" s="116">
        <v>479</v>
      </c>
      <c r="E861" s="116">
        <v>488.24</v>
      </c>
      <c r="F861" s="116">
        <v>9624</v>
      </c>
      <c r="G861">
        <v>1544</v>
      </c>
      <c r="H861" s="116"/>
      <c r="I861" s="116"/>
      <c r="L861" s="170">
        <v>43269</v>
      </c>
      <c r="M861" s="116">
        <v>480.92750000000001</v>
      </c>
      <c r="N861" s="116">
        <v>489.53</v>
      </c>
      <c r="O861" s="116">
        <v>478.64</v>
      </c>
      <c r="P861" s="116">
        <v>485</v>
      </c>
      <c r="Q861" s="116">
        <v>9618.5499999999993</v>
      </c>
      <c r="R861">
        <v>46772</v>
      </c>
    </row>
    <row r="862" spans="1:18" x14ac:dyDescent="0.25">
      <c r="A862" s="170">
        <v>43270</v>
      </c>
      <c r="B862" s="116">
        <v>490</v>
      </c>
      <c r="C862" s="116">
        <v>480.65</v>
      </c>
      <c r="D862" s="116">
        <v>475.45749999999998</v>
      </c>
      <c r="E862" s="116">
        <v>482</v>
      </c>
      <c r="F862" s="116">
        <v>9613</v>
      </c>
      <c r="G862">
        <v>3062</v>
      </c>
      <c r="H862" s="116"/>
      <c r="I862" s="116"/>
      <c r="L862" s="170">
        <v>43270</v>
      </c>
      <c r="M862" s="116">
        <v>480.91750000000002</v>
      </c>
      <c r="N862" s="116">
        <v>499.94</v>
      </c>
      <c r="O862" s="116">
        <v>475.00749999999999</v>
      </c>
      <c r="P862" s="116">
        <v>499.94</v>
      </c>
      <c r="Q862" s="116">
        <v>9618.35</v>
      </c>
      <c r="R862">
        <v>67392</v>
      </c>
    </row>
    <row r="863" spans="1:18" x14ac:dyDescent="0.25">
      <c r="A863" s="170">
        <v>43271</v>
      </c>
      <c r="B863" s="116">
        <v>488.25</v>
      </c>
      <c r="C863" s="116">
        <v>486.48</v>
      </c>
      <c r="D863" s="116">
        <v>483.245</v>
      </c>
      <c r="E863" s="116">
        <v>483.3</v>
      </c>
      <c r="F863" s="116">
        <v>9729.6</v>
      </c>
      <c r="G863">
        <v>1817</v>
      </c>
      <c r="H863" s="116"/>
      <c r="I863" s="116"/>
      <c r="L863" s="170">
        <v>43271</v>
      </c>
      <c r="M863" s="116">
        <v>486.2525</v>
      </c>
      <c r="N863" s="116">
        <v>487.495</v>
      </c>
      <c r="O863" s="116">
        <v>482.005</v>
      </c>
      <c r="P863" s="116">
        <v>483.25</v>
      </c>
      <c r="Q863" s="116">
        <v>9725.0499999999993</v>
      </c>
      <c r="R863">
        <v>59286</v>
      </c>
    </row>
    <row r="864" spans="1:18" x14ac:dyDescent="0.25">
      <c r="A864" s="170">
        <v>43272</v>
      </c>
      <c r="B864" s="116">
        <v>495.63</v>
      </c>
      <c r="C864" s="116">
        <v>492.08499999999998</v>
      </c>
      <c r="D864" s="116">
        <v>482.9325</v>
      </c>
      <c r="E864" s="116">
        <v>487.5</v>
      </c>
      <c r="F864" s="116">
        <v>9841.7000000000007</v>
      </c>
      <c r="G864">
        <v>2465</v>
      </c>
      <c r="H864" s="116"/>
      <c r="I864" s="116"/>
      <c r="L864" s="170">
        <v>43272</v>
      </c>
      <c r="M864" s="116">
        <v>492.52</v>
      </c>
      <c r="N864" s="116">
        <v>495.69749999999999</v>
      </c>
      <c r="O864" s="116">
        <v>485.6275</v>
      </c>
      <c r="P864" s="116">
        <v>487.5025</v>
      </c>
      <c r="Q864" s="116">
        <v>9850.4</v>
      </c>
      <c r="R864">
        <v>43772</v>
      </c>
    </row>
    <row r="865" spans="1:18" x14ac:dyDescent="0.25">
      <c r="A865" s="170">
        <v>43273</v>
      </c>
      <c r="B865" s="116">
        <v>495.13</v>
      </c>
      <c r="C865" s="116">
        <v>493.53750000000002</v>
      </c>
      <c r="D865" s="116">
        <v>488.0025</v>
      </c>
      <c r="E865" s="116">
        <v>491.9</v>
      </c>
      <c r="F865" s="116">
        <v>9870.75</v>
      </c>
      <c r="G865">
        <v>1335</v>
      </c>
      <c r="H865" s="116"/>
      <c r="I865" s="116"/>
      <c r="L865" s="170">
        <v>43273</v>
      </c>
      <c r="M865" s="116">
        <v>493.55250000000001</v>
      </c>
      <c r="N865" s="116">
        <v>495.64749999999998</v>
      </c>
      <c r="O865" s="116">
        <v>488</v>
      </c>
      <c r="P865" s="116">
        <v>492</v>
      </c>
      <c r="Q865" s="116">
        <v>9871.0499999999993</v>
      </c>
      <c r="R865">
        <v>36004</v>
      </c>
    </row>
    <row r="866" spans="1:18" x14ac:dyDescent="0.25">
      <c r="A866" s="170">
        <v>43276</v>
      </c>
      <c r="B866" s="116">
        <v>500</v>
      </c>
      <c r="C866" s="116">
        <v>495.05250000000001</v>
      </c>
      <c r="D866" s="116">
        <v>492.625</v>
      </c>
      <c r="E866" s="116">
        <v>493.9</v>
      </c>
      <c r="F866" s="116">
        <v>9901.0499999999993</v>
      </c>
      <c r="G866">
        <v>1778</v>
      </c>
      <c r="H866" s="116"/>
      <c r="I866" s="116"/>
      <c r="L866" s="170">
        <v>43276</v>
      </c>
      <c r="M866" s="116">
        <v>494.745</v>
      </c>
      <c r="N866" s="116">
        <v>499.9</v>
      </c>
      <c r="O866" s="116">
        <v>492.07</v>
      </c>
      <c r="P866" s="116">
        <v>492.505</v>
      </c>
      <c r="Q866" s="116">
        <v>9894.9</v>
      </c>
      <c r="R866">
        <v>52008</v>
      </c>
    </row>
    <row r="867" spans="1:18" x14ac:dyDescent="0.25">
      <c r="A867" s="170">
        <v>43277</v>
      </c>
      <c r="B867" s="116">
        <v>507.89749999999998</v>
      </c>
      <c r="C867" s="116">
        <v>503.65249999999997</v>
      </c>
      <c r="D867" s="116">
        <v>494.65</v>
      </c>
      <c r="E867" s="116">
        <v>494.65</v>
      </c>
      <c r="F867" s="116">
        <v>10073.049999999999</v>
      </c>
      <c r="G867">
        <v>4051</v>
      </c>
      <c r="H867" s="116"/>
      <c r="I867" s="116"/>
      <c r="L867" s="170">
        <v>43277</v>
      </c>
      <c r="M867" s="116">
        <v>504.22500000000002</v>
      </c>
      <c r="N867" s="116">
        <v>509</v>
      </c>
      <c r="O867" s="116">
        <v>493.1275</v>
      </c>
      <c r="P867" s="116">
        <v>496.49</v>
      </c>
      <c r="Q867" s="116">
        <v>10084.5</v>
      </c>
      <c r="R867">
        <v>136320</v>
      </c>
    </row>
    <row r="868" spans="1:18" x14ac:dyDescent="0.25">
      <c r="A868" s="170">
        <v>43278</v>
      </c>
      <c r="B868" s="116">
        <v>509.5</v>
      </c>
      <c r="C868" s="116">
        <v>499.59</v>
      </c>
      <c r="D868" s="116">
        <v>497.10750000000002</v>
      </c>
      <c r="E868" s="116">
        <v>504.1</v>
      </c>
      <c r="F868" s="116">
        <v>9991.7999999999993</v>
      </c>
      <c r="G868">
        <v>3204</v>
      </c>
      <c r="H868" s="116"/>
      <c r="I868" s="116"/>
      <c r="L868" s="170">
        <v>43278</v>
      </c>
      <c r="M868" s="116">
        <v>499.96749999999997</v>
      </c>
      <c r="N868" s="116">
        <v>509.9</v>
      </c>
      <c r="O868" s="116">
        <v>497.64</v>
      </c>
      <c r="P868" s="116">
        <v>505.45</v>
      </c>
      <c r="Q868" s="116">
        <v>9999.35</v>
      </c>
      <c r="R868">
        <v>82424</v>
      </c>
    </row>
    <row r="869" spans="1:18" x14ac:dyDescent="0.25">
      <c r="A869" s="170">
        <v>43279</v>
      </c>
      <c r="B869" s="116">
        <v>504.745</v>
      </c>
      <c r="C869" s="116">
        <v>489.27749999999997</v>
      </c>
      <c r="D869" s="116">
        <v>487.6</v>
      </c>
      <c r="E869" s="116">
        <v>499.55</v>
      </c>
      <c r="F869" s="116">
        <v>9785.5499999999993</v>
      </c>
      <c r="G869">
        <v>1756</v>
      </c>
      <c r="H869" s="116"/>
      <c r="I869" s="116"/>
      <c r="L869" s="170">
        <v>43279</v>
      </c>
      <c r="M869" s="116">
        <v>488.625</v>
      </c>
      <c r="N869" s="116">
        <v>504.75</v>
      </c>
      <c r="O869" s="116">
        <v>486.22750000000002</v>
      </c>
      <c r="P869" s="116">
        <v>501.4</v>
      </c>
      <c r="Q869" s="116">
        <v>9772.5</v>
      </c>
      <c r="R869">
        <v>72930</v>
      </c>
    </row>
    <row r="870" spans="1:18" x14ac:dyDescent="0.25">
      <c r="A870" s="170">
        <v>43280</v>
      </c>
      <c r="B870" s="116">
        <v>494.995</v>
      </c>
      <c r="C870" s="116">
        <v>490.42750000000001</v>
      </c>
      <c r="D870" s="116">
        <v>488.5</v>
      </c>
      <c r="E870" s="116">
        <v>492.15499999999997</v>
      </c>
      <c r="F870" s="116">
        <v>9808.5499999999993</v>
      </c>
      <c r="G870">
        <v>1479</v>
      </c>
      <c r="H870" s="116"/>
      <c r="I870" s="116"/>
      <c r="L870" s="170">
        <v>43280</v>
      </c>
      <c r="M870" s="116">
        <v>490.505</v>
      </c>
      <c r="N870" s="116">
        <v>494.9</v>
      </c>
      <c r="O870" s="116">
        <v>488.85</v>
      </c>
      <c r="P870" s="116">
        <v>494.9</v>
      </c>
      <c r="Q870" s="116">
        <v>9810.1</v>
      </c>
      <c r="R870">
        <v>63369</v>
      </c>
    </row>
    <row r="871" spans="1:18" x14ac:dyDescent="0.25">
      <c r="A871" s="170">
        <v>43283</v>
      </c>
      <c r="B871" s="116">
        <v>491.89</v>
      </c>
      <c r="C871" s="116">
        <v>488.59</v>
      </c>
      <c r="D871" s="116">
        <v>487.2525</v>
      </c>
      <c r="E871" s="116">
        <v>491.89</v>
      </c>
      <c r="F871" s="116">
        <v>9771.7999999999993</v>
      </c>
      <c r="G871">
        <v>883</v>
      </c>
      <c r="H871" s="116"/>
      <c r="I871" s="116"/>
      <c r="L871" s="170">
        <v>43283</v>
      </c>
      <c r="M871" s="116">
        <v>488.25749999999999</v>
      </c>
      <c r="N871" s="116">
        <v>494.5</v>
      </c>
      <c r="O871" s="116">
        <v>486.51499999999999</v>
      </c>
      <c r="P871" s="116">
        <v>494.5</v>
      </c>
      <c r="Q871" s="116">
        <v>9765.15</v>
      </c>
      <c r="R871">
        <v>35905</v>
      </c>
    </row>
    <row r="872" spans="1:18" x14ac:dyDescent="0.25">
      <c r="A872" s="170">
        <v>43284</v>
      </c>
      <c r="B872" s="116">
        <v>491.9</v>
      </c>
      <c r="C872" s="116">
        <v>488.5675</v>
      </c>
      <c r="D872" s="116">
        <v>486.4975</v>
      </c>
      <c r="E872" s="116">
        <v>489.85</v>
      </c>
      <c r="F872" s="116">
        <v>9771.35</v>
      </c>
      <c r="G872">
        <v>1486</v>
      </c>
      <c r="H872" s="116"/>
      <c r="I872" s="116"/>
      <c r="L872" s="170">
        <v>43284</v>
      </c>
      <c r="M872" s="116">
        <v>489.23250000000002</v>
      </c>
      <c r="N872" s="116">
        <v>491.94499999999999</v>
      </c>
      <c r="O872" s="116">
        <v>486.38249999999999</v>
      </c>
      <c r="P872" s="116">
        <v>491.19749999999999</v>
      </c>
      <c r="Q872" s="116">
        <v>9784.65</v>
      </c>
      <c r="R872">
        <v>55736</v>
      </c>
    </row>
    <row r="873" spans="1:18" x14ac:dyDescent="0.25">
      <c r="A873" s="170">
        <v>43285</v>
      </c>
      <c r="B873" s="116">
        <v>494.9</v>
      </c>
      <c r="C873" s="116">
        <v>493.34</v>
      </c>
      <c r="D873" s="116">
        <v>489.15</v>
      </c>
      <c r="E873" s="116">
        <v>489.85</v>
      </c>
      <c r="F873" s="116">
        <v>9866.7999999999993</v>
      </c>
      <c r="G873">
        <v>2311</v>
      </c>
      <c r="H873" s="116"/>
      <c r="I873" s="116"/>
      <c r="L873" s="170">
        <v>43285</v>
      </c>
      <c r="M873" s="116">
        <v>493.13499999999999</v>
      </c>
      <c r="N873" s="116">
        <v>494.5</v>
      </c>
      <c r="O873" s="116">
        <v>488.6</v>
      </c>
      <c r="P873" s="116">
        <v>490.3</v>
      </c>
      <c r="Q873" s="116">
        <v>9862.7000000000007</v>
      </c>
      <c r="R873">
        <v>25385</v>
      </c>
    </row>
    <row r="874" spans="1:18" x14ac:dyDescent="0.25">
      <c r="A874" s="170">
        <v>43286</v>
      </c>
      <c r="B874" s="116">
        <v>499.95</v>
      </c>
      <c r="C874" s="116">
        <v>498.21499999999997</v>
      </c>
      <c r="D874" s="116">
        <v>493.5025</v>
      </c>
      <c r="E874" s="116">
        <v>493.5025</v>
      </c>
      <c r="F874" s="116">
        <v>9964.2999999999993</v>
      </c>
      <c r="G874">
        <v>1602</v>
      </c>
      <c r="H874" s="116"/>
      <c r="I874" s="116"/>
      <c r="L874" s="170">
        <v>43286</v>
      </c>
      <c r="M874" s="116">
        <v>497.85250000000002</v>
      </c>
      <c r="N874" s="116">
        <v>499.4975</v>
      </c>
      <c r="O874" s="116">
        <v>494.5025</v>
      </c>
      <c r="P874" s="116">
        <v>496.23250000000002</v>
      </c>
      <c r="Q874" s="116">
        <v>9957.0499999999993</v>
      </c>
      <c r="R874">
        <v>16910</v>
      </c>
    </row>
    <row r="875" spans="1:18" x14ac:dyDescent="0.25">
      <c r="A875" s="170">
        <v>43287</v>
      </c>
      <c r="B875" s="116">
        <v>502.91750000000002</v>
      </c>
      <c r="C875" s="116">
        <v>497.435</v>
      </c>
      <c r="D875" s="116">
        <v>496.65</v>
      </c>
      <c r="E875" s="116">
        <v>497.95</v>
      </c>
      <c r="F875" s="116">
        <v>9948.7000000000007</v>
      </c>
      <c r="G875">
        <v>1417</v>
      </c>
      <c r="H875" s="116"/>
      <c r="I875" s="116"/>
      <c r="L875" s="170">
        <v>43287</v>
      </c>
      <c r="M875" s="116">
        <v>497.15249999999997</v>
      </c>
      <c r="N875" s="116">
        <v>502.98750000000001</v>
      </c>
      <c r="O875" s="116">
        <v>496.22250000000003</v>
      </c>
      <c r="P875" s="116">
        <v>497.48750000000001</v>
      </c>
      <c r="Q875" s="116">
        <v>9943.0499999999993</v>
      </c>
      <c r="R875">
        <v>36543</v>
      </c>
    </row>
    <row r="876" spans="1:18" x14ac:dyDescent="0.25">
      <c r="A876" s="170">
        <v>43290</v>
      </c>
      <c r="B876" s="116">
        <v>498.245</v>
      </c>
      <c r="C876" s="116">
        <v>495.23</v>
      </c>
      <c r="D876" s="116">
        <v>494</v>
      </c>
      <c r="E876" s="116">
        <v>497.625</v>
      </c>
      <c r="F876" s="116">
        <v>9904.6</v>
      </c>
      <c r="G876">
        <v>847</v>
      </c>
      <c r="H876" s="116"/>
      <c r="I876" s="116"/>
      <c r="L876" s="170">
        <v>43290</v>
      </c>
      <c r="M876" s="116">
        <v>494.97250000000003</v>
      </c>
      <c r="N876" s="116">
        <v>499.95</v>
      </c>
      <c r="O876" s="116">
        <v>494.40249999999997</v>
      </c>
      <c r="P876" s="116">
        <v>499.95</v>
      </c>
      <c r="Q876" s="116">
        <v>9899.4500000000007</v>
      </c>
      <c r="R876">
        <v>14698</v>
      </c>
    </row>
    <row r="877" spans="1:18" x14ac:dyDescent="0.25">
      <c r="A877" s="170">
        <v>43291</v>
      </c>
      <c r="B877" s="116">
        <v>503</v>
      </c>
      <c r="C877" s="116">
        <v>500.505</v>
      </c>
      <c r="D877" s="116">
        <v>495.05250000000001</v>
      </c>
      <c r="E877" s="116">
        <v>495.23</v>
      </c>
      <c r="F877" s="116">
        <v>10010.1</v>
      </c>
      <c r="G877">
        <v>1280</v>
      </c>
      <c r="H877" s="116"/>
      <c r="I877" s="116"/>
      <c r="L877" s="170">
        <v>43291</v>
      </c>
      <c r="M877" s="116">
        <v>500.26249999999999</v>
      </c>
      <c r="N877" s="116">
        <v>502.9975</v>
      </c>
      <c r="O877" s="116">
        <v>495.25</v>
      </c>
      <c r="P877" s="116">
        <v>495.25</v>
      </c>
      <c r="Q877" s="116">
        <v>10005.25</v>
      </c>
      <c r="R877">
        <v>39314</v>
      </c>
    </row>
    <row r="878" spans="1:18" x14ac:dyDescent="0.25">
      <c r="A878" s="170">
        <v>43292</v>
      </c>
      <c r="B878" s="116">
        <v>514.5</v>
      </c>
      <c r="C878" s="116">
        <v>508.34249999999997</v>
      </c>
      <c r="D878" s="116">
        <v>497.66500000000002</v>
      </c>
      <c r="E878" s="116">
        <v>500.5</v>
      </c>
      <c r="F878" s="116">
        <v>10166.85</v>
      </c>
      <c r="G878">
        <v>4361</v>
      </c>
      <c r="H878" s="116"/>
      <c r="I878" s="116"/>
      <c r="L878" s="170">
        <v>43292</v>
      </c>
      <c r="M878" s="116">
        <v>509.53250000000003</v>
      </c>
      <c r="N878" s="116">
        <v>514.33749999999998</v>
      </c>
      <c r="O878" s="116">
        <v>497.7</v>
      </c>
      <c r="P878" s="116">
        <v>501.05</v>
      </c>
      <c r="Q878" s="116">
        <v>10190.65</v>
      </c>
      <c r="R878">
        <v>55387</v>
      </c>
    </row>
    <row r="879" spans="1:18" x14ac:dyDescent="0.25">
      <c r="A879" s="170">
        <v>43293</v>
      </c>
      <c r="B879" s="116">
        <v>512.85500000000002</v>
      </c>
      <c r="C879" s="116">
        <v>501.14</v>
      </c>
      <c r="D879" s="116">
        <v>500.10250000000002</v>
      </c>
      <c r="E879" s="116">
        <v>509.4</v>
      </c>
      <c r="F879" s="116">
        <v>10022.799999999999</v>
      </c>
      <c r="G879">
        <v>2633</v>
      </c>
      <c r="H879" s="116"/>
      <c r="I879" s="116"/>
      <c r="L879" s="170">
        <v>43293</v>
      </c>
      <c r="M879" s="116">
        <v>501.45249999999999</v>
      </c>
      <c r="N879" s="116">
        <v>512.52499999999998</v>
      </c>
      <c r="O879" s="116">
        <v>500.065</v>
      </c>
      <c r="P879" s="116">
        <v>512.4</v>
      </c>
      <c r="Q879" s="116">
        <v>10029.049999999999</v>
      </c>
      <c r="R879">
        <v>35569</v>
      </c>
    </row>
    <row r="880" spans="1:18" x14ac:dyDescent="0.25">
      <c r="A880" s="170">
        <v>43294</v>
      </c>
      <c r="B880" s="116">
        <v>510.0025</v>
      </c>
      <c r="C880" s="116">
        <v>507.54</v>
      </c>
      <c r="D880" s="116">
        <v>503.1925</v>
      </c>
      <c r="E880" s="116">
        <v>505</v>
      </c>
      <c r="F880" s="116">
        <v>10150.799999999999</v>
      </c>
      <c r="G880">
        <v>1661</v>
      </c>
      <c r="H880" s="116"/>
      <c r="I880" s="116"/>
      <c r="L880" s="170">
        <v>43294</v>
      </c>
      <c r="M880" s="116">
        <v>507.1</v>
      </c>
      <c r="N880" s="116">
        <v>511.005</v>
      </c>
      <c r="O880" s="116">
        <v>503.7475</v>
      </c>
      <c r="P880" s="116">
        <v>505</v>
      </c>
      <c r="Q880" s="116">
        <v>10142</v>
      </c>
      <c r="R880">
        <v>37091</v>
      </c>
    </row>
    <row r="881" spans="1:18" x14ac:dyDescent="0.25">
      <c r="A881" s="170">
        <v>43297</v>
      </c>
      <c r="B881" s="116">
        <v>512.4</v>
      </c>
      <c r="C881" s="116">
        <v>510.52749999999997</v>
      </c>
      <c r="D881" s="116">
        <v>507.5</v>
      </c>
      <c r="E881" s="116">
        <v>507.5</v>
      </c>
      <c r="F881" s="116">
        <v>10210.549999999999</v>
      </c>
      <c r="G881">
        <v>1113</v>
      </c>
      <c r="H881" s="116"/>
      <c r="I881" s="116"/>
      <c r="L881" s="170">
        <v>43297</v>
      </c>
      <c r="M881" s="116">
        <v>510.03500000000003</v>
      </c>
      <c r="N881" s="116">
        <v>511.85750000000002</v>
      </c>
      <c r="O881" s="116">
        <v>507.5</v>
      </c>
      <c r="P881" s="116">
        <v>509.995</v>
      </c>
      <c r="Q881" s="116">
        <v>10200.700000000001</v>
      </c>
      <c r="R881">
        <v>26933</v>
      </c>
    </row>
    <row r="882" spans="1:18" x14ac:dyDescent="0.25">
      <c r="A882" s="170">
        <v>43298</v>
      </c>
      <c r="B882" s="116">
        <v>528.70000000000005</v>
      </c>
      <c r="C882" s="116">
        <v>526.58249999999998</v>
      </c>
      <c r="D882" s="116">
        <v>510.5</v>
      </c>
      <c r="E882" s="116">
        <v>510.75</v>
      </c>
      <c r="F882" s="116">
        <v>10531.65</v>
      </c>
      <c r="G882">
        <v>8464</v>
      </c>
      <c r="H882" s="116"/>
      <c r="I882" s="116"/>
      <c r="L882" s="170">
        <v>43298</v>
      </c>
      <c r="M882" s="116">
        <v>525.58749999999998</v>
      </c>
      <c r="N882" s="116">
        <v>527.45000000000005</v>
      </c>
      <c r="O882" s="116">
        <v>509.5</v>
      </c>
      <c r="P882" s="116">
        <v>510.1</v>
      </c>
      <c r="Q882" s="116">
        <v>10511.75</v>
      </c>
      <c r="R882">
        <v>85919</v>
      </c>
    </row>
    <row r="883" spans="1:18" x14ac:dyDescent="0.25">
      <c r="A883" s="170">
        <v>43299</v>
      </c>
      <c r="B883" s="116">
        <v>527.83749999999998</v>
      </c>
      <c r="C883" s="116">
        <v>520.46249999999998</v>
      </c>
      <c r="D883" s="116">
        <v>515</v>
      </c>
      <c r="E883" s="116">
        <v>527.83749999999998</v>
      </c>
      <c r="F883" s="116">
        <v>10409.25</v>
      </c>
      <c r="G883">
        <v>3938</v>
      </c>
      <c r="H883" s="116"/>
      <c r="I883" s="116"/>
      <c r="L883" s="170">
        <v>43299</v>
      </c>
      <c r="M883" s="116">
        <v>519.67750000000001</v>
      </c>
      <c r="N883" s="116">
        <v>527.505</v>
      </c>
      <c r="O883" s="116">
        <v>514.10749999999996</v>
      </c>
      <c r="P883" s="116">
        <v>526.5</v>
      </c>
      <c r="Q883" s="116">
        <v>10393.549999999999</v>
      </c>
      <c r="R883">
        <v>74032</v>
      </c>
    </row>
    <row r="884" spans="1:18" x14ac:dyDescent="0.25">
      <c r="A884" s="170">
        <v>43300</v>
      </c>
      <c r="B884" s="116">
        <v>519.57500000000005</v>
      </c>
      <c r="C884" s="116">
        <v>514.35500000000002</v>
      </c>
      <c r="D884" s="116">
        <v>511.57249999999999</v>
      </c>
      <c r="E884" s="116">
        <v>519.17250000000001</v>
      </c>
      <c r="F884" s="116">
        <v>10287.1</v>
      </c>
      <c r="G884">
        <v>1116</v>
      </c>
      <c r="H884" s="116"/>
      <c r="I884" s="116"/>
      <c r="L884" s="170">
        <v>43300</v>
      </c>
      <c r="M884" s="116">
        <v>514.46500000000003</v>
      </c>
      <c r="N884" s="116">
        <v>522.47500000000002</v>
      </c>
      <c r="O884" s="116">
        <v>511.10500000000002</v>
      </c>
      <c r="P884" s="116">
        <v>520.75250000000005</v>
      </c>
      <c r="Q884" s="116">
        <v>10289.299999999999</v>
      </c>
      <c r="R884">
        <v>42226</v>
      </c>
    </row>
    <row r="885" spans="1:18" x14ac:dyDescent="0.25">
      <c r="A885" s="170">
        <v>43301</v>
      </c>
      <c r="B885" s="116">
        <v>521.5675</v>
      </c>
      <c r="C885" s="116">
        <v>517.55499999999995</v>
      </c>
      <c r="D885" s="116">
        <v>510.5025</v>
      </c>
      <c r="E885" s="116">
        <v>512.69749999999999</v>
      </c>
      <c r="F885" s="116">
        <v>10351.1</v>
      </c>
      <c r="G885">
        <v>1443</v>
      </c>
      <c r="H885" s="116"/>
      <c r="I885" s="116"/>
      <c r="L885" s="170">
        <v>43301</v>
      </c>
      <c r="M885" s="116">
        <v>517.41</v>
      </c>
      <c r="N885" s="116">
        <v>520.99749999999995</v>
      </c>
      <c r="O885" s="116">
        <v>510</v>
      </c>
      <c r="P885" s="116">
        <v>514.75750000000005</v>
      </c>
      <c r="Q885" s="116">
        <v>10348.200000000001</v>
      </c>
      <c r="R885">
        <v>43278</v>
      </c>
    </row>
    <row r="886" spans="1:18" x14ac:dyDescent="0.25">
      <c r="A886" s="170">
        <v>43304</v>
      </c>
      <c r="B886" s="116">
        <v>525</v>
      </c>
      <c r="C886" s="116">
        <v>520.78499999999997</v>
      </c>
      <c r="D886" s="116">
        <v>517.27</v>
      </c>
      <c r="E886" s="116">
        <v>525</v>
      </c>
      <c r="F886" s="116">
        <v>10415.700000000001</v>
      </c>
      <c r="G886">
        <v>9587</v>
      </c>
      <c r="H886" s="116"/>
      <c r="I886" s="116"/>
      <c r="L886" s="170">
        <v>43304</v>
      </c>
      <c r="M886" s="116">
        <v>519.66999999999996</v>
      </c>
      <c r="N886" s="116">
        <v>522.35</v>
      </c>
      <c r="O886" s="116">
        <v>516.25250000000005</v>
      </c>
      <c r="P886" s="116">
        <v>520.15</v>
      </c>
      <c r="Q886" s="116">
        <v>10393.4</v>
      </c>
      <c r="R886">
        <v>19721</v>
      </c>
    </row>
    <row r="887" spans="1:18" x14ac:dyDescent="0.25">
      <c r="A887" s="170">
        <v>43305</v>
      </c>
      <c r="B887" s="116">
        <v>523.495</v>
      </c>
      <c r="C887" s="116">
        <v>514.90750000000003</v>
      </c>
      <c r="D887" s="116">
        <v>512.75</v>
      </c>
      <c r="E887" s="116">
        <v>523.495</v>
      </c>
      <c r="F887" s="116">
        <v>10298.15</v>
      </c>
      <c r="G887">
        <v>2904</v>
      </c>
      <c r="H887" s="116"/>
      <c r="I887" s="116"/>
      <c r="L887" s="170">
        <v>43305</v>
      </c>
      <c r="M887" s="116">
        <v>514.52750000000003</v>
      </c>
      <c r="N887" s="116">
        <v>523.10500000000002</v>
      </c>
      <c r="O887" s="116">
        <v>512.61</v>
      </c>
      <c r="P887" s="116">
        <v>520.1</v>
      </c>
      <c r="Q887" s="116">
        <v>10290.549999999999</v>
      </c>
      <c r="R887">
        <v>32079</v>
      </c>
    </row>
    <row r="888" spans="1:18" x14ac:dyDescent="0.25">
      <c r="A888" s="170">
        <v>43306</v>
      </c>
      <c r="B888" s="116">
        <v>517.60500000000002</v>
      </c>
      <c r="C888" s="116">
        <v>513.47749999999996</v>
      </c>
      <c r="D888" s="116">
        <v>509.6275</v>
      </c>
      <c r="E888" s="116">
        <v>516.53499999999997</v>
      </c>
      <c r="F888" s="116">
        <v>10269.549999999999</v>
      </c>
      <c r="G888">
        <v>924</v>
      </c>
      <c r="H888" s="116"/>
      <c r="I888" s="116"/>
      <c r="L888" s="170">
        <v>43306</v>
      </c>
      <c r="M888" s="116">
        <v>511.68</v>
      </c>
      <c r="N888" s="116">
        <v>517.57000000000005</v>
      </c>
      <c r="O888" s="116">
        <v>510</v>
      </c>
      <c r="P888" s="116">
        <v>515.48749999999995</v>
      </c>
      <c r="Q888" s="116">
        <v>10233.6</v>
      </c>
      <c r="R888">
        <v>23010</v>
      </c>
    </row>
    <row r="889" spans="1:18" x14ac:dyDescent="0.25">
      <c r="A889" s="170">
        <v>43307</v>
      </c>
      <c r="B889" s="116">
        <v>517.5</v>
      </c>
      <c r="C889" s="116">
        <v>515.90250000000003</v>
      </c>
      <c r="D889" s="116">
        <v>510</v>
      </c>
      <c r="E889" s="116">
        <v>511.1</v>
      </c>
      <c r="F889" s="116">
        <v>10318.049999999999</v>
      </c>
      <c r="G889">
        <v>1125</v>
      </c>
      <c r="H889" s="116"/>
      <c r="I889" s="116"/>
      <c r="L889" s="170">
        <v>43307</v>
      </c>
      <c r="M889" s="116">
        <v>516.19500000000005</v>
      </c>
      <c r="N889" s="116">
        <v>518</v>
      </c>
      <c r="O889" s="116">
        <v>510.15249999999997</v>
      </c>
      <c r="P889" s="116">
        <v>510.15249999999997</v>
      </c>
      <c r="Q889" s="116">
        <v>10323.9</v>
      </c>
      <c r="R889">
        <v>28834</v>
      </c>
    </row>
    <row r="890" spans="1:18" x14ac:dyDescent="0.25">
      <c r="A890" s="170">
        <v>43308</v>
      </c>
      <c r="B890" s="116">
        <v>519.04250000000002</v>
      </c>
      <c r="C890" s="116">
        <v>514.79</v>
      </c>
      <c r="D890" s="116">
        <v>508.21499999999997</v>
      </c>
      <c r="E890" s="116">
        <v>516.65</v>
      </c>
      <c r="F890" s="116">
        <v>10295.799999999999</v>
      </c>
      <c r="G890">
        <v>2246</v>
      </c>
      <c r="H890" s="116"/>
      <c r="I890" s="116"/>
      <c r="L890" s="170">
        <v>43308</v>
      </c>
      <c r="M890" s="116">
        <v>514.20749999999998</v>
      </c>
      <c r="N890" s="116">
        <v>520.62</v>
      </c>
      <c r="O890" s="116">
        <v>508.42500000000001</v>
      </c>
      <c r="P890" s="116">
        <v>519</v>
      </c>
      <c r="Q890" s="116">
        <v>10284.15</v>
      </c>
      <c r="R890">
        <v>33320</v>
      </c>
    </row>
    <row r="891" spans="1:18" x14ac:dyDescent="0.25">
      <c r="A891" s="170">
        <v>43311</v>
      </c>
      <c r="B891" s="116">
        <v>515.03250000000003</v>
      </c>
      <c r="C891" s="116">
        <v>506.36750000000001</v>
      </c>
      <c r="D891" s="116">
        <v>504.3</v>
      </c>
      <c r="E891" s="116">
        <v>513.51250000000005</v>
      </c>
      <c r="F891" s="116">
        <v>10127.35</v>
      </c>
      <c r="G891">
        <v>1605</v>
      </c>
      <c r="H891" s="116"/>
      <c r="I891" s="116"/>
      <c r="L891" s="170">
        <v>43311</v>
      </c>
      <c r="M891" s="116">
        <v>506.12</v>
      </c>
      <c r="N891" s="116">
        <v>515</v>
      </c>
      <c r="O891" s="116">
        <v>504.23500000000001</v>
      </c>
      <c r="P891" s="116">
        <v>514.99749999999995</v>
      </c>
      <c r="Q891" s="116">
        <v>10122.4</v>
      </c>
      <c r="R891">
        <v>35115</v>
      </c>
    </row>
    <row r="892" spans="1:18" x14ac:dyDescent="0.25">
      <c r="A892" s="170">
        <v>43312</v>
      </c>
      <c r="B892" s="116">
        <v>529.95000000000005</v>
      </c>
      <c r="C892" s="116">
        <v>526.86</v>
      </c>
      <c r="D892" s="116">
        <v>505.91250000000002</v>
      </c>
      <c r="E892" s="116">
        <v>507.70499999999998</v>
      </c>
      <c r="F892" s="116">
        <v>10537.2</v>
      </c>
      <c r="G892">
        <v>3679</v>
      </c>
      <c r="H892" s="116"/>
      <c r="I892" s="116"/>
      <c r="L892" s="170">
        <v>43312</v>
      </c>
      <c r="M892" s="116">
        <v>526.52</v>
      </c>
      <c r="N892" s="116">
        <v>529</v>
      </c>
      <c r="O892" s="116">
        <v>505.5625</v>
      </c>
      <c r="P892" s="116">
        <v>508.995</v>
      </c>
      <c r="Q892" s="116">
        <v>10530.4</v>
      </c>
      <c r="R892">
        <v>70114</v>
      </c>
    </row>
    <row r="893" spans="1:18" x14ac:dyDescent="0.25">
      <c r="A893" s="170">
        <v>43313</v>
      </c>
      <c r="B893" s="116">
        <v>544.4</v>
      </c>
      <c r="C893" s="116">
        <v>540.26250000000005</v>
      </c>
      <c r="D893" s="116">
        <v>527.83749999999998</v>
      </c>
      <c r="E893" s="116">
        <v>530</v>
      </c>
      <c r="F893" s="116">
        <v>10805.25</v>
      </c>
      <c r="G893">
        <v>5032</v>
      </c>
      <c r="H893" s="116"/>
      <c r="I893" s="116"/>
      <c r="L893" s="170">
        <v>43313</v>
      </c>
      <c r="M893" s="116">
        <v>541.84249999999997</v>
      </c>
      <c r="N893" s="116">
        <v>547.54</v>
      </c>
      <c r="O893" s="116">
        <v>527.55250000000001</v>
      </c>
      <c r="P893" s="116">
        <v>530</v>
      </c>
      <c r="Q893" s="116">
        <v>10836.85</v>
      </c>
      <c r="R893">
        <v>69806</v>
      </c>
    </row>
    <row r="894" spans="1:18" x14ac:dyDescent="0.25">
      <c r="A894" s="170">
        <v>43314</v>
      </c>
      <c r="B894" s="116">
        <v>543.13</v>
      </c>
      <c r="C894" s="116">
        <v>537.76</v>
      </c>
      <c r="D894" s="116">
        <v>530.63250000000005</v>
      </c>
      <c r="E894" s="116">
        <v>541.46</v>
      </c>
      <c r="F894" s="116">
        <v>10755.2</v>
      </c>
      <c r="G894">
        <v>3705</v>
      </c>
      <c r="H894" s="116"/>
      <c r="I894" s="116"/>
      <c r="L894" s="170">
        <v>43314</v>
      </c>
      <c r="M894" s="116">
        <v>537.97500000000002</v>
      </c>
      <c r="N894" s="116">
        <v>543</v>
      </c>
      <c r="O894" s="116">
        <v>530.16999999999996</v>
      </c>
      <c r="P894" s="116">
        <v>542.5</v>
      </c>
      <c r="Q894" s="116">
        <v>10759.5</v>
      </c>
      <c r="R894">
        <v>34515</v>
      </c>
    </row>
    <row r="895" spans="1:18" x14ac:dyDescent="0.25">
      <c r="A895" s="170">
        <v>43315</v>
      </c>
      <c r="B895" s="116">
        <v>541.15250000000003</v>
      </c>
      <c r="C895" s="116">
        <v>515.66499999999996</v>
      </c>
      <c r="D895" s="116">
        <v>510.42750000000001</v>
      </c>
      <c r="E895" s="116">
        <v>539.85</v>
      </c>
      <c r="F895" s="116">
        <v>10313.299999999999</v>
      </c>
      <c r="G895">
        <v>11097</v>
      </c>
      <c r="H895" s="116"/>
      <c r="I895" s="116"/>
      <c r="L895" s="170">
        <v>43315</v>
      </c>
      <c r="M895" s="116">
        <v>516.23</v>
      </c>
      <c r="N895" s="116">
        <v>541.6</v>
      </c>
      <c r="O895" s="116">
        <v>510.5</v>
      </c>
      <c r="P895" s="116">
        <v>540.5</v>
      </c>
      <c r="Q895" s="116">
        <v>10324.6</v>
      </c>
      <c r="R895">
        <v>165670</v>
      </c>
    </row>
    <row r="896" spans="1:18" x14ac:dyDescent="0.25">
      <c r="A896" s="170">
        <v>43318</v>
      </c>
      <c r="B896" s="116">
        <v>532.5</v>
      </c>
      <c r="C896" s="116">
        <v>526.09249999999997</v>
      </c>
      <c r="D896" s="116">
        <v>520</v>
      </c>
      <c r="E896" s="116">
        <v>524.25</v>
      </c>
      <c r="F896" s="116">
        <v>10521.85</v>
      </c>
      <c r="G896">
        <v>9323</v>
      </c>
      <c r="H896" s="116"/>
      <c r="I896" s="116"/>
      <c r="L896" s="170">
        <v>43318</v>
      </c>
      <c r="M896" s="116">
        <v>526.73249999999996</v>
      </c>
      <c r="N896" s="116">
        <v>532.96500000000003</v>
      </c>
      <c r="O896" s="116">
        <v>520.005</v>
      </c>
      <c r="P896" s="116">
        <v>525</v>
      </c>
      <c r="Q896" s="116">
        <v>10534.65</v>
      </c>
      <c r="R896">
        <v>58802</v>
      </c>
    </row>
    <row r="897" spans="1:18" x14ac:dyDescent="0.25">
      <c r="A897" s="170">
        <v>43319</v>
      </c>
      <c r="B897" s="116">
        <v>532.37750000000005</v>
      </c>
      <c r="C897" s="116">
        <v>526.52750000000003</v>
      </c>
      <c r="D897" s="116">
        <v>525</v>
      </c>
      <c r="E897" s="116">
        <v>528.26499999999999</v>
      </c>
      <c r="F897" s="116">
        <v>10530.55</v>
      </c>
      <c r="G897">
        <v>2558</v>
      </c>
      <c r="H897" s="116"/>
      <c r="I897" s="116"/>
      <c r="L897" s="170">
        <v>43319</v>
      </c>
      <c r="M897" s="116">
        <v>526.89</v>
      </c>
      <c r="N897" s="116">
        <v>532.5</v>
      </c>
      <c r="O897" s="116">
        <v>525</v>
      </c>
      <c r="P897" s="116">
        <v>530.20000000000005</v>
      </c>
      <c r="Q897" s="116">
        <v>10537.8</v>
      </c>
      <c r="R897">
        <v>37286</v>
      </c>
    </row>
    <row r="898" spans="1:18" x14ac:dyDescent="0.25">
      <c r="A898" s="170">
        <v>43320</v>
      </c>
      <c r="B898" s="116">
        <v>541</v>
      </c>
      <c r="C898" s="116">
        <v>538.5675</v>
      </c>
      <c r="D898" s="116">
        <v>528.42750000000001</v>
      </c>
      <c r="E898" s="116">
        <v>531.5</v>
      </c>
      <c r="F898" s="116">
        <v>10771.35</v>
      </c>
      <c r="G898">
        <v>2691</v>
      </c>
      <c r="H898" s="116"/>
      <c r="I898" s="116"/>
      <c r="L898" s="170">
        <v>43320</v>
      </c>
      <c r="M898" s="116">
        <v>538.3175</v>
      </c>
      <c r="N898" s="116">
        <v>541.54999999999995</v>
      </c>
      <c r="O898" s="116">
        <v>528.85749999999996</v>
      </c>
      <c r="P898" s="116">
        <v>529.03</v>
      </c>
      <c r="Q898" s="116">
        <v>10766.35</v>
      </c>
      <c r="R898">
        <v>69638</v>
      </c>
    </row>
    <row r="899" spans="1:18" x14ac:dyDescent="0.25">
      <c r="A899" s="170">
        <v>43321</v>
      </c>
      <c r="B899" s="116">
        <v>548.5</v>
      </c>
      <c r="C899" s="116">
        <v>544.35</v>
      </c>
      <c r="D899" s="116">
        <v>538.5675</v>
      </c>
      <c r="E899" s="116">
        <v>538.5675</v>
      </c>
      <c r="F899" s="116">
        <v>10887</v>
      </c>
      <c r="G899">
        <v>24034</v>
      </c>
      <c r="H899" s="116"/>
      <c r="I899" s="116"/>
      <c r="L899" s="170">
        <v>43321</v>
      </c>
      <c r="M899" s="116">
        <v>544.12249999999995</v>
      </c>
      <c r="N899" s="116">
        <v>548.5</v>
      </c>
      <c r="O899" s="116">
        <v>538.35</v>
      </c>
      <c r="P899" s="116">
        <v>538.35</v>
      </c>
      <c r="Q899" s="116">
        <v>10882.45</v>
      </c>
      <c r="R899">
        <v>81646</v>
      </c>
    </row>
    <row r="900" spans="1:18" x14ac:dyDescent="0.25">
      <c r="A900" s="170">
        <v>43322</v>
      </c>
      <c r="B900" s="116">
        <v>550</v>
      </c>
      <c r="C900" s="116">
        <v>534.53250000000003</v>
      </c>
      <c r="D900" s="116">
        <v>532.76499999999999</v>
      </c>
      <c r="E900" s="116">
        <v>545</v>
      </c>
      <c r="F900" s="116">
        <v>10690.65</v>
      </c>
      <c r="G900">
        <v>38760</v>
      </c>
      <c r="H900" s="116"/>
      <c r="I900" s="116"/>
      <c r="L900" s="170">
        <v>43322</v>
      </c>
      <c r="M900" s="116">
        <v>534.30250000000001</v>
      </c>
      <c r="N900" s="116">
        <v>547.85</v>
      </c>
      <c r="O900" s="116">
        <v>532.5</v>
      </c>
      <c r="P900" s="116">
        <v>545</v>
      </c>
      <c r="Q900" s="116">
        <v>10686.05</v>
      </c>
      <c r="R900">
        <v>57383</v>
      </c>
    </row>
    <row r="901" spans="1:18" x14ac:dyDescent="0.25">
      <c r="A901" s="170">
        <v>43325</v>
      </c>
      <c r="B901" s="116">
        <v>545.80499999999995</v>
      </c>
      <c r="C901" s="116">
        <v>541.79999999999995</v>
      </c>
      <c r="D901" s="116">
        <v>534.75</v>
      </c>
      <c r="E901" s="116">
        <v>540</v>
      </c>
      <c r="F901" s="116">
        <v>10836</v>
      </c>
      <c r="G901">
        <v>15261</v>
      </c>
      <c r="H901" s="116"/>
      <c r="I901" s="116"/>
      <c r="L901" s="170">
        <v>43325</v>
      </c>
      <c r="M901" s="116">
        <v>542.5625</v>
      </c>
      <c r="N901" s="116">
        <v>546.75</v>
      </c>
      <c r="O901" s="116">
        <v>530.75750000000005</v>
      </c>
      <c r="P901" s="116">
        <v>533</v>
      </c>
      <c r="Q901" s="116">
        <v>10851.25</v>
      </c>
      <c r="R901">
        <v>52999</v>
      </c>
    </row>
    <row r="902" spans="1:18" x14ac:dyDescent="0.25">
      <c r="A902" s="170">
        <v>43326</v>
      </c>
      <c r="B902" s="116">
        <v>547.49749999999995</v>
      </c>
      <c r="C902" s="116">
        <v>544.25750000000005</v>
      </c>
      <c r="D902" s="116">
        <v>539.4</v>
      </c>
      <c r="E902" s="116">
        <v>541.9</v>
      </c>
      <c r="F902" s="116">
        <v>10885.15</v>
      </c>
      <c r="G902">
        <v>29463</v>
      </c>
      <c r="H902" s="116"/>
      <c r="I902" s="116"/>
      <c r="L902" s="170">
        <v>43326</v>
      </c>
      <c r="M902" s="116">
        <v>542.84749999999997</v>
      </c>
      <c r="N902" s="116">
        <v>547.54999999999995</v>
      </c>
      <c r="O902" s="116">
        <v>539.005</v>
      </c>
      <c r="P902" s="116">
        <v>542.6</v>
      </c>
      <c r="Q902" s="116">
        <v>10856.95</v>
      </c>
      <c r="R902">
        <v>37356</v>
      </c>
    </row>
    <row r="903" spans="1:18" x14ac:dyDescent="0.25">
      <c r="A903" s="170">
        <v>43328</v>
      </c>
      <c r="B903" s="116">
        <v>547.34249999999997</v>
      </c>
      <c r="C903" s="116">
        <v>543.41</v>
      </c>
      <c r="D903" s="116">
        <v>540</v>
      </c>
      <c r="E903" s="116">
        <v>544.4</v>
      </c>
      <c r="F903" s="116">
        <v>10868.2</v>
      </c>
      <c r="G903">
        <v>1568</v>
      </c>
      <c r="H903" s="116"/>
      <c r="I903" s="116"/>
      <c r="L903" s="170">
        <v>43328</v>
      </c>
      <c r="M903" s="116">
        <v>542.86249999999995</v>
      </c>
      <c r="N903" s="116">
        <v>547.75</v>
      </c>
      <c r="O903" s="116">
        <v>540.15</v>
      </c>
      <c r="P903" s="116">
        <v>542.5</v>
      </c>
      <c r="Q903" s="116">
        <v>10857.25</v>
      </c>
      <c r="R903">
        <v>49171</v>
      </c>
    </row>
    <row r="904" spans="1:18" x14ac:dyDescent="0.25">
      <c r="A904" s="170">
        <v>43329</v>
      </c>
      <c r="B904" s="116">
        <v>546.53</v>
      </c>
      <c r="C904" s="116">
        <v>543.76750000000004</v>
      </c>
      <c r="D904" s="116">
        <v>539.85</v>
      </c>
      <c r="E904" s="116">
        <v>544.35</v>
      </c>
      <c r="F904" s="116">
        <v>10875.35</v>
      </c>
      <c r="G904">
        <v>1935</v>
      </c>
      <c r="H904" s="116"/>
      <c r="I904" s="116"/>
      <c r="L904" s="170">
        <v>43329</v>
      </c>
      <c r="M904" s="116">
        <v>543.65</v>
      </c>
      <c r="N904" s="116">
        <v>546</v>
      </c>
      <c r="O904" s="116">
        <v>539.25</v>
      </c>
      <c r="P904" s="116">
        <v>544.35</v>
      </c>
      <c r="Q904" s="116">
        <v>10873</v>
      </c>
      <c r="R904">
        <v>58903</v>
      </c>
    </row>
    <row r="905" spans="1:18" x14ac:dyDescent="0.25">
      <c r="A905" s="170">
        <v>43332</v>
      </c>
      <c r="B905" s="116">
        <v>547.39</v>
      </c>
      <c r="C905" s="116">
        <v>543.84</v>
      </c>
      <c r="D905" s="116">
        <v>542.18499999999995</v>
      </c>
      <c r="E905" s="116">
        <v>544.4</v>
      </c>
      <c r="F905" s="116">
        <v>10876.8</v>
      </c>
      <c r="G905">
        <v>1800</v>
      </c>
      <c r="H905" s="116"/>
      <c r="I905" s="116"/>
      <c r="L905" s="170">
        <v>43332</v>
      </c>
      <c r="M905" s="116">
        <v>542.05250000000001</v>
      </c>
      <c r="N905" s="116">
        <v>547.4</v>
      </c>
      <c r="O905" s="116">
        <v>540.56500000000005</v>
      </c>
      <c r="P905" s="116">
        <v>546</v>
      </c>
      <c r="Q905" s="116">
        <v>10841.05</v>
      </c>
      <c r="R905">
        <v>41321</v>
      </c>
    </row>
    <row r="906" spans="1:18" x14ac:dyDescent="0.25">
      <c r="A906" s="170">
        <v>43333</v>
      </c>
      <c r="B906" s="116">
        <v>549.4425</v>
      </c>
      <c r="C906" s="116">
        <v>544.39</v>
      </c>
      <c r="D906" s="116">
        <v>541.46</v>
      </c>
      <c r="E906" s="116">
        <v>541.54499999999996</v>
      </c>
      <c r="F906" s="116">
        <v>10887.8</v>
      </c>
      <c r="G906">
        <v>2537</v>
      </c>
      <c r="H906" s="116"/>
      <c r="I906" s="116"/>
      <c r="L906" s="170">
        <v>43333</v>
      </c>
      <c r="M906" s="116">
        <v>544.32000000000005</v>
      </c>
      <c r="N906" s="116">
        <v>549.5</v>
      </c>
      <c r="O906" s="116">
        <v>541.5</v>
      </c>
      <c r="P906" s="116">
        <v>542.95000000000005</v>
      </c>
      <c r="Q906" s="116">
        <v>10886.4</v>
      </c>
      <c r="R906">
        <v>62485</v>
      </c>
    </row>
    <row r="907" spans="1:18" x14ac:dyDescent="0.25">
      <c r="A907" s="170">
        <v>43335</v>
      </c>
      <c r="B907" s="116">
        <v>579.5</v>
      </c>
      <c r="C907" s="116">
        <v>577.30250000000001</v>
      </c>
      <c r="D907" s="116">
        <v>544.25</v>
      </c>
      <c r="E907" s="116">
        <v>544.25</v>
      </c>
      <c r="F907" s="116">
        <v>11546.05</v>
      </c>
      <c r="G907">
        <v>15918</v>
      </c>
      <c r="H907" s="116"/>
      <c r="I907" s="116"/>
      <c r="L907" s="170">
        <v>43335</v>
      </c>
      <c r="M907" s="116">
        <v>577.20249999999999</v>
      </c>
      <c r="N907" s="116">
        <v>579.25</v>
      </c>
      <c r="O907" s="116">
        <v>547.37</v>
      </c>
      <c r="P907" s="116">
        <v>547.4</v>
      </c>
      <c r="Q907" s="116">
        <v>11544.05</v>
      </c>
      <c r="R907">
        <v>194040</v>
      </c>
    </row>
    <row r="908" spans="1:18" x14ac:dyDescent="0.25">
      <c r="A908" s="170">
        <v>43336</v>
      </c>
      <c r="B908" s="116">
        <v>577.75</v>
      </c>
      <c r="C908" s="116">
        <v>568.46500000000003</v>
      </c>
      <c r="D908" s="116">
        <v>565.245</v>
      </c>
      <c r="E908" s="116">
        <v>577.75</v>
      </c>
      <c r="F908" s="116">
        <v>11369.3</v>
      </c>
      <c r="G908">
        <v>3205</v>
      </c>
      <c r="H908" s="116"/>
      <c r="I908" s="116"/>
      <c r="L908" s="170">
        <v>43336</v>
      </c>
      <c r="M908" s="116">
        <v>568.13499999999999</v>
      </c>
      <c r="N908" s="116">
        <v>577.08749999999998</v>
      </c>
      <c r="O908" s="116">
        <v>565.16499999999996</v>
      </c>
      <c r="P908" s="116">
        <v>574.29999999999995</v>
      </c>
      <c r="Q908" s="116">
        <v>11362.7</v>
      </c>
      <c r="R908">
        <v>49459</v>
      </c>
    </row>
    <row r="909" spans="1:18" x14ac:dyDescent="0.25">
      <c r="A909" s="170">
        <v>43339</v>
      </c>
      <c r="B909" s="116">
        <v>576.04</v>
      </c>
      <c r="C909" s="116">
        <v>566.75</v>
      </c>
      <c r="D909" s="116">
        <v>565</v>
      </c>
      <c r="E909" s="116">
        <v>569.75</v>
      </c>
      <c r="F909" s="116">
        <v>11335</v>
      </c>
      <c r="G909">
        <v>4940</v>
      </c>
      <c r="H909" s="116"/>
      <c r="I909" s="116"/>
      <c r="L909" s="170">
        <v>43339</v>
      </c>
      <c r="M909" s="116">
        <v>566.66750000000002</v>
      </c>
      <c r="N909" s="116">
        <v>576.64</v>
      </c>
      <c r="O909" s="116">
        <v>563.65</v>
      </c>
      <c r="P909" s="116">
        <v>570.5</v>
      </c>
      <c r="Q909" s="116">
        <v>11333.35</v>
      </c>
      <c r="R909">
        <v>47997</v>
      </c>
    </row>
    <row r="910" spans="1:18" x14ac:dyDescent="0.25">
      <c r="A910" s="170">
        <v>43340</v>
      </c>
      <c r="B910" s="116">
        <v>570.89250000000004</v>
      </c>
      <c r="C910" s="116">
        <v>567.22749999999996</v>
      </c>
      <c r="D910" s="116">
        <v>565.05250000000001</v>
      </c>
      <c r="E910" s="116">
        <v>566.66</v>
      </c>
      <c r="F910" s="116">
        <v>11344.55</v>
      </c>
      <c r="G910">
        <v>2440</v>
      </c>
      <c r="H910" s="116"/>
      <c r="I910" s="116"/>
      <c r="L910" s="170">
        <v>43340</v>
      </c>
      <c r="M910" s="116">
        <v>566.30499999999995</v>
      </c>
      <c r="N910" s="116">
        <v>571.44500000000005</v>
      </c>
      <c r="O910" s="116">
        <v>565.42250000000001</v>
      </c>
      <c r="P910" s="116">
        <v>569.99249999999995</v>
      </c>
      <c r="Q910" s="116">
        <v>11326.1</v>
      </c>
      <c r="R910">
        <v>28097</v>
      </c>
    </row>
    <row r="911" spans="1:18" x14ac:dyDescent="0.25">
      <c r="A911" s="170">
        <v>43341</v>
      </c>
      <c r="B911" s="116">
        <v>575.75</v>
      </c>
      <c r="C911" s="116">
        <v>566.125</v>
      </c>
      <c r="D911" s="116">
        <v>564.75</v>
      </c>
      <c r="E911" s="116">
        <v>570.82749999999999</v>
      </c>
      <c r="F911" s="116">
        <v>11322.5</v>
      </c>
      <c r="G911">
        <v>3714</v>
      </c>
      <c r="H911" s="116"/>
      <c r="I911" s="116"/>
      <c r="L911" s="170">
        <v>43341</v>
      </c>
      <c r="M911" s="116">
        <v>564.96500000000003</v>
      </c>
      <c r="N911" s="116">
        <v>576.1</v>
      </c>
      <c r="O911" s="116">
        <v>563.45749999999998</v>
      </c>
      <c r="P911" s="116">
        <v>567.9</v>
      </c>
      <c r="Q911" s="116">
        <v>11299.3</v>
      </c>
      <c r="R911">
        <v>62350</v>
      </c>
    </row>
    <row r="912" spans="1:18" x14ac:dyDescent="0.25">
      <c r="A912" s="170">
        <v>43342</v>
      </c>
      <c r="B912" s="116">
        <v>572.79750000000001</v>
      </c>
      <c r="C912" s="116">
        <v>564.43499999999995</v>
      </c>
      <c r="D912" s="116">
        <v>563.51750000000004</v>
      </c>
      <c r="E912" s="116">
        <v>566.125</v>
      </c>
      <c r="F912" s="116">
        <v>11288.7</v>
      </c>
      <c r="G912">
        <v>1689</v>
      </c>
      <c r="H912" s="116"/>
      <c r="I912" s="116"/>
      <c r="L912" s="170">
        <v>43342</v>
      </c>
      <c r="M912" s="116">
        <v>564.32000000000005</v>
      </c>
      <c r="N912" s="116">
        <v>570.08749999999998</v>
      </c>
      <c r="O912" s="116">
        <v>562.88499999999999</v>
      </c>
      <c r="P912" s="116">
        <v>565.1</v>
      </c>
      <c r="Q912" s="116">
        <v>11286.4</v>
      </c>
      <c r="R912">
        <v>83213</v>
      </c>
    </row>
    <row r="913" spans="1:18" x14ac:dyDescent="0.25">
      <c r="A913" s="170">
        <v>43343</v>
      </c>
      <c r="B913" s="116">
        <v>583.39750000000004</v>
      </c>
      <c r="C913" s="116">
        <v>578.83000000000004</v>
      </c>
      <c r="D913" s="116">
        <v>566.75</v>
      </c>
      <c r="E913" s="116">
        <v>566.75250000000005</v>
      </c>
      <c r="F913" s="116">
        <v>11576.6</v>
      </c>
      <c r="G913">
        <v>14797</v>
      </c>
      <c r="H913" s="116"/>
      <c r="I913" s="116"/>
      <c r="L913" s="170">
        <v>43343</v>
      </c>
      <c r="M913" s="116">
        <v>579.11249999999995</v>
      </c>
      <c r="N913" s="116">
        <v>585.25</v>
      </c>
      <c r="O913" s="116">
        <v>564.35</v>
      </c>
      <c r="P913" s="116">
        <v>564.35</v>
      </c>
      <c r="Q913" s="116">
        <v>11582.25</v>
      </c>
      <c r="R913">
        <v>185968</v>
      </c>
    </row>
    <row r="914" spans="1:18" x14ac:dyDescent="0.25">
      <c r="A914" s="170">
        <v>43346</v>
      </c>
      <c r="B914" s="116">
        <v>585</v>
      </c>
      <c r="C914" s="116">
        <v>565.07500000000005</v>
      </c>
      <c r="D914" s="116">
        <v>563</v>
      </c>
      <c r="E914" s="116">
        <v>585</v>
      </c>
      <c r="F914" s="116">
        <v>11301.5</v>
      </c>
      <c r="G914">
        <v>2059</v>
      </c>
      <c r="H914" s="116"/>
      <c r="I914" s="116"/>
      <c r="L914" s="170">
        <v>43346</v>
      </c>
      <c r="M914" s="116">
        <v>563.89499999999998</v>
      </c>
      <c r="N914" s="116">
        <v>583.99749999999995</v>
      </c>
      <c r="O914" s="116">
        <v>562.55999999999995</v>
      </c>
      <c r="P914" s="116">
        <v>583.99749999999995</v>
      </c>
      <c r="Q914" s="116">
        <v>11277.9</v>
      </c>
      <c r="R914">
        <v>59462</v>
      </c>
    </row>
    <row r="915" spans="1:18" x14ac:dyDescent="0.25">
      <c r="A915" s="170">
        <v>43347</v>
      </c>
      <c r="B915" s="116">
        <v>566.5</v>
      </c>
      <c r="C915" s="116">
        <v>541.85749999999996</v>
      </c>
      <c r="D915" s="116">
        <v>539.10749999999996</v>
      </c>
      <c r="E915" s="116">
        <v>566.5</v>
      </c>
      <c r="F915" s="116">
        <v>10837.15</v>
      </c>
      <c r="G915">
        <v>4312</v>
      </c>
      <c r="H915" s="116"/>
      <c r="I915" s="116"/>
      <c r="L915" s="170">
        <v>43347</v>
      </c>
      <c r="M915" s="116">
        <v>542.05999999999995</v>
      </c>
      <c r="N915" s="116">
        <v>567.27499999999998</v>
      </c>
      <c r="O915" s="116">
        <v>538.97249999999997</v>
      </c>
      <c r="P915" s="116">
        <v>566.5</v>
      </c>
      <c r="Q915" s="116">
        <v>10841.2</v>
      </c>
      <c r="R915">
        <v>81569</v>
      </c>
    </row>
    <row r="916" spans="1:18" x14ac:dyDescent="0.25">
      <c r="A916" s="170">
        <v>43348</v>
      </c>
      <c r="B916" s="116">
        <v>541.80250000000001</v>
      </c>
      <c r="C916" s="116">
        <v>520.09</v>
      </c>
      <c r="D916" s="116">
        <v>509</v>
      </c>
      <c r="E916" s="116">
        <v>541.54999999999995</v>
      </c>
      <c r="F916" s="116">
        <v>10401.799999999999</v>
      </c>
      <c r="G916">
        <v>10946</v>
      </c>
      <c r="H916" s="116"/>
      <c r="I916" s="116"/>
      <c r="L916" s="170">
        <v>43348</v>
      </c>
      <c r="M916" s="116">
        <v>519.30250000000001</v>
      </c>
      <c r="N916" s="116">
        <v>541.94749999999999</v>
      </c>
      <c r="O916" s="116">
        <v>508.75</v>
      </c>
      <c r="P916" s="116">
        <v>541.94749999999999</v>
      </c>
      <c r="Q916" s="116">
        <v>10386.049999999999</v>
      </c>
      <c r="R916">
        <v>129802</v>
      </c>
    </row>
    <row r="917" spans="1:18" x14ac:dyDescent="0.25">
      <c r="A917" s="170">
        <v>43349</v>
      </c>
      <c r="B917" s="116">
        <v>527.74749999999995</v>
      </c>
      <c r="C917" s="116">
        <v>516.82749999999999</v>
      </c>
      <c r="D917" s="116">
        <v>512.16750000000002</v>
      </c>
      <c r="E917" s="116">
        <v>522.6</v>
      </c>
      <c r="F917" s="116">
        <v>10336.549999999999</v>
      </c>
      <c r="G917">
        <v>10635</v>
      </c>
      <c r="H917" s="116"/>
      <c r="I917" s="116"/>
      <c r="L917" s="170">
        <v>43349</v>
      </c>
      <c r="M917" s="116">
        <v>516.77750000000003</v>
      </c>
      <c r="N917" s="116">
        <v>528</v>
      </c>
      <c r="O917" s="116">
        <v>512.35</v>
      </c>
      <c r="P917" s="116">
        <v>522.9</v>
      </c>
      <c r="Q917" s="116">
        <v>10335.549999999999</v>
      </c>
      <c r="R917">
        <v>90549</v>
      </c>
    </row>
    <row r="918" spans="1:18" x14ac:dyDescent="0.25">
      <c r="A918" s="170">
        <v>43350</v>
      </c>
      <c r="B918" s="116">
        <v>532.5</v>
      </c>
      <c r="C918" s="116">
        <v>522.32500000000005</v>
      </c>
      <c r="D918" s="116">
        <v>515.88250000000005</v>
      </c>
      <c r="E918" s="116">
        <v>524.96</v>
      </c>
      <c r="F918" s="116">
        <v>10446.5</v>
      </c>
      <c r="G918">
        <v>14283</v>
      </c>
      <c r="H918" s="116"/>
      <c r="I918" s="116"/>
      <c r="L918" s="170">
        <v>43350</v>
      </c>
      <c r="M918" s="116">
        <v>522.32749999999999</v>
      </c>
      <c r="N918" s="116">
        <v>532.5</v>
      </c>
      <c r="O918" s="116">
        <v>515.27750000000003</v>
      </c>
      <c r="P918" s="116">
        <v>518.5</v>
      </c>
      <c r="Q918" s="116">
        <v>10446.549999999999</v>
      </c>
      <c r="R918">
        <v>112689</v>
      </c>
    </row>
    <row r="919" spans="1:18" x14ac:dyDescent="0.25">
      <c r="A919" s="170">
        <v>43353</v>
      </c>
      <c r="B919" s="116">
        <v>526.00250000000005</v>
      </c>
      <c r="C919" s="116">
        <v>516.28</v>
      </c>
      <c r="D919" s="116">
        <v>514.61500000000001</v>
      </c>
      <c r="E919" s="116">
        <v>522.32500000000005</v>
      </c>
      <c r="F919" s="116">
        <v>10325.6</v>
      </c>
      <c r="G919">
        <v>4223</v>
      </c>
      <c r="H919" s="116"/>
      <c r="I919" s="116"/>
      <c r="L919" s="170">
        <v>43353</v>
      </c>
      <c r="M919" s="116">
        <v>516.51499999999999</v>
      </c>
      <c r="N919" s="116">
        <v>525.75</v>
      </c>
      <c r="O919" s="116">
        <v>513.75750000000005</v>
      </c>
      <c r="P919" s="116">
        <v>522.5</v>
      </c>
      <c r="Q919" s="116">
        <v>10330.299999999999</v>
      </c>
      <c r="R919">
        <v>37274</v>
      </c>
    </row>
    <row r="920" spans="1:18" x14ac:dyDescent="0.25">
      <c r="A920" s="170">
        <v>43354</v>
      </c>
      <c r="B920" s="116">
        <v>518.71500000000003</v>
      </c>
      <c r="C920" s="116">
        <v>502.95249999999999</v>
      </c>
      <c r="D920" s="116">
        <v>501.5</v>
      </c>
      <c r="E920" s="116">
        <v>516.64250000000004</v>
      </c>
      <c r="F920" s="116">
        <v>10059.049999999999</v>
      </c>
      <c r="G920">
        <v>3617</v>
      </c>
      <c r="H920" s="116"/>
      <c r="I920" s="116"/>
      <c r="L920" s="170">
        <v>43354</v>
      </c>
      <c r="M920" s="116">
        <v>502.38499999999999</v>
      </c>
      <c r="N920" s="116">
        <v>519.25</v>
      </c>
      <c r="O920" s="116">
        <v>500.05</v>
      </c>
      <c r="P920" s="116">
        <v>515</v>
      </c>
      <c r="Q920" s="116">
        <v>10047.700000000001</v>
      </c>
      <c r="R920">
        <v>60262</v>
      </c>
    </row>
    <row r="921" spans="1:18" x14ac:dyDescent="0.25">
      <c r="A921" s="170">
        <v>43355</v>
      </c>
      <c r="B921" s="116">
        <v>523</v>
      </c>
      <c r="C921" s="116">
        <v>518.57249999999999</v>
      </c>
      <c r="D921" s="116">
        <v>502.005</v>
      </c>
      <c r="E921" s="116">
        <v>502.31</v>
      </c>
      <c r="F921" s="116">
        <v>10371.450000000001</v>
      </c>
      <c r="G921">
        <v>16828</v>
      </c>
      <c r="H921" s="116"/>
      <c r="I921" s="116"/>
      <c r="L921" s="170">
        <v>43355</v>
      </c>
      <c r="M921" s="116">
        <v>517.70000000000005</v>
      </c>
      <c r="N921" s="116">
        <v>522.69000000000005</v>
      </c>
      <c r="O921" s="116">
        <v>501.15</v>
      </c>
      <c r="P921" s="116">
        <v>504</v>
      </c>
      <c r="Q921" s="116">
        <v>10354</v>
      </c>
      <c r="R921">
        <v>100962</v>
      </c>
    </row>
    <row r="922" spans="1:18" x14ac:dyDescent="0.25">
      <c r="A922" s="170">
        <v>43357</v>
      </c>
      <c r="B922" s="116">
        <v>528.27499999999998</v>
      </c>
      <c r="C922" s="116">
        <v>517.07500000000005</v>
      </c>
      <c r="D922" s="116">
        <v>511.46</v>
      </c>
      <c r="E922" s="116">
        <v>526.95000000000005</v>
      </c>
      <c r="F922" s="116">
        <v>10341.5</v>
      </c>
      <c r="G922">
        <v>3066</v>
      </c>
      <c r="H922" s="116"/>
      <c r="I922" s="116"/>
      <c r="L922" s="170">
        <v>43357</v>
      </c>
      <c r="M922" s="116">
        <v>516.77250000000004</v>
      </c>
      <c r="N922" s="116">
        <v>528.6</v>
      </c>
      <c r="O922" s="116">
        <v>515.14</v>
      </c>
      <c r="P922" s="116">
        <v>522.875</v>
      </c>
      <c r="Q922" s="116">
        <v>10335.450000000001</v>
      </c>
      <c r="R922">
        <v>93400</v>
      </c>
    </row>
    <row r="923" spans="1:18" x14ac:dyDescent="0.25">
      <c r="A923" s="170">
        <v>43360</v>
      </c>
      <c r="B923" s="116">
        <v>515.92250000000001</v>
      </c>
      <c r="C923" s="116">
        <v>508.27499999999998</v>
      </c>
      <c r="D923" s="116">
        <v>506.1</v>
      </c>
      <c r="E923" s="116">
        <v>515.92250000000001</v>
      </c>
      <c r="F923" s="116">
        <v>10165.5</v>
      </c>
      <c r="G923">
        <v>2871</v>
      </c>
      <c r="H923" s="116"/>
      <c r="I923" s="116"/>
      <c r="L923" s="170">
        <v>43360</v>
      </c>
      <c r="M923" s="116">
        <v>508.7525</v>
      </c>
      <c r="N923" s="116">
        <v>536.13499999999999</v>
      </c>
      <c r="O923" s="116">
        <v>505.75</v>
      </c>
      <c r="P923" s="116">
        <v>517.4</v>
      </c>
      <c r="Q923" s="116">
        <v>10175.049999999999</v>
      </c>
      <c r="R923">
        <v>30582</v>
      </c>
    </row>
    <row r="924" spans="1:18" x14ac:dyDescent="0.25">
      <c r="A924" s="170">
        <v>43361</v>
      </c>
      <c r="B924" s="116">
        <v>523.19749999999999</v>
      </c>
      <c r="C924" s="116">
        <v>514.01250000000005</v>
      </c>
      <c r="D924" s="116">
        <v>510</v>
      </c>
      <c r="E924" s="116">
        <v>510.73</v>
      </c>
      <c r="F924" s="116">
        <v>10280.25</v>
      </c>
      <c r="G924">
        <v>4095</v>
      </c>
      <c r="H924" s="116"/>
      <c r="I924" s="116"/>
      <c r="L924" s="170">
        <v>43361</v>
      </c>
      <c r="M924" s="116">
        <v>512.17750000000001</v>
      </c>
      <c r="N924" s="116">
        <v>521.5</v>
      </c>
      <c r="O924" s="116">
        <v>509.57749999999999</v>
      </c>
      <c r="P924" s="116">
        <v>512.35</v>
      </c>
      <c r="Q924" s="116">
        <v>10243.549999999999</v>
      </c>
      <c r="R924">
        <v>37699</v>
      </c>
    </row>
    <row r="925" spans="1:18" x14ac:dyDescent="0.25">
      <c r="A925" s="170">
        <v>43362</v>
      </c>
      <c r="B925" s="116">
        <v>524.95000000000005</v>
      </c>
      <c r="C925" s="116">
        <v>507.63499999999999</v>
      </c>
      <c r="D925" s="116">
        <v>506.75</v>
      </c>
      <c r="E925" s="116">
        <v>524.95000000000005</v>
      </c>
      <c r="F925" s="116">
        <v>10152.700000000001</v>
      </c>
      <c r="G925">
        <v>2014</v>
      </c>
      <c r="H925" s="116"/>
      <c r="I925" s="116"/>
      <c r="L925" s="170">
        <v>43362</v>
      </c>
      <c r="M925" s="116">
        <v>507.25</v>
      </c>
      <c r="N925" s="116">
        <v>525.04999999999995</v>
      </c>
      <c r="O925" s="116">
        <v>505.2</v>
      </c>
      <c r="P925" s="116">
        <v>518.20000000000005</v>
      </c>
      <c r="Q925" s="116">
        <v>10145</v>
      </c>
      <c r="R925">
        <v>38006</v>
      </c>
    </row>
    <row r="926" spans="1:18" x14ac:dyDescent="0.25">
      <c r="A926" s="170">
        <v>43364</v>
      </c>
      <c r="B926" s="116">
        <v>513.07500000000005</v>
      </c>
      <c r="C926" s="116">
        <v>488.25749999999999</v>
      </c>
      <c r="D926" s="116">
        <v>460.565</v>
      </c>
      <c r="E926" s="116">
        <v>510.45749999999998</v>
      </c>
      <c r="F926" s="116">
        <v>9765.15</v>
      </c>
      <c r="G926">
        <v>10848</v>
      </c>
      <c r="H926" s="116"/>
      <c r="I926" s="116"/>
      <c r="L926" s="170">
        <v>43364</v>
      </c>
      <c r="M926" s="116">
        <v>487.48</v>
      </c>
      <c r="N926" s="116">
        <v>512.94500000000005</v>
      </c>
      <c r="O926" s="116">
        <v>459.9975</v>
      </c>
      <c r="P926" s="116">
        <v>510.45</v>
      </c>
      <c r="Q926" s="116">
        <v>9749.6</v>
      </c>
      <c r="R926">
        <v>152670</v>
      </c>
    </row>
    <row r="927" spans="1:18" x14ac:dyDescent="0.25">
      <c r="A927" s="170">
        <v>43367</v>
      </c>
      <c r="B927" s="116">
        <v>493.995</v>
      </c>
      <c r="C927" s="116">
        <v>482.53250000000003</v>
      </c>
      <c r="D927" s="116">
        <v>480.5</v>
      </c>
      <c r="E927" s="116">
        <v>493.46499999999997</v>
      </c>
      <c r="F927" s="116">
        <v>9650.65</v>
      </c>
      <c r="G927">
        <v>4791</v>
      </c>
      <c r="H927" s="116"/>
      <c r="I927" s="116"/>
      <c r="L927" s="170">
        <v>43367</v>
      </c>
      <c r="M927" s="116">
        <v>483.125</v>
      </c>
      <c r="N927" s="116">
        <v>494.93</v>
      </c>
      <c r="O927" s="116">
        <v>480.75</v>
      </c>
      <c r="P927" s="116">
        <v>493.9</v>
      </c>
      <c r="Q927" s="116">
        <v>9662.5</v>
      </c>
      <c r="R927">
        <v>31895</v>
      </c>
    </row>
    <row r="928" spans="1:18" x14ac:dyDescent="0.25">
      <c r="A928" s="170">
        <v>43368</v>
      </c>
      <c r="B928" s="116">
        <v>492</v>
      </c>
      <c r="C928" s="116">
        <v>486.35250000000002</v>
      </c>
      <c r="D928" s="116">
        <v>469.55250000000001</v>
      </c>
      <c r="E928" s="116">
        <v>482.5</v>
      </c>
      <c r="F928" s="116">
        <v>9727.0499999999993</v>
      </c>
      <c r="G928">
        <v>10064</v>
      </c>
      <c r="H928" s="116"/>
      <c r="I928" s="116"/>
      <c r="L928" s="170">
        <v>43368</v>
      </c>
      <c r="M928" s="116">
        <v>484.86750000000001</v>
      </c>
      <c r="N928" s="116">
        <v>492.20499999999998</v>
      </c>
      <c r="O928" s="116">
        <v>469.5</v>
      </c>
      <c r="P928" s="116">
        <v>481.2525</v>
      </c>
      <c r="Q928" s="116">
        <v>9697.35</v>
      </c>
      <c r="R928">
        <v>87995</v>
      </c>
    </row>
    <row r="929" spans="1:18" x14ac:dyDescent="0.25">
      <c r="A929" s="170">
        <v>43369</v>
      </c>
      <c r="B929" s="116">
        <v>492.5</v>
      </c>
      <c r="C929" s="116">
        <v>485.36250000000001</v>
      </c>
      <c r="D929" s="116">
        <v>477.22</v>
      </c>
      <c r="E929" s="116">
        <v>492.5</v>
      </c>
      <c r="F929" s="116">
        <v>9707.25</v>
      </c>
      <c r="G929">
        <v>6494</v>
      </c>
      <c r="H929" s="116"/>
      <c r="I929" s="116"/>
      <c r="L929" s="170">
        <v>43369</v>
      </c>
      <c r="M929" s="116">
        <v>486.46749999999997</v>
      </c>
      <c r="N929" s="116">
        <v>491.65</v>
      </c>
      <c r="O929" s="116">
        <v>477.47500000000002</v>
      </c>
      <c r="P929" s="116">
        <v>489.995</v>
      </c>
      <c r="Q929" s="116">
        <v>9729.35</v>
      </c>
      <c r="R929">
        <v>57887</v>
      </c>
    </row>
    <row r="930" spans="1:18" x14ac:dyDescent="0.25">
      <c r="A930" s="170">
        <v>43370</v>
      </c>
      <c r="B930" s="116">
        <v>492.04250000000002</v>
      </c>
      <c r="C930" s="116">
        <v>478.21</v>
      </c>
      <c r="D930" s="116">
        <v>474.00749999999999</v>
      </c>
      <c r="E930" s="116">
        <v>490</v>
      </c>
      <c r="F930" s="116">
        <v>9564.2000000000007</v>
      </c>
      <c r="G930">
        <v>3073</v>
      </c>
      <c r="H930" s="116"/>
      <c r="I930" s="116"/>
      <c r="L930" s="170">
        <v>43370</v>
      </c>
      <c r="M930" s="116">
        <v>478.9325</v>
      </c>
      <c r="N930" s="116">
        <v>491.75</v>
      </c>
      <c r="O930" s="116">
        <v>474.42500000000001</v>
      </c>
      <c r="P930" s="116">
        <v>489.8</v>
      </c>
      <c r="Q930" s="116">
        <v>9578.65</v>
      </c>
      <c r="R930">
        <v>83560</v>
      </c>
    </row>
    <row r="931" spans="1:18" x14ac:dyDescent="0.25">
      <c r="A931" s="170">
        <v>43371</v>
      </c>
      <c r="B931" s="116">
        <v>490.86250000000001</v>
      </c>
      <c r="C931" s="116">
        <v>485.28500000000003</v>
      </c>
      <c r="D931" s="116">
        <v>478.75</v>
      </c>
      <c r="E931" s="116">
        <v>484.95</v>
      </c>
      <c r="F931" s="116">
        <v>9705.7000000000007</v>
      </c>
      <c r="G931">
        <v>4435</v>
      </c>
      <c r="H931" s="116"/>
      <c r="I931" s="116"/>
      <c r="L931" s="170">
        <v>43371</v>
      </c>
      <c r="M931" s="116">
        <v>484.98250000000002</v>
      </c>
      <c r="N931" s="116">
        <v>490.65</v>
      </c>
      <c r="O931" s="116">
        <v>477.96749999999997</v>
      </c>
      <c r="P931" s="116">
        <v>486</v>
      </c>
      <c r="Q931" s="116">
        <v>9699.65</v>
      </c>
      <c r="R931">
        <v>115954</v>
      </c>
    </row>
    <row r="932" spans="1:18" x14ac:dyDescent="0.25">
      <c r="A932" s="170">
        <v>43374</v>
      </c>
      <c r="B932" s="116">
        <v>492.75</v>
      </c>
      <c r="C932" s="116">
        <v>481.27499999999998</v>
      </c>
      <c r="D932" s="116">
        <v>473.75</v>
      </c>
      <c r="E932" s="116">
        <v>487.5</v>
      </c>
      <c r="F932" s="116">
        <v>9625.5</v>
      </c>
      <c r="G932">
        <v>4189</v>
      </c>
      <c r="H932" s="116"/>
      <c r="I932" s="116"/>
      <c r="L932" s="170">
        <v>43374</v>
      </c>
      <c r="M932" s="116">
        <v>480.48250000000002</v>
      </c>
      <c r="N932" s="116">
        <v>487.52249999999998</v>
      </c>
      <c r="O932" s="116">
        <v>473.32499999999999</v>
      </c>
      <c r="P932" s="116">
        <v>486.19749999999999</v>
      </c>
      <c r="Q932" s="116">
        <v>9609.65</v>
      </c>
      <c r="R932">
        <v>53328</v>
      </c>
    </row>
    <row r="933" spans="1:18" x14ac:dyDescent="0.25">
      <c r="A933" s="170">
        <v>43376</v>
      </c>
      <c r="B933" s="116">
        <v>481.255</v>
      </c>
      <c r="C933" s="116">
        <v>467.20249999999999</v>
      </c>
      <c r="D933" s="116">
        <v>466.15</v>
      </c>
      <c r="E933" s="116">
        <v>481.255</v>
      </c>
      <c r="F933" s="116">
        <v>9344.0499999999993</v>
      </c>
      <c r="G933">
        <v>7146</v>
      </c>
      <c r="H933" s="116"/>
      <c r="I933" s="116"/>
      <c r="L933" s="170">
        <v>43376</v>
      </c>
      <c r="M933" s="116">
        <v>467.19</v>
      </c>
      <c r="N933" s="116">
        <v>480</v>
      </c>
      <c r="O933" s="116">
        <v>466.005</v>
      </c>
      <c r="P933" s="116">
        <v>480</v>
      </c>
      <c r="Q933" s="116">
        <v>9343.7999999999993</v>
      </c>
      <c r="R933">
        <v>86534</v>
      </c>
    </row>
    <row r="934" spans="1:18" x14ac:dyDescent="0.25">
      <c r="A934" s="170">
        <v>43377</v>
      </c>
      <c r="B934" s="116">
        <v>472.29500000000002</v>
      </c>
      <c r="C934" s="116">
        <v>468.08499999999998</v>
      </c>
      <c r="D934" s="116">
        <v>455.03250000000003</v>
      </c>
      <c r="E934" s="116">
        <v>467</v>
      </c>
      <c r="F934" s="116">
        <v>9361.7000000000007</v>
      </c>
      <c r="G934">
        <v>8440</v>
      </c>
      <c r="H934" s="116"/>
      <c r="I934" s="116"/>
      <c r="L934" s="170">
        <v>43377</v>
      </c>
      <c r="M934" s="116">
        <v>467.39749999999998</v>
      </c>
      <c r="N934" s="116">
        <v>472.48</v>
      </c>
      <c r="O934" s="116">
        <v>455.69</v>
      </c>
      <c r="P934" s="116">
        <v>459</v>
      </c>
      <c r="Q934" s="116">
        <v>9347.9500000000007</v>
      </c>
      <c r="R934">
        <v>82801</v>
      </c>
    </row>
    <row r="935" spans="1:18" x14ac:dyDescent="0.25">
      <c r="A935" s="170">
        <v>43378</v>
      </c>
      <c r="B935" s="116">
        <v>474.4975</v>
      </c>
      <c r="C935" s="116">
        <v>469.3075</v>
      </c>
      <c r="D935" s="116">
        <v>457.5</v>
      </c>
      <c r="E935" s="116">
        <v>460.2525</v>
      </c>
      <c r="F935" s="116">
        <v>9386.15</v>
      </c>
      <c r="G935">
        <v>6156</v>
      </c>
      <c r="H935" s="116"/>
      <c r="I935" s="116"/>
      <c r="L935" s="170">
        <v>43378</v>
      </c>
      <c r="M935" s="116">
        <v>470.94499999999999</v>
      </c>
      <c r="N935" s="116">
        <v>475</v>
      </c>
      <c r="O935" s="116">
        <v>457.26499999999999</v>
      </c>
      <c r="P935" s="116">
        <v>467</v>
      </c>
      <c r="Q935" s="116">
        <v>9418.9</v>
      </c>
      <c r="R935">
        <v>103232</v>
      </c>
    </row>
    <row r="936" spans="1:18" x14ac:dyDescent="0.25">
      <c r="A936" s="170">
        <v>43381</v>
      </c>
      <c r="B936" s="116">
        <v>474.38749999999999</v>
      </c>
      <c r="C936" s="116">
        <v>469.2525</v>
      </c>
      <c r="D936" s="116">
        <v>462.07499999999999</v>
      </c>
      <c r="E936" s="116">
        <v>470</v>
      </c>
      <c r="F936" s="116">
        <v>9385.0499999999993</v>
      </c>
      <c r="G936">
        <v>5475</v>
      </c>
      <c r="H936" s="116"/>
      <c r="I936" s="116"/>
      <c r="L936" s="170">
        <v>43381</v>
      </c>
      <c r="M936" s="116">
        <v>469.03750000000002</v>
      </c>
      <c r="N936" s="116">
        <v>473.95749999999998</v>
      </c>
      <c r="O936" s="116">
        <v>460.82249999999999</v>
      </c>
      <c r="P936" s="116">
        <v>470.94749999999999</v>
      </c>
      <c r="Q936" s="116">
        <v>9380.75</v>
      </c>
      <c r="R936">
        <v>75687</v>
      </c>
    </row>
    <row r="937" spans="1:18" x14ac:dyDescent="0.25">
      <c r="A937" s="170">
        <v>43382</v>
      </c>
      <c r="B937" s="116">
        <v>479.05</v>
      </c>
      <c r="C937" s="116">
        <v>474.35750000000002</v>
      </c>
      <c r="D937" s="116">
        <v>462.5</v>
      </c>
      <c r="E937" s="116">
        <v>470</v>
      </c>
      <c r="F937" s="116">
        <v>9487.15</v>
      </c>
      <c r="G937">
        <v>4683</v>
      </c>
      <c r="H937" s="116"/>
      <c r="I937" s="116"/>
      <c r="L937" s="170">
        <v>43382</v>
      </c>
      <c r="M937" s="116">
        <v>474.59750000000003</v>
      </c>
      <c r="N937" s="116">
        <v>480.51249999999999</v>
      </c>
      <c r="O937" s="116">
        <v>462.85250000000002</v>
      </c>
      <c r="P937" s="116">
        <v>469.03750000000002</v>
      </c>
      <c r="Q937" s="116">
        <v>9491.9500000000007</v>
      </c>
      <c r="R937">
        <v>81173</v>
      </c>
    </row>
    <row r="938" spans="1:18" x14ac:dyDescent="0.25">
      <c r="A938" s="170">
        <v>43383</v>
      </c>
      <c r="B938" s="116">
        <v>482.5</v>
      </c>
      <c r="C938" s="116">
        <v>476.315</v>
      </c>
      <c r="D938" s="116">
        <v>471.255</v>
      </c>
      <c r="E938" s="116">
        <v>473.3</v>
      </c>
      <c r="F938" s="116">
        <v>9526.2999999999993</v>
      </c>
      <c r="G938">
        <v>6692</v>
      </c>
      <c r="H938" s="116"/>
      <c r="I938" s="116"/>
      <c r="L938" s="170">
        <v>43383</v>
      </c>
      <c r="M938" s="116">
        <v>475.51249999999999</v>
      </c>
      <c r="N938" s="116">
        <v>482.5</v>
      </c>
      <c r="O938" s="116">
        <v>470.38749999999999</v>
      </c>
      <c r="P938" s="116">
        <v>474.0025</v>
      </c>
      <c r="Q938" s="116">
        <v>9510.25</v>
      </c>
      <c r="R938">
        <v>54171</v>
      </c>
    </row>
    <row r="939" spans="1:18" x14ac:dyDescent="0.25">
      <c r="A939" s="170">
        <v>43384</v>
      </c>
      <c r="B939" s="116">
        <v>476</v>
      </c>
      <c r="C939" s="116">
        <v>468.67750000000001</v>
      </c>
      <c r="D939" s="116">
        <v>454.005</v>
      </c>
      <c r="E939" s="116">
        <v>465.05250000000001</v>
      </c>
      <c r="F939" s="116">
        <v>9373.5499999999993</v>
      </c>
      <c r="G939">
        <v>5239</v>
      </c>
      <c r="H939" s="116"/>
      <c r="I939" s="116"/>
      <c r="L939" s="170">
        <v>43384</v>
      </c>
      <c r="M939" s="116">
        <v>469.22</v>
      </c>
      <c r="N939" s="116">
        <v>472.4975</v>
      </c>
      <c r="O939" s="116">
        <v>452.35250000000002</v>
      </c>
      <c r="P939" s="116">
        <v>465</v>
      </c>
      <c r="Q939" s="116">
        <v>9384.4</v>
      </c>
      <c r="R939">
        <v>91371</v>
      </c>
    </row>
    <row r="940" spans="1:18" x14ac:dyDescent="0.25">
      <c r="A940" s="170">
        <v>43385</v>
      </c>
      <c r="B940" s="116">
        <v>487.5</v>
      </c>
      <c r="C940" s="116">
        <v>485.03750000000002</v>
      </c>
      <c r="D940" s="116">
        <v>470.5</v>
      </c>
      <c r="E940" s="116">
        <v>474.95</v>
      </c>
      <c r="F940" s="116">
        <v>9700.75</v>
      </c>
      <c r="G940">
        <v>7095</v>
      </c>
      <c r="H940" s="116"/>
      <c r="I940" s="116"/>
      <c r="L940" s="170">
        <v>43385</v>
      </c>
      <c r="M940" s="116">
        <v>484.99250000000001</v>
      </c>
      <c r="N940" s="116">
        <v>488.97</v>
      </c>
      <c r="O940" s="116">
        <v>471.54500000000002</v>
      </c>
      <c r="P940" s="116">
        <v>473</v>
      </c>
      <c r="Q940" s="116">
        <v>9699.85</v>
      </c>
      <c r="R940">
        <v>106845</v>
      </c>
    </row>
    <row r="941" spans="1:18" x14ac:dyDescent="0.25">
      <c r="A941" s="170">
        <v>43388</v>
      </c>
      <c r="B941" s="116">
        <v>486.20249999999999</v>
      </c>
      <c r="C941" s="116">
        <v>483.32</v>
      </c>
      <c r="D941" s="116">
        <v>477.54750000000001</v>
      </c>
      <c r="E941" s="116">
        <v>486.20249999999999</v>
      </c>
      <c r="F941" s="116">
        <v>9666.4</v>
      </c>
      <c r="G941">
        <v>1848</v>
      </c>
      <c r="H941" s="116"/>
      <c r="I941" s="116"/>
      <c r="L941" s="170">
        <v>43388</v>
      </c>
      <c r="M941" s="116">
        <v>482.79500000000002</v>
      </c>
      <c r="N941" s="116">
        <v>486.5</v>
      </c>
      <c r="O941" s="116">
        <v>477.95</v>
      </c>
      <c r="P941" s="116">
        <v>486.5</v>
      </c>
      <c r="Q941" s="116">
        <v>9655.9</v>
      </c>
      <c r="R941">
        <v>35037</v>
      </c>
    </row>
    <row r="942" spans="1:18" x14ac:dyDescent="0.25">
      <c r="A942" s="170">
        <v>43389</v>
      </c>
      <c r="B942" s="116">
        <v>487.77499999999998</v>
      </c>
      <c r="C942" s="116">
        <v>486.71</v>
      </c>
      <c r="D942" s="116">
        <v>481.82</v>
      </c>
      <c r="E942" s="116">
        <v>483.35</v>
      </c>
      <c r="F942" s="116">
        <v>9734.2000000000007</v>
      </c>
      <c r="G942">
        <v>2382</v>
      </c>
      <c r="H942" s="116"/>
      <c r="I942" s="116"/>
      <c r="L942" s="170">
        <v>43389</v>
      </c>
      <c r="M942" s="116">
        <v>486.875</v>
      </c>
      <c r="N942" s="116">
        <v>488.1825</v>
      </c>
      <c r="O942" s="116">
        <v>481.81</v>
      </c>
      <c r="P942" s="116">
        <v>482.9975</v>
      </c>
      <c r="Q942" s="116">
        <v>9737.5</v>
      </c>
      <c r="R942">
        <v>49375</v>
      </c>
    </row>
    <row r="943" spans="1:18" x14ac:dyDescent="0.25">
      <c r="A943" s="170">
        <v>43390</v>
      </c>
      <c r="B943" s="116">
        <v>493.29250000000002</v>
      </c>
      <c r="C943" s="116">
        <v>486.04</v>
      </c>
      <c r="D943" s="116">
        <v>484.25</v>
      </c>
      <c r="E943" s="116">
        <v>491.01749999999998</v>
      </c>
      <c r="F943" s="116">
        <v>9720.7999999999993</v>
      </c>
      <c r="G943">
        <v>3611</v>
      </c>
      <c r="H943" s="116"/>
      <c r="I943" s="116"/>
      <c r="L943" s="170">
        <v>43390</v>
      </c>
      <c r="M943" s="116">
        <v>486.26749999999998</v>
      </c>
      <c r="N943" s="116">
        <v>493</v>
      </c>
      <c r="O943" s="116">
        <v>484.22</v>
      </c>
      <c r="P943" s="116">
        <v>490</v>
      </c>
      <c r="Q943" s="116">
        <v>9725.35</v>
      </c>
      <c r="R943">
        <v>45581</v>
      </c>
    </row>
    <row r="944" spans="1:18" x14ac:dyDescent="0.25">
      <c r="A944" s="170">
        <v>43392</v>
      </c>
      <c r="B944" s="116">
        <v>483.59750000000003</v>
      </c>
      <c r="C944" s="116">
        <v>480.14</v>
      </c>
      <c r="D944" s="116">
        <v>474.02499999999998</v>
      </c>
      <c r="E944" s="116">
        <v>482.52499999999998</v>
      </c>
      <c r="F944" s="116">
        <v>9602.7999999999993</v>
      </c>
      <c r="G944">
        <v>23672</v>
      </c>
      <c r="H944" s="116"/>
      <c r="I944" s="116"/>
      <c r="L944" s="170">
        <v>43392</v>
      </c>
      <c r="M944" s="116">
        <v>480.45249999999999</v>
      </c>
      <c r="N944" s="116">
        <v>484.75749999999999</v>
      </c>
      <c r="O944" s="116">
        <v>474</v>
      </c>
      <c r="P944" s="116">
        <v>483.81</v>
      </c>
      <c r="Q944" s="116">
        <v>9609.0499999999993</v>
      </c>
      <c r="R944">
        <v>69090</v>
      </c>
    </row>
    <row r="945" spans="1:18" x14ac:dyDescent="0.25">
      <c r="A945" s="170">
        <v>43395</v>
      </c>
      <c r="B945" s="116">
        <v>492.45</v>
      </c>
      <c r="C945" s="116">
        <v>482.32499999999999</v>
      </c>
      <c r="D945" s="116">
        <v>480.03750000000002</v>
      </c>
      <c r="E945" s="116">
        <v>486.5</v>
      </c>
      <c r="F945" s="116">
        <v>9646.5</v>
      </c>
      <c r="G945">
        <v>2110</v>
      </c>
      <c r="H945" s="116"/>
      <c r="I945" s="116"/>
      <c r="L945" s="170">
        <v>43395</v>
      </c>
      <c r="M945" s="116">
        <v>482.05</v>
      </c>
      <c r="N945" s="116">
        <v>487.88749999999999</v>
      </c>
      <c r="O945" s="116">
        <v>481</v>
      </c>
      <c r="P945" s="116">
        <v>485.5</v>
      </c>
      <c r="Q945" s="116">
        <v>9641</v>
      </c>
      <c r="R945">
        <v>114558</v>
      </c>
    </row>
    <row r="946" spans="1:18" x14ac:dyDescent="0.25">
      <c r="A946" s="170">
        <v>43396</v>
      </c>
      <c r="B946" s="116">
        <v>477.23</v>
      </c>
      <c r="C946" s="116">
        <v>467.11750000000001</v>
      </c>
      <c r="D946" s="116">
        <v>460.25</v>
      </c>
      <c r="E946" s="116">
        <v>460.25</v>
      </c>
      <c r="F946" s="116">
        <v>9342.35</v>
      </c>
      <c r="G946">
        <v>6812</v>
      </c>
      <c r="H946" s="116"/>
      <c r="I946" s="116"/>
      <c r="L946" s="170">
        <v>43396</v>
      </c>
      <c r="M946" s="116">
        <v>467.6225</v>
      </c>
      <c r="N946" s="116">
        <v>477.5</v>
      </c>
      <c r="O946" s="116">
        <v>465</v>
      </c>
      <c r="P946" s="116">
        <v>465.07499999999999</v>
      </c>
      <c r="Q946" s="116">
        <v>9352.4500000000007</v>
      </c>
      <c r="R946">
        <v>92419</v>
      </c>
    </row>
    <row r="947" spans="1:18" x14ac:dyDescent="0.25">
      <c r="A947" s="170">
        <v>43397</v>
      </c>
      <c r="B947" s="116">
        <v>480</v>
      </c>
      <c r="C947" s="116">
        <v>476.03500000000003</v>
      </c>
      <c r="D947" s="116">
        <v>467.5</v>
      </c>
      <c r="E947" s="116">
        <v>467.5</v>
      </c>
      <c r="F947" s="116">
        <v>9520.7000000000007</v>
      </c>
      <c r="G947">
        <v>31951</v>
      </c>
      <c r="H947" s="116"/>
      <c r="I947" s="116"/>
      <c r="L947" s="170">
        <v>43397</v>
      </c>
      <c r="M947" s="116">
        <v>476.71</v>
      </c>
      <c r="N947" s="116">
        <v>481.17500000000001</v>
      </c>
      <c r="O947" s="116">
        <v>471.8</v>
      </c>
      <c r="P947" s="116">
        <v>472.0025</v>
      </c>
      <c r="Q947" s="116">
        <v>9534.2000000000007</v>
      </c>
      <c r="R947">
        <v>99288</v>
      </c>
    </row>
    <row r="948" spans="1:18" x14ac:dyDescent="0.25">
      <c r="A948" s="170">
        <v>43398</v>
      </c>
      <c r="B948" s="116">
        <v>479</v>
      </c>
      <c r="C948" s="116">
        <v>475.86500000000001</v>
      </c>
      <c r="D948" s="116">
        <v>471.38749999999999</v>
      </c>
      <c r="E948" s="116">
        <v>474.5</v>
      </c>
      <c r="F948" s="116">
        <v>9517.2999999999993</v>
      </c>
      <c r="G948">
        <v>2786</v>
      </c>
      <c r="H948" s="116"/>
      <c r="I948" s="116"/>
      <c r="L948" s="170">
        <v>43398</v>
      </c>
      <c r="M948" s="116">
        <v>476.91250000000002</v>
      </c>
      <c r="N948" s="116">
        <v>488.4975</v>
      </c>
      <c r="O948" s="116">
        <v>471.22500000000002</v>
      </c>
      <c r="P948" s="116">
        <v>475</v>
      </c>
      <c r="Q948" s="116">
        <v>9538.25</v>
      </c>
      <c r="R948">
        <v>123822</v>
      </c>
    </row>
    <row r="949" spans="1:18" x14ac:dyDescent="0.25">
      <c r="A949" s="170">
        <v>43399</v>
      </c>
      <c r="B949" s="116">
        <v>485</v>
      </c>
      <c r="C949" s="116">
        <v>477.02249999999998</v>
      </c>
      <c r="D949" s="116">
        <v>473.1225</v>
      </c>
      <c r="E949" s="116">
        <v>478.03750000000002</v>
      </c>
      <c r="F949" s="116">
        <v>9540.4500000000007</v>
      </c>
      <c r="G949">
        <v>2825</v>
      </c>
      <c r="H949" s="116"/>
      <c r="I949" s="116"/>
      <c r="L949" s="170">
        <v>43399</v>
      </c>
      <c r="M949" s="116">
        <v>478.47250000000003</v>
      </c>
      <c r="N949" s="116">
        <v>485.5</v>
      </c>
      <c r="O949" s="116">
        <v>473.3775</v>
      </c>
      <c r="P949" s="116">
        <v>479.42500000000001</v>
      </c>
      <c r="Q949" s="116">
        <v>9569.4500000000007</v>
      </c>
      <c r="R949">
        <v>71663</v>
      </c>
    </row>
    <row r="950" spans="1:18" x14ac:dyDescent="0.25">
      <c r="A950" s="170">
        <v>43402</v>
      </c>
      <c r="B950" s="116">
        <v>493.15</v>
      </c>
      <c r="C950" s="116">
        <v>484.8725</v>
      </c>
      <c r="D950" s="116">
        <v>480.5</v>
      </c>
      <c r="E950" s="116">
        <v>490</v>
      </c>
      <c r="F950" s="116">
        <v>9697.4500000000007</v>
      </c>
      <c r="G950">
        <v>11055</v>
      </c>
      <c r="H950" s="116"/>
      <c r="I950" s="116"/>
      <c r="L950" s="170">
        <v>43402</v>
      </c>
      <c r="M950" s="116">
        <v>484.15750000000003</v>
      </c>
      <c r="N950" s="116">
        <v>493.04</v>
      </c>
      <c r="O950" s="116">
        <v>480</v>
      </c>
      <c r="P950" s="116">
        <v>487.95</v>
      </c>
      <c r="Q950" s="116">
        <v>9683.15</v>
      </c>
      <c r="R950">
        <v>239463</v>
      </c>
    </row>
    <row r="951" spans="1:18" x14ac:dyDescent="0.25">
      <c r="A951" s="170">
        <v>43403</v>
      </c>
      <c r="B951" s="116">
        <v>488.08249999999998</v>
      </c>
      <c r="C951" s="116">
        <v>485.6275</v>
      </c>
      <c r="D951" s="116">
        <v>481.43</v>
      </c>
      <c r="E951" s="116">
        <v>487</v>
      </c>
      <c r="F951" s="116">
        <v>9712.5499999999993</v>
      </c>
      <c r="G951">
        <v>10086</v>
      </c>
      <c r="H951" s="116"/>
      <c r="I951" s="116"/>
      <c r="L951" s="170">
        <v>43403</v>
      </c>
      <c r="M951" s="116">
        <v>485.92250000000001</v>
      </c>
      <c r="N951" s="116">
        <v>488.2475</v>
      </c>
      <c r="O951" s="116">
        <v>480.625</v>
      </c>
      <c r="P951" s="116">
        <v>484.4</v>
      </c>
      <c r="Q951" s="116">
        <v>9718.4500000000007</v>
      </c>
      <c r="R951">
        <v>62706</v>
      </c>
    </row>
    <row r="952" spans="1:18" x14ac:dyDescent="0.25">
      <c r="A952" s="170">
        <v>43404</v>
      </c>
      <c r="B952" s="116">
        <v>507.25</v>
      </c>
      <c r="C952" s="116">
        <v>506.10500000000002</v>
      </c>
      <c r="D952" s="116">
        <v>486.67</v>
      </c>
      <c r="E952" s="116">
        <v>487</v>
      </c>
      <c r="F952" s="116">
        <v>10122.1</v>
      </c>
      <c r="G952">
        <v>9033</v>
      </c>
      <c r="H952" s="116"/>
      <c r="I952" s="116"/>
      <c r="L952" s="170">
        <v>43404</v>
      </c>
      <c r="M952" s="116">
        <v>507.39249999999998</v>
      </c>
      <c r="N952" s="116">
        <v>509.91500000000002</v>
      </c>
      <c r="O952" s="116">
        <v>486.25</v>
      </c>
      <c r="P952" s="116">
        <v>490</v>
      </c>
      <c r="Q952" s="116">
        <v>10147.85</v>
      </c>
      <c r="R952">
        <v>162484</v>
      </c>
    </row>
    <row r="953" spans="1:18" x14ac:dyDescent="0.25">
      <c r="A953" s="170">
        <v>43405</v>
      </c>
      <c r="B953" s="116">
        <v>516.45000000000005</v>
      </c>
      <c r="C953" s="116">
        <v>497.80250000000001</v>
      </c>
      <c r="D953" s="116">
        <v>495.1</v>
      </c>
      <c r="E953" s="116">
        <v>516.45000000000005</v>
      </c>
      <c r="F953" s="116">
        <v>9956.0499999999993</v>
      </c>
      <c r="G953">
        <v>3647</v>
      </c>
      <c r="H953" s="116"/>
      <c r="I953" s="116"/>
      <c r="L953" s="170">
        <v>43405</v>
      </c>
      <c r="M953" s="116">
        <v>498.47500000000002</v>
      </c>
      <c r="N953" s="116">
        <v>515.78</v>
      </c>
      <c r="O953" s="116">
        <v>495.17500000000001</v>
      </c>
      <c r="P953" s="116">
        <v>511.95</v>
      </c>
      <c r="Q953" s="116">
        <v>9969.5</v>
      </c>
      <c r="R953">
        <v>77413</v>
      </c>
    </row>
    <row r="954" spans="1:18" x14ac:dyDescent="0.25">
      <c r="A954" s="170">
        <v>43406</v>
      </c>
      <c r="B954" s="116">
        <v>516.45000000000005</v>
      </c>
      <c r="C954" s="116">
        <v>511.505</v>
      </c>
      <c r="D954" s="116">
        <v>499.6825</v>
      </c>
      <c r="E954" s="116">
        <v>502.08749999999998</v>
      </c>
      <c r="F954" s="116">
        <v>10230.1</v>
      </c>
      <c r="G954">
        <v>20821</v>
      </c>
      <c r="H954" s="116"/>
      <c r="I954" s="116"/>
      <c r="L954" s="170">
        <v>43406</v>
      </c>
      <c r="M954" s="116">
        <v>511.48250000000002</v>
      </c>
      <c r="N954" s="116">
        <v>517.45000000000005</v>
      </c>
      <c r="O954" s="116">
        <v>499.5025</v>
      </c>
      <c r="P954" s="116">
        <v>503.495</v>
      </c>
      <c r="Q954" s="116">
        <v>10229.65</v>
      </c>
      <c r="R954">
        <v>91546</v>
      </c>
    </row>
    <row r="955" spans="1:18" x14ac:dyDescent="0.25">
      <c r="A955" s="170">
        <v>43409</v>
      </c>
      <c r="B955" s="116">
        <v>519.75</v>
      </c>
      <c r="C955" s="116">
        <v>516.07000000000005</v>
      </c>
      <c r="D955" s="116">
        <v>511.5</v>
      </c>
      <c r="E955" s="116">
        <v>511.72500000000002</v>
      </c>
      <c r="F955" s="116">
        <v>10321.4</v>
      </c>
      <c r="G955">
        <v>3045</v>
      </c>
      <c r="H955" s="116"/>
      <c r="I955" s="116"/>
      <c r="L955" s="170">
        <v>43409</v>
      </c>
      <c r="M955" s="116">
        <v>516.63250000000005</v>
      </c>
      <c r="N955" s="116">
        <v>520</v>
      </c>
      <c r="O955" s="116">
        <v>508.15249999999997</v>
      </c>
      <c r="P955" s="116">
        <v>511.72500000000002</v>
      </c>
      <c r="Q955" s="116">
        <v>10332.65</v>
      </c>
      <c r="R955">
        <v>60163</v>
      </c>
    </row>
    <row r="956" spans="1:18" x14ac:dyDescent="0.25">
      <c r="A956" s="170">
        <v>43410</v>
      </c>
      <c r="B956" s="116">
        <v>520.36749999999995</v>
      </c>
      <c r="C956" s="116">
        <v>508.4425</v>
      </c>
      <c r="D956" s="116">
        <v>504.51249999999999</v>
      </c>
      <c r="E956" s="116">
        <v>517.5</v>
      </c>
      <c r="F956" s="116">
        <v>10168.85</v>
      </c>
      <c r="G956">
        <v>11866</v>
      </c>
      <c r="H956" s="116"/>
      <c r="I956" s="116"/>
      <c r="L956" s="170">
        <v>43410</v>
      </c>
      <c r="M956" s="116">
        <v>508.01249999999999</v>
      </c>
      <c r="N956" s="116">
        <v>521.10500000000002</v>
      </c>
      <c r="O956" s="116">
        <v>504.065</v>
      </c>
      <c r="P956" s="116">
        <v>516.75250000000005</v>
      </c>
      <c r="Q956" s="116">
        <v>10160.25</v>
      </c>
      <c r="R956">
        <v>39829</v>
      </c>
    </row>
    <row r="957" spans="1:18" x14ac:dyDescent="0.25">
      <c r="A957" s="170">
        <v>43411</v>
      </c>
      <c r="B957" s="116">
        <v>512.79999999999995</v>
      </c>
      <c r="C957" s="116">
        <v>511.79750000000001</v>
      </c>
      <c r="D957" s="116">
        <v>505.0025</v>
      </c>
      <c r="E957" s="116">
        <v>508.4</v>
      </c>
      <c r="F957" s="116">
        <v>10235.950000000001</v>
      </c>
      <c r="G957">
        <v>522</v>
      </c>
      <c r="H957" s="116"/>
      <c r="I957" s="116"/>
      <c r="L957" s="170">
        <v>43411</v>
      </c>
      <c r="M957" s="116">
        <v>511.02</v>
      </c>
      <c r="N957" s="116">
        <v>512.50250000000005</v>
      </c>
      <c r="O957" s="116">
        <v>507.51249999999999</v>
      </c>
      <c r="P957" s="116">
        <v>512.5</v>
      </c>
      <c r="Q957" s="116">
        <v>10220.4</v>
      </c>
      <c r="R957">
        <v>3465</v>
      </c>
    </row>
    <row r="958" spans="1:18" x14ac:dyDescent="0.25">
      <c r="A958" s="170">
        <v>43413</v>
      </c>
      <c r="B958" s="116">
        <v>518.57000000000005</v>
      </c>
      <c r="C958" s="116">
        <v>511.20249999999999</v>
      </c>
      <c r="D958" s="116">
        <v>508</v>
      </c>
      <c r="E958" s="116">
        <v>513.70249999999999</v>
      </c>
      <c r="F958" s="116">
        <v>10224.049999999999</v>
      </c>
      <c r="G958">
        <v>1425</v>
      </c>
      <c r="H958" s="116"/>
      <c r="I958" s="116"/>
      <c r="L958" s="170">
        <v>43413</v>
      </c>
      <c r="M958" s="116">
        <v>511.3</v>
      </c>
      <c r="N958" s="116">
        <v>518.75</v>
      </c>
      <c r="O958" s="116">
        <v>507.66500000000002</v>
      </c>
      <c r="P958" s="116">
        <v>514.20000000000005</v>
      </c>
      <c r="Q958" s="116">
        <v>10226</v>
      </c>
      <c r="R958">
        <v>55600</v>
      </c>
    </row>
    <row r="959" spans="1:18" x14ac:dyDescent="0.25">
      <c r="A959" s="170">
        <v>43416</v>
      </c>
      <c r="B959" s="116">
        <v>516.98500000000001</v>
      </c>
      <c r="C959" s="116">
        <v>505.82499999999999</v>
      </c>
      <c r="D959" s="116">
        <v>503.45499999999998</v>
      </c>
      <c r="E959" s="116">
        <v>514.95000000000005</v>
      </c>
      <c r="F959" s="116">
        <v>10116.5</v>
      </c>
      <c r="G959">
        <v>27192</v>
      </c>
      <c r="H959" s="116"/>
      <c r="I959" s="116"/>
      <c r="L959" s="170">
        <v>43416</v>
      </c>
      <c r="M959" s="116">
        <v>506.22750000000002</v>
      </c>
      <c r="N959" s="116">
        <v>517.5</v>
      </c>
      <c r="O959" s="116">
        <v>504.39249999999998</v>
      </c>
      <c r="P959" s="116">
        <v>512.49249999999995</v>
      </c>
      <c r="Q959" s="116">
        <v>10124.549999999999</v>
      </c>
      <c r="R959">
        <v>36475</v>
      </c>
    </row>
    <row r="960" spans="1:18" x14ac:dyDescent="0.25">
      <c r="A960" s="170">
        <v>43417</v>
      </c>
      <c r="B960" s="116">
        <v>511.78250000000003</v>
      </c>
      <c r="C960" s="116">
        <v>508.27249999999998</v>
      </c>
      <c r="D960" s="116">
        <v>504.82</v>
      </c>
      <c r="E960" s="116">
        <v>507.01499999999999</v>
      </c>
      <c r="F960" s="116">
        <v>10165.450000000001</v>
      </c>
      <c r="G960">
        <v>2397</v>
      </c>
      <c r="H960" s="116"/>
      <c r="I960" s="116"/>
      <c r="L960" s="170">
        <v>43417</v>
      </c>
      <c r="M960" s="116">
        <v>507.20499999999998</v>
      </c>
      <c r="N960" s="116">
        <v>511.90499999999997</v>
      </c>
      <c r="O960" s="116">
        <v>503.98250000000002</v>
      </c>
      <c r="P960" s="116">
        <v>506.75</v>
      </c>
      <c r="Q960" s="116">
        <v>10144.1</v>
      </c>
      <c r="R960">
        <v>20798</v>
      </c>
    </row>
    <row r="961" spans="1:18" x14ac:dyDescent="0.25">
      <c r="A961" s="170">
        <v>43418</v>
      </c>
      <c r="B961" s="116">
        <v>522.4</v>
      </c>
      <c r="C961" s="116">
        <v>519.29750000000001</v>
      </c>
      <c r="D961" s="116">
        <v>507.94749999999999</v>
      </c>
      <c r="E961" s="116">
        <v>511.39249999999998</v>
      </c>
      <c r="F961" s="116">
        <v>10385.950000000001</v>
      </c>
      <c r="G961">
        <v>7380</v>
      </c>
      <c r="H961" s="116"/>
      <c r="I961" s="116"/>
      <c r="L961" s="170">
        <v>43418</v>
      </c>
      <c r="M961" s="116">
        <v>519.71749999999997</v>
      </c>
      <c r="N961" s="116">
        <v>522.00250000000005</v>
      </c>
      <c r="O961" s="116">
        <v>507.8</v>
      </c>
      <c r="P961" s="116">
        <v>507.8</v>
      </c>
      <c r="Q961" s="116">
        <v>10394.35</v>
      </c>
      <c r="R961">
        <v>89492</v>
      </c>
    </row>
    <row r="962" spans="1:18" x14ac:dyDescent="0.25">
      <c r="A962" s="170">
        <v>43419</v>
      </c>
      <c r="B962" s="116">
        <v>524.30499999999995</v>
      </c>
      <c r="C962" s="116">
        <v>522.39</v>
      </c>
      <c r="D962" s="116">
        <v>516.70000000000005</v>
      </c>
      <c r="E962" s="116">
        <v>520.91499999999996</v>
      </c>
      <c r="F962" s="116">
        <v>10447.799999999999</v>
      </c>
      <c r="G962">
        <v>4594</v>
      </c>
      <c r="H962" s="116"/>
      <c r="I962" s="116"/>
      <c r="L962" s="170">
        <v>43419</v>
      </c>
      <c r="M962" s="116">
        <v>523.19000000000005</v>
      </c>
      <c r="N962" s="116">
        <v>525.85500000000002</v>
      </c>
      <c r="O962" s="116">
        <v>515.755</v>
      </c>
      <c r="P962" s="116">
        <v>519.72</v>
      </c>
      <c r="Q962" s="116">
        <v>10463.799999999999</v>
      </c>
      <c r="R962">
        <v>93404</v>
      </c>
    </row>
    <row r="963" spans="1:18" x14ac:dyDescent="0.25">
      <c r="A963" s="170">
        <v>43420</v>
      </c>
      <c r="B963" s="116">
        <v>534.745</v>
      </c>
      <c r="C963" s="116">
        <v>532.75250000000005</v>
      </c>
      <c r="D963" s="116">
        <v>519.75</v>
      </c>
      <c r="E963" s="116">
        <v>525</v>
      </c>
      <c r="F963" s="116">
        <v>10655.05</v>
      </c>
      <c r="G963">
        <v>4971</v>
      </c>
      <c r="H963" s="116"/>
      <c r="I963" s="116"/>
      <c r="L963" s="170">
        <v>43420</v>
      </c>
      <c r="M963" s="116">
        <v>534.36249999999995</v>
      </c>
      <c r="N963" s="116">
        <v>536.75</v>
      </c>
      <c r="O963" s="116">
        <v>523.78250000000003</v>
      </c>
      <c r="P963" s="116">
        <v>525</v>
      </c>
      <c r="Q963" s="116">
        <v>10687.25</v>
      </c>
      <c r="R963">
        <v>114490</v>
      </c>
    </row>
    <row r="964" spans="1:18" x14ac:dyDescent="0.25">
      <c r="A964" s="170">
        <v>43423</v>
      </c>
      <c r="B964" s="116">
        <v>538.85</v>
      </c>
      <c r="C964" s="116">
        <v>517.98</v>
      </c>
      <c r="D964" s="116">
        <v>508.24250000000001</v>
      </c>
      <c r="E964" s="116">
        <v>533.54999999999995</v>
      </c>
      <c r="F964" s="116">
        <v>10359.6</v>
      </c>
      <c r="G964">
        <v>3561</v>
      </c>
      <c r="H964" s="116"/>
      <c r="I964" s="116"/>
      <c r="L964" s="170">
        <v>43423</v>
      </c>
      <c r="M964" s="116">
        <v>517.13250000000005</v>
      </c>
      <c r="N964" s="116">
        <v>539.94500000000005</v>
      </c>
      <c r="O964" s="116">
        <v>506.92750000000001</v>
      </c>
      <c r="P964" s="116">
        <v>539.29999999999995</v>
      </c>
      <c r="Q964" s="116">
        <v>10342.65</v>
      </c>
      <c r="R964">
        <v>143391</v>
      </c>
    </row>
    <row r="965" spans="1:18" x14ac:dyDescent="0.25">
      <c r="A965" s="170">
        <v>43424</v>
      </c>
      <c r="B965" s="116">
        <v>525.00250000000005</v>
      </c>
      <c r="C965" s="116">
        <v>512.45000000000005</v>
      </c>
      <c r="D965" s="116">
        <v>508.5</v>
      </c>
      <c r="E965" s="116">
        <v>524.94500000000005</v>
      </c>
      <c r="F965" s="116">
        <v>10249</v>
      </c>
      <c r="G965">
        <v>4656</v>
      </c>
      <c r="H965" s="116"/>
      <c r="I965" s="116"/>
      <c r="L965" s="170">
        <v>43424</v>
      </c>
      <c r="M965" s="116">
        <v>512.73249999999996</v>
      </c>
      <c r="N965" s="116">
        <v>525.44000000000005</v>
      </c>
      <c r="O965" s="116">
        <v>508.6</v>
      </c>
      <c r="P965" s="116">
        <v>519.20000000000005</v>
      </c>
      <c r="Q965" s="116">
        <v>10254.65</v>
      </c>
      <c r="R965">
        <v>52173</v>
      </c>
    </row>
    <row r="966" spans="1:18" x14ac:dyDescent="0.25">
      <c r="A966" s="170">
        <v>43425</v>
      </c>
      <c r="B966" s="116">
        <v>517.07249999999999</v>
      </c>
      <c r="C966" s="116">
        <v>512.87</v>
      </c>
      <c r="D966" s="116">
        <v>509.76249999999999</v>
      </c>
      <c r="E966" s="116">
        <v>513.3125</v>
      </c>
      <c r="F966" s="116">
        <v>10257.4</v>
      </c>
      <c r="G966">
        <v>1076</v>
      </c>
      <c r="H966" s="116"/>
      <c r="I966" s="116"/>
      <c r="L966" s="170">
        <v>43425</v>
      </c>
      <c r="M966" s="116">
        <v>511.91500000000002</v>
      </c>
      <c r="N966" s="116">
        <v>517.45000000000005</v>
      </c>
      <c r="O966" s="116">
        <v>509.0575</v>
      </c>
      <c r="P966" s="116">
        <v>515</v>
      </c>
      <c r="Q966" s="116">
        <v>10238.299999999999</v>
      </c>
      <c r="R966">
        <v>41562</v>
      </c>
    </row>
    <row r="967" spans="1:18" x14ac:dyDescent="0.25">
      <c r="A967" s="170">
        <v>43426</v>
      </c>
      <c r="B967" s="116">
        <v>522.42999999999995</v>
      </c>
      <c r="C967" s="116">
        <v>515.65</v>
      </c>
      <c r="D967" s="116">
        <v>511.91750000000002</v>
      </c>
      <c r="E967" s="116">
        <v>513.5</v>
      </c>
      <c r="F967" s="116">
        <v>10313</v>
      </c>
      <c r="G967">
        <v>2322</v>
      </c>
      <c r="H967" s="116"/>
      <c r="I967" s="116"/>
      <c r="L967" s="170">
        <v>43426</v>
      </c>
      <c r="M967" s="116">
        <v>515.16250000000002</v>
      </c>
      <c r="N967" s="116">
        <v>522.43499999999995</v>
      </c>
      <c r="O967" s="116">
        <v>511.005</v>
      </c>
      <c r="P967" s="116">
        <v>515.34500000000003</v>
      </c>
      <c r="Q967" s="116">
        <v>10303.25</v>
      </c>
      <c r="R967">
        <v>50964</v>
      </c>
    </row>
    <row r="968" spans="1:18" x14ac:dyDescent="0.25">
      <c r="A968" s="170">
        <v>43430</v>
      </c>
      <c r="B968" s="116">
        <v>526.9</v>
      </c>
      <c r="C968" s="116">
        <v>522.49249999999995</v>
      </c>
      <c r="D968" s="116">
        <v>515.04499999999996</v>
      </c>
      <c r="E968" s="116">
        <v>517.91</v>
      </c>
      <c r="F968" s="116">
        <v>10449.85</v>
      </c>
      <c r="G968">
        <v>34056</v>
      </c>
      <c r="H968" s="116"/>
      <c r="I968" s="116"/>
      <c r="L968" s="170">
        <v>43430</v>
      </c>
      <c r="M968" s="116">
        <v>522.66250000000002</v>
      </c>
      <c r="N968" s="116">
        <v>524.5</v>
      </c>
      <c r="O968" s="116">
        <v>516.25</v>
      </c>
      <c r="P968" s="116">
        <v>516.25</v>
      </c>
      <c r="Q968" s="116">
        <v>10453.25</v>
      </c>
      <c r="R968">
        <v>46014</v>
      </c>
    </row>
    <row r="969" spans="1:18" x14ac:dyDescent="0.25">
      <c r="A969" s="170">
        <v>43431</v>
      </c>
      <c r="B969" s="116">
        <v>530</v>
      </c>
      <c r="C969" s="116">
        <v>525.9375</v>
      </c>
      <c r="D969" s="116">
        <v>514.22749999999996</v>
      </c>
      <c r="E969" s="116">
        <v>522.5</v>
      </c>
      <c r="F969" s="116">
        <v>10518.75</v>
      </c>
      <c r="G969">
        <v>2908</v>
      </c>
      <c r="H969" s="116"/>
      <c r="I969" s="116"/>
      <c r="L969" s="170">
        <v>43431</v>
      </c>
      <c r="M969" s="116">
        <v>525.91999999999996</v>
      </c>
      <c r="N969" s="116">
        <v>528.15499999999997</v>
      </c>
      <c r="O969" s="116">
        <v>518.5</v>
      </c>
      <c r="P969" s="116">
        <v>522.5</v>
      </c>
      <c r="Q969" s="116">
        <v>10518.4</v>
      </c>
      <c r="R969">
        <v>38216</v>
      </c>
    </row>
    <row r="970" spans="1:18" x14ac:dyDescent="0.25">
      <c r="A970" s="170">
        <v>43432</v>
      </c>
      <c r="B970" s="116">
        <v>537.28750000000002</v>
      </c>
      <c r="C970" s="116">
        <v>535.10249999999996</v>
      </c>
      <c r="D970" s="116">
        <v>526.25</v>
      </c>
      <c r="E970" s="116">
        <v>526.25</v>
      </c>
      <c r="F970" s="116">
        <v>10702.05</v>
      </c>
      <c r="G970">
        <v>51322</v>
      </c>
      <c r="H970" s="116"/>
      <c r="I970" s="116"/>
      <c r="L970" s="170">
        <v>43432</v>
      </c>
      <c r="M970" s="116">
        <v>534.93499999999995</v>
      </c>
      <c r="N970" s="116">
        <v>536.95000000000005</v>
      </c>
      <c r="O970" s="116">
        <v>527.17250000000001</v>
      </c>
      <c r="P970" s="116">
        <v>529</v>
      </c>
      <c r="Q970" s="116">
        <v>10698.7</v>
      </c>
      <c r="R970">
        <v>88968</v>
      </c>
    </row>
    <row r="971" spans="1:18" x14ac:dyDescent="0.25">
      <c r="A971" s="170">
        <v>43433</v>
      </c>
      <c r="B971" s="116">
        <v>537.9</v>
      </c>
      <c r="C971" s="116">
        <v>530.17750000000001</v>
      </c>
      <c r="D971" s="116">
        <v>520</v>
      </c>
      <c r="E971" s="116">
        <v>537.9</v>
      </c>
      <c r="F971" s="116">
        <v>10603.55</v>
      </c>
      <c r="G971">
        <v>39727</v>
      </c>
      <c r="H971" s="116"/>
      <c r="I971" s="116"/>
      <c r="L971" s="170">
        <v>43433</v>
      </c>
      <c r="M971" s="116">
        <v>530.32249999999999</v>
      </c>
      <c r="N971" s="116">
        <v>538.85</v>
      </c>
      <c r="O971" s="116">
        <v>519.35</v>
      </c>
      <c r="P971" s="116">
        <v>538.85</v>
      </c>
      <c r="Q971" s="116">
        <v>10606.45</v>
      </c>
      <c r="R971">
        <v>178126</v>
      </c>
    </row>
    <row r="972" spans="1:18" x14ac:dyDescent="0.25">
      <c r="A972" s="170">
        <v>43434</v>
      </c>
      <c r="B972" s="116">
        <v>540</v>
      </c>
      <c r="C972" s="116">
        <v>535.94749999999999</v>
      </c>
      <c r="D972" s="116">
        <v>529.76</v>
      </c>
      <c r="E972" s="116">
        <v>533</v>
      </c>
      <c r="F972" s="116">
        <v>10718.95</v>
      </c>
      <c r="G972">
        <v>4339</v>
      </c>
      <c r="H972" s="116"/>
      <c r="I972" s="116"/>
      <c r="L972" s="170">
        <v>43434</v>
      </c>
      <c r="M972" s="116">
        <v>538.24249999999995</v>
      </c>
      <c r="N972" s="116">
        <v>544.52</v>
      </c>
      <c r="O972" s="116">
        <v>529.73249999999996</v>
      </c>
      <c r="P972" s="116">
        <v>535</v>
      </c>
      <c r="Q972" s="116">
        <v>10764.85</v>
      </c>
      <c r="R972">
        <v>71175</v>
      </c>
    </row>
    <row r="973" spans="1:18" x14ac:dyDescent="0.25">
      <c r="A973" s="170">
        <v>43437</v>
      </c>
      <c r="B973" s="116">
        <v>541.08500000000004</v>
      </c>
      <c r="C973" s="116">
        <v>537.33249999999998</v>
      </c>
      <c r="D973" s="116">
        <v>532.4425</v>
      </c>
      <c r="E973" s="116">
        <v>540.45500000000004</v>
      </c>
      <c r="F973" s="116">
        <v>10746.65</v>
      </c>
      <c r="G973">
        <v>1970</v>
      </c>
      <c r="H973" s="116"/>
      <c r="I973" s="116"/>
      <c r="L973" s="170">
        <v>43437</v>
      </c>
      <c r="M973" s="116">
        <v>537.28250000000003</v>
      </c>
      <c r="N973" s="116">
        <v>543.44749999999999</v>
      </c>
      <c r="O973" s="116">
        <v>532.25</v>
      </c>
      <c r="P973" s="116">
        <v>540.96</v>
      </c>
      <c r="Q973" s="116">
        <v>10745.65</v>
      </c>
      <c r="R973">
        <v>65561</v>
      </c>
    </row>
    <row r="974" spans="1:18" x14ac:dyDescent="0.25">
      <c r="A974" s="170">
        <v>43438</v>
      </c>
      <c r="B974" s="116">
        <v>538</v>
      </c>
      <c r="C974" s="116">
        <v>529.48249999999996</v>
      </c>
      <c r="D974" s="116">
        <v>528.02</v>
      </c>
      <c r="E974" s="116">
        <v>537.79</v>
      </c>
      <c r="F974" s="116">
        <v>10589.65</v>
      </c>
      <c r="G974">
        <v>1112</v>
      </c>
      <c r="H974" s="116"/>
      <c r="I974" s="116"/>
      <c r="L974" s="170">
        <v>43438</v>
      </c>
      <c r="M974" s="116">
        <v>529.45000000000005</v>
      </c>
      <c r="N974" s="116">
        <v>539.15499999999997</v>
      </c>
      <c r="O974" s="116">
        <v>527.79999999999995</v>
      </c>
      <c r="P974" s="116">
        <v>536.26</v>
      </c>
      <c r="Q974" s="116">
        <v>10589</v>
      </c>
      <c r="R974">
        <v>51632</v>
      </c>
    </row>
    <row r="975" spans="1:18" x14ac:dyDescent="0.25">
      <c r="A975" s="170">
        <v>43439</v>
      </c>
      <c r="B975" s="116">
        <v>528.14750000000004</v>
      </c>
      <c r="C975" s="116">
        <v>524.22749999999996</v>
      </c>
      <c r="D975" s="116">
        <v>522.31500000000005</v>
      </c>
      <c r="E975" s="116">
        <v>527.96249999999998</v>
      </c>
      <c r="F975" s="116">
        <v>10484.549999999999</v>
      </c>
      <c r="G975">
        <v>1295</v>
      </c>
      <c r="H975" s="116"/>
      <c r="I975" s="116"/>
      <c r="L975" s="170">
        <v>43439</v>
      </c>
      <c r="M975" s="116">
        <v>524.42250000000001</v>
      </c>
      <c r="N975" s="116">
        <v>529.45000000000005</v>
      </c>
      <c r="O975" s="116">
        <v>522</v>
      </c>
      <c r="P975" s="116">
        <v>527.5</v>
      </c>
      <c r="Q975" s="116">
        <v>10488.45</v>
      </c>
      <c r="R975">
        <v>85798</v>
      </c>
    </row>
    <row r="976" spans="1:18" x14ac:dyDescent="0.25">
      <c r="A976" s="170">
        <v>43440</v>
      </c>
      <c r="B976" s="116">
        <v>522</v>
      </c>
      <c r="C976" s="116">
        <v>515.21500000000003</v>
      </c>
      <c r="D976" s="116">
        <v>512.29750000000001</v>
      </c>
      <c r="E976" s="116">
        <v>522</v>
      </c>
      <c r="F976" s="116">
        <v>10304.299999999999</v>
      </c>
      <c r="G976">
        <v>2244</v>
      </c>
      <c r="H976" s="116"/>
      <c r="I976" s="116"/>
      <c r="L976" s="170">
        <v>43440</v>
      </c>
      <c r="M976" s="116">
        <v>515.46749999999997</v>
      </c>
      <c r="N976" s="116">
        <v>522.41</v>
      </c>
      <c r="O976" s="116">
        <v>511.6</v>
      </c>
      <c r="P976" s="116">
        <v>522.41</v>
      </c>
      <c r="Q976" s="116">
        <v>10309.35</v>
      </c>
      <c r="R976">
        <v>43562</v>
      </c>
    </row>
    <row r="977" spans="1:18" x14ac:dyDescent="0.25">
      <c r="A977" s="170">
        <v>43441</v>
      </c>
      <c r="B977" s="116">
        <v>526.5</v>
      </c>
      <c r="C977" s="116">
        <v>520.13750000000005</v>
      </c>
      <c r="D977" s="116">
        <v>518.71500000000003</v>
      </c>
      <c r="E977" s="116">
        <v>521.65</v>
      </c>
      <c r="F977" s="116">
        <v>10402.75</v>
      </c>
      <c r="G977">
        <v>6351</v>
      </c>
      <c r="H977" s="116"/>
      <c r="I977" s="116"/>
      <c r="L977" s="170">
        <v>43441</v>
      </c>
      <c r="M977" s="116">
        <v>520.23</v>
      </c>
      <c r="N977" s="116">
        <v>526.99749999999995</v>
      </c>
      <c r="O977" s="116">
        <v>516.5</v>
      </c>
      <c r="P977" s="116">
        <v>516.5</v>
      </c>
      <c r="Q977" s="116">
        <v>10404.6</v>
      </c>
      <c r="R977">
        <v>57802</v>
      </c>
    </row>
    <row r="978" spans="1:18" x14ac:dyDescent="0.25">
      <c r="A978" s="170">
        <v>43444</v>
      </c>
      <c r="B978" s="116">
        <v>521.43499999999995</v>
      </c>
      <c r="C978" s="116">
        <v>519.00250000000005</v>
      </c>
      <c r="D978" s="116">
        <v>513.95249999999999</v>
      </c>
      <c r="E978" s="116">
        <v>519.95000000000005</v>
      </c>
      <c r="F978" s="116">
        <v>10380.049999999999</v>
      </c>
      <c r="G978">
        <v>3705</v>
      </c>
      <c r="H978" s="116"/>
      <c r="I978" s="116"/>
      <c r="L978" s="170">
        <v>43444</v>
      </c>
      <c r="M978" s="116">
        <v>519.94500000000005</v>
      </c>
      <c r="N978" s="116">
        <v>521.94500000000005</v>
      </c>
      <c r="O978" s="116">
        <v>513.75250000000005</v>
      </c>
      <c r="P978" s="116">
        <v>515</v>
      </c>
      <c r="Q978" s="116">
        <v>10398.9</v>
      </c>
      <c r="R978">
        <v>94778</v>
      </c>
    </row>
    <row r="979" spans="1:18" x14ac:dyDescent="0.25">
      <c r="A979" s="170">
        <v>43445</v>
      </c>
      <c r="B979" s="116">
        <v>539.91750000000002</v>
      </c>
      <c r="C979" s="116">
        <v>531.66499999999996</v>
      </c>
      <c r="D979" s="116">
        <v>516.96</v>
      </c>
      <c r="E979" s="116">
        <v>519</v>
      </c>
      <c r="F979" s="116">
        <v>10633.3</v>
      </c>
      <c r="G979">
        <v>3496</v>
      </c>
      <c r="H979" s="116"/>
      <c r="I979" s="116"/>
      <c r="L979" s="170">
        <v>43445</v>
      </c>
      <c r="M979" s="116">
        <v>531.72749999999996</v>
      </c>
      <c r="N979" s="116">
        <v>539.95000000000005</v>
      </c>
      <c r="O979" s="116">
        <v>516.11500000000001</v>
      </c>
      <c r="P979" s="116">
        <v>517.85</v>
      </c>
      <c r="Q979" s="116">
        <v>10634.55</v>
      </c>
      <c r="R979">
        <v>54766</v>
      </c>
    </row>
    <row r="980" spans="1:18" x14ac:dyDescent="0.25">
      <c r="A980" s="170">
        <v>43446</v>
      </c>
      <c r="B980" s="116">
        <v>543.77499999999998</v>
      </c>
      <c r="C980" s="116">
        <v>541.3075</v>
      </c>
      <c r="D980" s="116">
        <v>530.13250000000005</v>
      </c>
      <c r="E980" s="116">
        <v>530.15</v>
      </c>
      <c r="F980" s="116">
        <v>10826.15</v>
      </c>
      <c r="G980">
        <v>2552</v>
      </c>
      <c r="H980" s="116"/>
      <c r="I980" s="116"/>
      <c r="L980" s="170">
        <v>43446</v>
      </c>
      <c r="M980" s="116">
        <v>542.23749999999995</v>
      </c>
      <c r="N980" s="116">
        <v>544.75</v>
      </c>
      <c r="O980" s="116">
        <v>529.19749999999999</v>
      </c>
      <c r="P980" s="116">
        <v>531.76</v>
      </c>
      <c r="Q980" s="116">
        <v>10844.75</v>
      </c>
      <c r="R980">
        <v>90657</v>
      </c>
    </row>
    <row r="981" spans="1:18" x14ac:dyDescent="0.25">
      <c r="A981" s="170">
        <v>43447</v>
      </c>
      <c r="B981" s="116">
        <v>559.54999999999995</v>
      </c>
      <c r="C981" s="116">
        <v>549.52499999999998</v>
      </c>
      <c r="D981" s="116">
        <v>544.95000000000005</v>
      </c>
      <c r="E981" s="116">
        <v>545.15</v>
      </c>
      <c r="F981" s="116">
        <v>10990.5</v>
      </c>
      <c r="G981">
        <v>4091</v>
      </c>
      <c r="H981" s="116"/>
      <c r="I981" s="116"/>
      <c r="L981" s="170">
        <v>43447</v>
      </c>
      <c r="M981" s="116">
        <v>549.82749999999999</v>
      </c>
      <c r="N981" s="116">
        <v>559.91750000000002</v>
      </c>
      <c r="O981" s="116">
        <v>544.5</v>
      </c>
      <c r="P981" s="116">
        <v>547.5</v>
      </c>
      <c r="Q981" s="116">
        <v>10996.55</v>
      </c>
      <c r="R981">
        <v>76137</v>
      </c>
    </row>
    <row r="982" spans="1:18" x14ac:dyDescent="0.25">
      <c r="A982" s="170">
        <v>43448</v>
      </c>
      <c r="B982" s="116">
        <v>558.14499999999998</v>
      </c>
      <c r="C982" s="116">
        <v>548.62750000000005</v>
      </c>
      <c r="D982" s="116">
        <v>545.79750000000001</v>
      </c>
      <c r="E982" s="116">
        <v>549.95000000000005</v>
      </c>
      <c r="F982" s="116">
        <v>10972.55</v>
      </c>
      <c r="G982">
        <v>2174</v>
      </c>
      <c r="H982" s="116"/>
      <c r="I982" s="116"/>
      <c r="L982" s="170">
        <v>43448</v>
      </c>
      <c r="M982" s="116">
        <v>549.29499999999996</v>
      </c>
      <c r="N982" s="116">
        <v>558.74249999999995</v>
      </c>
      <c r="O982" s="116">
        <v>545.91999999999996</v>
      </c>
      <c r="P982" s="116">
        <v>551.70000000000005</v>
      </c>
      <c r="Q982" s="116">
        <v>10985.9</v>
      </c>
      <c r="R982">
        <v>62728</v>
      </c>
    </row>
    <row r="983" spans="1:18" x14ac:dyDescent="0.25">
      <c r="A983" s="170">
        <v>43451</v>
      </c>
      <c r="B983" s="116">
        <v>564.5</v>
      </c>
      <c r="C983" s="116">
        <v>559.09749999999997</v>
      </c>
      <c r="D983" s="116">
        <v>553.29999999999995</v>
      </c>
      <c r="E983" s="116">
        <v>553.29999999999995</v>
      </c>
      <c r="F983" s="116">
        <v>11181.95</v>
      </c>
      <c r="G983">
        <v>8469</v>
      </c>
      <c r="H983" s="116"/>
      <c r="I983" s="116"/>
      <c r="L983" s="170">
        <v>43451</v>
      </c>
      <c r="M983" s="116">
        <v>558.53</v>
      </c>
      <c r="N983" s="116">
        <v>565.64750000000004</v>
      </c>
      <c r="O983" s="116">
        <v>550.24749999999995</v>
      </c>
      <c r="P983" s="116">
        <v>550.25</v>
      </c>
      <c r="Q983" s="116">
        <v>11170.6</v>
      </c>
      <c r="R983">
        <v>98550</v>
      </c>
    </row>
    <row r="984" spans="1:18" x14ac:dyDescent="0.25">
      <c r="A984" s="170">
        <v>43452</v>
      </c>
      <c r="B984" s="116">
        <v>563.95000000000005</v>
      </c>
      <c r="C984" s="116">
        <v>554.66999999999996</v>
      </c>
      <c r="D984" s="116">
        <v>551.3175</v>
      </c>
      <c r="E984" s="116">
        <v>559.34249999999997</v>
      </c>
      <c r="F984" s="116">
        <v>11093.4</v>
      </c>
      <c r="G984">
        <v>1566</v>
      </c>
      <c r="H984" s="116"/>
      <c r="I984" s="116"/>
      <c r="L984" s="170">
        <v>43452</v>
      </c>
      <c r="M984" s="116">
        <v>554.70000000000005</v>
      </c>
      <c r="N984" s="116">
        <v>565</v>
      </c>
      <c r="O984" s="116">
        <v>551.17999999999995</v>
      </c>
      <c r="P984" s="116">
        <v>558.65</v>
      </c>
      <c r="Q984" s="116">
        <v>11094</v>
      </c>
      <c r="R984">
        <v>67019</v>
      </c>
    </row>
    <row r="985" spans="1:18" x14ac:dyDescent="0.25">
      <c r="A985" s="170">
        <v>43453</v>
      </c>
      <c r="B985" s="116">
        <v>585.00250000000005</v>
      </c>
      <c r="C985" s="116">
        <v>559.09500000000003</v>
      </c>
      <c r="D985" s="116">
        <v>556.52250000000004</v>
      </c>
      <c r="E985" s="116">
        <v>557.75</v>
      </c>
      <c r="F985" s="116">
        <v>11181.9</v>
      </c>
      <c r="G985">
        <v>1663</v>
      </c>
      <c r="H985" s="116"/>
      <c r="I985" s="116"/>
      <c r="L985" s="170">
        <v>43453</v>
      </c>
      <c r="M985" s="116">
        <v>558.71500000000003</v>
      </c>
      <c r="N985" s="116">
        <v>561.5</v>
      </c>
      <c r="O985" s="116">
        <v>555.60249999999996</v>
      </c>
      <c r="P985" s="116">
        <v>559.995</v>
      </c>
      <c r="Q985" s="116">
        <v>11174.3</v>
      </c>
      <c r="R985">
        <v>136306</v>
      </c>
    </row>
    <row r="986" spans="1:18" x14ac:dyDescent="0.25">
      <c r="A986" s="170">
        <v>43454</v>
      </c>
      <c r="B986" s="116">
        <v>570.44000000000005</v>
      </c>
      <c r="C986" s="116">
        <v>560.33000000000004</v>
      </c>
      <c r="D986" s="116">
        <v>554.95000000000005</v>
      </c>
      <c r="E986" s="116">
        <v>554.95000000000005</v>
      </c>
      <c r="F986" s="116">
        <v>11206.6</v>
      </c>
      <c r="G986">
        <v>2296</v>
      </c>
      <c r="H986" s="116"/>
      <c r="I986" s="116"/>
      <c r="L986" s="170">
        <v>43454</v>
      </c>
      <c r="M986" s="116">
        <v>561.62750000000005</v>
      </c>
      <c r="N986" s="116">
        <v>571.25</v>
      </c>
      <c r="O986" s="116">
        <v>557.50250000000005</v>
      </c>
      <c r="P986" s="116">
        <v>557.50250000000005</v>
      </c>
      <c r="Q986" s="116">
        <v>11232.55</v>
      </c>
      <c r="R986">
        <v>57925</v>
      </c>
    </row>
    <row r="987" spans="1:18" x14ac:dyDescent="0.25">
      <c r="A987" s="170">
        <v>43455</v>
      </c>
      <c r="B987" s="116">
        <v>565.61500000000001</v>
      </c>
      <c r="C987" s="116">
        <v>550.58500000000004</v>
      </c>
      <c r="D987" s="116">
        <v>547.80250000000001</v>
      </c>
      <c r="E987" s="116">
        <v>564.4</v>
      </c>
      <c r="F987" s="116">
        <v>11011.7</v>
      </c>
      <c r="G987">
        <v>1592</v>
      </c>
      <c r="H987" s="116"/>
      <c r="I987" s="116"/>
      <c r="L987" s="170">
        <v>43455</v>
      </c>
      <c r="M987" s="116">
        <v>550.52</v>
      </c>
      <c r="N987" s="116">
        <v>566.1875</v>
      </c>
      <c r="O987" s="116">
        <v>547.92499999999995</v>
      </c>
      <c r="P987" s="116">
        <v>563.23500000000001</v>
      </c>
      <c r="Q987" s="116">
        <v>11010.4</v>
      </c>
      <c r="R987">
        <v>66291</v>
      </c>
    </row>
    <row r="988" spans="1:18" x14ac:dyDescent="0.25">
      <c r="A988" s="170">
        <v>43458</v>
      </c>
      <c r="B988" s="116">
        <v>560.96500000000003</v>
      </c>
      <c r="C988" s="116">
        <v>546.5625</v>
      </c>
      <c r="D988" s="116">
        <v>542.45000000000005</v>
      </c>
      <c r="E988" s="116">
        <v>555.95249999999999</v>
      </c>
      <c r="F988" s="116">
        <v>10931.25</v>
      </c>
      <c r="G988">
        <v>864</v>
      </c>
      <c r="H988" s="116"/>
      <c r="I988" s="116"/>
      <c r="L988" s="170">
        <v>43458</v>
      </c>
      <c r="M988" s="116">
        <v>546.16750000000002</v>
      </c>
      <c r="N988" s="116">
        <v>561.1</v>
      </c>
      <c r="O988" s="116">
        <v>541.77750000000003</v>
      </c>
      <c r="P988" s="116">
        <v>552.79999999999995</v>
      </c>
      <c r="Q988" s="116">
        <v>10923.35</v>
      </c>
      <c r="R988">
        <v>34191</v>
      </c>
    </row>
    <row r="989" spans="1:18" x14ac:dyDescent="0.25">
      <c r="A989" s="170">
        <v>43460</v>
      </c>
      <c r="B989" s="116">
        <v>548.77499999999998</v>
      </c>
      <c r="C989" s="116">
        <v>538.21500000000003</v>
      </c>
      <c r="D989" s="116">
        <v>537.50750000000005</v>
      </c>
      <c r="E989" s="116">
        <v>547.5</v>
      </c>
      <c r="F989" s="116">
        <v>10764.3</v>
      </c>
      <c r="G989">
        <v>3768</v>
      </c>
      <c r="H989" s="116"/>
      <c r="I989" s="116"/>
      <c r="L989" s="170">
        <v>43460</v>
      </c>
      <c r="M989" s="116">
        <v>538.50250000000005</v>
      </c>
      <c r="N989" s="116">
        <v>549.35</v>
      </c>
      <c r="O989" s="116">
        <v>537.25</v>
      </c>
      <c r="P989" s="116">
        <v>548.25</v>
      </c>
      <c r="Q989" s="116">
        <v>10770.05</v>
      </c>
      <c r="R989">
        <v>37172</v>
      </c>
    </row>
    <row r="990" spans="1:18" x14ac:dyDescent="0.25">
      <c r="A990" s="170">
        <v>43461</v>
      </c>
      <c r="B990" s="116">
        <v>548.54999999999995</v>
      </c>
      <c r="C990" s="116">
        <v>546.81500000000005</v>
      </c>
      <c r="D990" s="116">
        <v>541.65499999999997</v>
      </c>
      <c r="E990" s="116">
        <v>542.5</v>
      </c>
      <c r="F990" s="116">
        <v>10936.3</v>
      </c>
      <c r="G990">
        <v>4675</v>
      </c>
      <c r="H990" s="116"/>
      <c r="I990" s="116"/>
      <c r="L990" s="170">
        <v>43461</v>
      </c>
      <c r="M990" s="116">
        <v>547.14250000000004</v>
      </c>
      <c r="N990" s="116">
        <v>548.45000000000005</v>
      </c>
      <c r="O990" s="116">
        <v>540.005</v>
      </c>
      <c r="P990" s="116">
        <v>542.45000000000005</v>
      </c>
      <c r="Q990" s="116">
        <v>10942.85</v>
      </c>
      <c r="R990">
        <v>52311</v>
      </c>
    </row>
    <row r="991" spans="1:18" x14ac:dyDescent="0.25">
      <c r="A991" s="170">
        <v>43462</v>
      </c>
      <c r="B991" s="116">
        <v>564.39250000000004</v>
      </c>
      <c r="C991" s="116">
        <v>561.78</v>
      </c>
      <c r="D991" s="116">
        <v>548</v>
      </c>
      <c r="E991" s="116">
        <v>550.45000000000005</v>
      </c>
      <c r="F991" s="116">
        <v>11235.6</v>
      </c>
      <c r="G991">
        <v>13721</v>
      </c>
      <c r="H991" s="116"/>
      <c r="I991" s="116"/>
      <c r="L991" s="170">
        <v>43462</v>
      </c>
      <c r="M991" s="116">
        <v>562.92999999999995</v>
      </c>
      <c r="N991" s="116">
        <v>569.83249999999998</v>
      </c>
      <c r="O991" s="116">
        <v>546.55499999999995</v>
      </c>
      <c r="P991" s="116">
        <v>549.70000000000005</v>
      </c>
      <c r="Q991" s="116">
        <v>11258.6</v>
      </c>
      <c r="R991">
        <v>56636</v>
      </c>
    </row>
    <row r="992" spans="1:18" x14ac:dyDescent="0.25">
      <c r="A992" s="170">
        <v>43465</v>
      </c>
      <c r="B992" s="116">
        <v>568.10249999999996</v>
      </c>
      <c r="C992" s="116">
        <v>555.36249999999995</v>
      </c>
      <c r="D992" s="116">
        <v>552.15</v>
      </c>
      <c r="E992" s="116">
        <v>567.5</v>
      </c>
      <c r="F992" s="116">
        <v>11107.25</v>
      </c>
      <c r="G992">
        <v>13836</v>
      </c>
      <c r="H992" s="116"/>
      <c r="I992" s="116"/>
      <c r="L992" s="170">
        <v>43465</v>
      </c>
      <c r="M992" s="116">
        <v>554.24249999999995</v>
      </c>
      <c r="N992" s="116">
        <v>567.9</v>
      </c>
      <c r="O992" s="116">
        <v>551.25</v>
      </c>
      <c r="P992" s="116">
        <v>565</v>
      </c>
      <c r="Q992" s="116">
        <v>11084.85</v>
      </c>
      <c r="R992">
        <v>46430</v>
      </c>
    </row>
    <row r="993" spans="1:18" x14ac:dyDescent="0.25">
      <c r="A993" s="170">
        <v>43466</v>
      </c>
      <c r="B993" s="116">
        <v>561.34249999999997</v>
      </c>
      <c r="C993" s="116">
        <v>553.09500000000003</v>
      </c>
      <c r="D993" s="116">
        <v>549.55250000000001</v>
      </c>
      <c r="E993" s="116">
        <v>555.6</v>
      </c>
      <c r="F993" s="116">
        <v>11061.9</v>
      </c>
      <c r="G993">
        <v>6029</v>
      </c>
      <c r="H993" s="116"/>
      <c r="I993" s="116"/>
      <c r="L993" s="170">
        <v>43466</v>
      </c>
      <c r="M993" s="116">
        <v>550.75250000000005</v>
      </c>
      <c r="N993" s="116">
        <v>558.52</v>
      </c>
      <c r="O993" s="116">
        <v>549.49749999999995</v>
      </c>
      <c r="P993" s="116">
        <v>557.5</v>
      </c>
      <c r="Q993" s="116">
        <v>11015.05</v>
      </c>
      <c r="R993">
        <v>31709</v>
      </c>
    </row>
    <row r="994" spans="1:18" x14ac:dyDescent="0.25">
      <c r="A994" s="170">
        <v>43467</v>
      </c>
      <c r="B994" s="116">
        <v>557.25</v>
      </c>
      <c r="C994" s="116">
        <v>552.05250000000001</v>
      </c>
      <c r="D994" s="116">
        <v>547.0575</v>
      </c>
      <c r="E994" s="116">
        <v>550.08000000000004</v>
      </c>
      <c r="F994" s="116">
        <v>11041.05</v>
      </c>
      <c r="G994">
        <v>1702</v>
      </c>
      <c r="H994" s="116"/>
      <c r="I994" s="116"/>
      <c r="L994" s="170">
        <v>43467</v>
      </c>
      <c r="M994" s="116">
        <v>551.77</v>
      </c>
      <c r="N994" s="116">
        <v>558</v>
      </c>
      <c r="O994" s="116">
        <v>545.35249999999996</v>
      </c>
      <c r="P994" s="116">
        <v>549.02499999999998</v>
      </c>
      <c r="Q994" s="116">
        <v>11035.4</v>
      </c>
      <c r="R994">
        <v>28167</v>
      </c>
    </row>
    <row r="995" spans="1:18" x14ac:dyDescent="0.25">
      <c r="A995" s="170">
        <v>43468</v>
      </c>
      <c r="B995" s="116">
        <v>574.95000000000005</v>
      </c>
      <c r="C995" s="116">
        <v>559.55499999999995</v>
      </c>
      <c r="D995" s="116">
        <v>552.5</v>
      </c>
      <c r="E995" s="116">
        <v>556.67250000000001</v>
      </c>
      <c r="F995" s="116">
        <v>11191.1</v>
      </c>
      <c r="G995">
        <v>28106</v>
      </c>
      <c r="H995" s="116"/>
      <c r="I995" s="116"/>
      <c r="L995" s="170">
        <v>43468</v>
      </c>
      <c r="M995" s="116">
        <v>560.35749999999996</v>
      </c>
      <c r="N995" s="116">
        <v>574.95000000000005</v>
      </c>
      <c r="O995" s="116">
        <v>549.995</v>
      </c>
      <c r="P995" s="116">
        <v>555.54999999999995</v>
      </c>
      <c r="Q995" s="116">
        <v>11207.15</v>
      </c>
      <c r="R995">
        <v>169291</v>
      </c>
    </row>
    <row r="996" spans="1:18" x14ac:dyDescent="0.25">
      <c r="A996" s="170">
        <v>43469</v>
      </c>
      <c r="B996" s="116">
        <v>560</v>
      </c>
      <c r="C996" s="116">
        <v>543.91499999999996</v>
      </c>
      <c r="D996" s="116">
        <v>533.34500000000003</v>
      </c>
      <c r="E996" s="116">
        <v>560</v>
      </c>
      <c r="F996" s="116">
        <v>10878.3</v>
      </c>
      <c r="G996">
        <v>14436</v>
      </c>
      <c r="H996" s="116"/>
      <c r="I996" s="116"/>
      <c r="L996" s="170">
        <v>43469</v>
      </c>
      <c r="M996" s="116">
        <v>542.55999999999995</v>
      </c>
      <c r="N996" s="116">
        <v>559.94500000000005</v>
      </c>
      <c r="O996" s="116">
        <v>532.77750000000003</v>
      </c>
      <c r="P996" s="116">
        <v>556.95000000000005</v>
      </c>
      <c r="Q996" s="116">
        <v>10851.2</v>
      </c>
      <c r="R996">
        <v>206163</v>
      </c>
    </row>
    <row r="997" spans="1:18" x14ac:dyDescent="0.25">
      <c r="A997" s="170">
        <v>43472</v>
      </c>
      <c r="B997" s="116">
        <v>547.01250000000005</v>
      </c>
      <c r="C997" s="116">
        <v>538.97249999999997</v>
      </c>
      <c r="D997" s="116">
        <v>535.96249999999998</v>
      </c>
      <c r="E997" s="116">
        <v>543.5</v>
      </c>
      <c r="F997" s="116">
        <v>10779.45</v>
      </c>
      <c r="G997">
        <v>5916</v>
      </c>
      <c r="H997" s="116"/>
      <c r="I997" s="116"/>
      <c r="L997" s="170">
        <v>43472</v>
      </c>
      <c r="M997" s="116">
        <v>539.30499999999995</v>
      </c>
      <c r="N997" s="116">
        <v>546.98249999999996</v>
      </c>
      <c r="O997" s="116">
        <v>535</v>
      </c>
      <c r="P997" s="116">
        <v>543.75</v>
      </c>
      <c r="Q997" s="116">
        <v>10786.1</v>
      </c>
      <c r="R997">
        <v>85959</v>
      </c>
    </row>
    <row r="998" spans="1:18" x14ac:dyDescent="0.25">
      <c r="A998" s="170">
        <v>43473</v>
      </c>
      <c r="B998" s="116">
        <v>561.64499999999998</v>
      </c>
      <c r="C998" s="116">
        <v>550.84</v>
      </c>
      <c r="D998" s="116">
        <v>535.05250000000001</v>
      </c>
      <c r="E998" s="116">
        <v>542.6825</v>
      </c>
      <c r="F998" s="116">
        <v>11016.8</v>
      </c>
      <c r="G998">
        <v>13964</v>
      </c>
      <c r="H998" s="116"/>
      <c r="I998" s="116"/>
      <c r="L998" s="170">
        <v>43473</v>
      </c>
      <c r="M998" s="116">
        <v>550.27</v>
      </c>
      <c r="N998" s="116">
        <v>562</v>
      </c>
      <c r="O998" s="116">
        <v>534.5</v>
      </c>
      <c r="P998" s="116">
        <v>540</v>
      </c>
      <c r="Q998" s="116">
        <v>11005.4</v>
      </c>
      <c r="R998">
        <v>134341</v>
      </c>
    </row>
    <row r="999" spans="1:18" x14ac:dyDescent="0.25">
      <c r="A999" s="170">
        <v>43474</v>
      </c>
      <c r="B999" s="116">
        <v>563.84249999999997</v>
      </c>
      <c r="C999" s="116">
        <v>562.61</v>
      </c>
      <c r="D999" s="116">
        <v>554.34</v>
      </c>
      <c r="E999" s="116">
        <v>555.36749999999995</v>
      </c>
      <c r="F999" s="116">
        <v>11252.2</v>
      </c>
      <c r="G999">
        <v>4675</v>
      </c>
      <c r="H999" s="116"/>
      <c r="I999" s="116"/>
      <c r="L999" s="170">
        <v>43474</v>
      </c>
      <c r="M999" s="116">
        <v>562.61249999999995</v>
      </c>
      <c r="N999" s="116">
        <v>564.91999999999996</v>
      </c>
      <c r="O999" s="116">
        <v>552.91999999999996</v>
      </c>
      <c r="P999" s="116">
        <v>554.99249999999995</v>
      </c>
      <c r="Q999" s="116">
        <v>11252.25</v>
      </c>
      <c r="R999">
        <v>98483</v>
      </c>
    </row>
    <row r="1000" spans="1:18" x14ac:dyDescent="0.25">
      <c r="A1000" s="170">
        <v>43475</v>
      </c>
      <c r="B1000" s="116">
        <v>573.39</v>
      </c>
      <c r="C1000" s="116">
        <v>570.84249999999997</v>
      </c>
      <c r="D1000" s="116">
        <v>557.87750000000005</v>
      </c>
      <c r="E1000" s="116">
        <v>563</v>
      </c>
      <c r="F1000" s="116">
        <v>11416.85</v>
      </c>
      <c r="G1000">
        <v>8937</v>
      </c>
      <c r="H1000" s="116"/>
      <c r="I1000" s="116"/>
      <c r="L1000" s="170">
        <v>43475</v>
      </c>
      <c r="M1000" s="116">
        <v>570.83000000000004</v>
      </c>
      <c r="N1000" s="116">
        <v>572.39</v>
      </c>
      <c r="O1000" s="116">
        <v>556.98</v>
      </c>
      <c r="P1000" s="116">
        <v>566</v>
      </c>
      <c r="Q1000" s="116">
        <v>11416.6</v>
      </c>
      <c r="R1000">
        <v>76915</v>
      </c>
    </row>
    <row r="1001" spans="1:18" x14ac:dyDescent="0.25">
      <c r="A1001" s="170">
        <v>43476</v>
      </c>
      <c r="B1001" s="116">
        <v>572.33249999999998</v>
      </c>
      <c r="C1001" s="116">
        <v>563.25250000000005</v>
      </c>
      <c r="D1001" s="116">
        <v>558.78</v>
      </c>
      <c r="E1001" s="116">
        <v>570.00250000000005</v>
      </c>
      <c r="F1001" s="116">
        <v>11265.05</v>
      </c>
      <c r="G1001">
        <v>1654</v>
      </c>
      <c r="H1001" s="116"/>
      <c r="I1001" s="116"/>
      <c r="L1001" s="170">
        <v>43476</v>
      </c>
      <c r="M1001" s="116">
        <v>563.65</v>
      </c>
      <c r="N1001" s="116">
        <v>572.9</v>
      </c>
      <c r="O1001" s="116">
        <v>557.54999999999995</v>
      </c>
      <c r="P1001" s="116">
        <v>570.00750000000005</v>
      </c>
      <c r="Q1001" s="116">
        <v>11273</v>
      </c>
      <c r="R1001">
        <v>57253</v>
      </c>
    </row>
    <row r="1002" spans="1:18" x14ac:dyDescent="0.25">
      <c r="A1002" s="170">
        <v>43479</v>
      </c>
      <c r="B1002" s="116">
        <v>569.49749999999995</v>
      </c>
      <c r="C1002" s="116">
        <v>561.23249999999996</v>
      </c>
      <c r="D1002" s="116">
        <v>559.59749999999997</v>
      </c>
      <c r="E1002" s="116">
        <v>569.49749999999995</v>
      </c>
      <c r="F1002" s="116">
        <v>11224.65</v>
      </c>
      <c r="G1002">
        <v>7030</v>
      </c>
      <c r="H1002" s="116"/>
      <c r="I1002" s="116"/>
      <c r="L1002" s="170">
        <v>43479</v>
      </c>
      <c r="M1002" s="116">
        <v>561.4325</v>
      </c>
      <c r="N1002" s="116">
        <v>569.28499999999997</v>
      </c>
      <c r="O1002" s="116">
        <v>559.49749999999995</v>
      </c>
      <c r="P1002" s="116">
        <v>565</v>
      </c>
      <c r="Q1002" s="116">
        <v>11228.65</v>
      </c>
      <c r="R1002">
        <v>51811</v>
      </c>
    </row>
    <row r="1003" spans="1:18" x14ac:dyDescent="0.25">
      <c r="A1003" s="170">
        <v>43480</v>
      </c>
      <c r="B1003" s="116">
        <v>566.62249999999995</v>
      </c>
      <c r="C1003" s="116">
        <v>564.34249999999997</v>
      </c>
      <c r="D1003" s="116">
        <v>560.09249999999997</v>
      </c>
      <c r="E1003" s="116">
        <v>562.62249999999995</v>
      </c>
      <c r="F1003" s="116">
        <v>11286.85</v>
      </c>
      <c r="G1003">
        <v>1254</v>
      </c>
      <c r="H1003" s="116"/>
      <c r="I1003" s="116"/>
      <c r="L1003" s="170">
        <v>43480</v>
      </c>
      <c r="M1003" s="116">
        <v>564.13250000000005</v>
      </c>
      <c r="N1003" s="116">
        <v>567</v>
      </c>
      <c r="O1003" s="116">
        <v>560</v>
      </c>
      <c r="P1003" s="116">
        <v>564.79999999999995</v>
      </c>
      <c r="Q1003" s="116">
        <v>11282.65</v>
      </c>
      <c r="R1003">
        <v>49470</v>
      </c>
    </row>
    <row r="1004" spans="1:18" x14ac:dyDescent="0.25">
      <c r="A1004" s="170">
        <v>43481</v>
      </c>
      <c r="B1004" s="116">
        <v>563.27250000000004</v>
      </c>
      <c r="C1004" s="116">
        <v>552.4425</v>
      </c>
      <c r="D1004" s="116">
        <v>549.8175</v>
      </c>
      <c r="E1004" s="116">
        <v>562.69000000000005</v>
      </c>
      <c r="F1004" s="116">
        <v>11048.85</v>
      </c>
      <c r="G1004">
        <v>4351</v>
      </c>
      <c r="H1004" s="116"/>
      <c r="I1004" s="116"/>
      <c r="L1004" s="170">
        <v>43481</v>
      </c>
      <c r="M1004" s="116">
        <v>552.79499999999996</v>
      </c>
      <c r="N1004" s="116">
        <v>564.58749999999998</v>
      </c>
      <c r="O1004" s="116">
        <v>549</v>
      </c>
      <c r="P1004" s="116">
        <v>563.05250000000001</v>
      </c>
      <c r="Q1004" s="116">
        <v>11055.9</v>
      </c>
      <c r="R1004">
        <v>136679</v>
      </c>
    </row>
    <row r="1005" spans="1:18" x14ac:dyDescent="0.25">
      <c r="A1005" s="170">
        <v>43482</v>
      </c>
      <c r="B1005" s="116">
        <v>561.49749999999995</v>
      </c>
      <c r="C1005" s="116">
        <v>558.495</v>
      </c>
      <c r="D1005" s="116">
        <v>556.20000000000005</v>
      </c>
      <c r="E1005" s="116">
        <v>559.5</v>
      </c>
      <c r="F1005" s="116">
        <v>11169.9</v>
      </c>
      <c r="G1005">
        <v>1465</v>
      </c>
      <c r="H1005" s="116"/>
      <c r="I1005" s="116"/>
      <c r="L1005" s="170">
        <v>43482</v>
      </c>
      <c r="M1005" s="116">
        <v>558.28499999999997</v>
      </c>
      <c r="N1005" s="116">
        <v>561.64750000000004</v>
      </c>
      <c r="O1005" s="116">
        <v>556.1</v>
      </c>
      <c r="P1005" s="116">
        <v>560</v>
      </c>
      <c r="Q1005" s="116">
        <v>11165.7</v>
      </c>
      <c r="R1005">
        <v>72737</v>
      </c>
    </row>
    <row r="1006" spans="1:18" x14ac:dyDescent="0.25">
      <c r="A1006" s="170">
        <v>43483</v>
      </c>
      <c r="B1006" s="116">
        <v>565.60500000000002</v>
      </c>
      <c r="C1006" s="116">
        <v>562.05250000000001</v>
      </c>
      <c r="D1006" s="116">
        <v>558.36249999999995</v>
      </c>
      <c r="E1006" s="116">
        <v>560</v>
      </c>
      <c r="F1006" s="116">
        <v>11241.05</v>
      </c>
      <c r="G1006">
        <v>2929</v>
      </c>
      <c r="H1006" s="116"/>
      <c r="I1006" s="116"/>
      <c r="L1006" s="170">
        <v>43483</v>
      </c>
      <c r="M1006" s="116">
        <v>562.41999999999996</v>
      </c>
      <c r="N1006" s="116">
        <v>566.32249999999999</v>
      </c>
      <c r="O1006" s="116">
        <v>559.04999999999995</v>
      </c>
      <c r="P1006" s="116">
        <v>560</v>
      </c>
      <c r="Q1006" s="116">
        <v>11248.4</v>
      </c>
      <c r="R1006">
        <v>76762</v>
      </c>
    </row>
    <row r="1007" spans="1:18" x14ac:dyDescent="0.25">
      <c r="A1007" s="170">
        <v>43486</v>
      </c>
      <c r="B1007" s="116">
        <v>566.1</v>
      </c>
      <c r="C1007" s="116">
        <v>561.59749999999997</v>
      </c>
      <c r="D1007" s="116">
        <v>558.21249999999998</v>
      </c>
      <c r="E1007" s="116">
        <v>566.1</v>
      </c>
      <c r="F1007" s="116">
        <v>11231.95</v>
      </c>
      <c r="G1007">
        <v>1762</v>
      </c>
      <c r="H1007" s="116"/>
      <c r="I1007" s="116"/>
      <c r="L1007" s="170">
        <v>43486</v>
      </c>
      <c r="M1007" s="116">
        <v>562.76250000000005</v>
      </c>
      <c r="N1007" s="116">
        <v>565.44749999999999</v>
      </c>
      <c r="O1007" s="116">
        <v>557.505</v>
      </c>
      <c r="P1007" s="116">
        <v>564.79999999999995</v>
      </c>
      <c r="Q1007" s="116">
        <v>11255.25</v>
      </c>
      <c r="R1007">
        <v>19108</v>
      </c>
    </row>
    <row r="1008" spans="1:18" x14ac:dyDescent="0.25">
      <c r="A1008" s="170">
        <v>43487</v>
      </c>
      <c r="B1008" s="116">
        <v>572.48249999999996</v>
      </c>
      <c r="C1008" s="116">
        <v>560.78</v>
      </c>
      <c r="D1008" s="116">
        <v>560</v>
      </c>
      <c r="E1008" s="116">
        <v>563.75</v>
      </c>
      <c r="F1008" s="116">
        <v>11215.6</v>
      </c>
      <c r="G1008">
        <v>5153</v>
      </c>
      <c r="H1008" s="116"/>
      <c r="I1008" s="116"/>
      <c r="L1008" s="170">
        <v>43487</v>
      </c>
      <c r="M1008" s="116">
        <v>561.82749999999999</v>
      </c>
      <c r="N1008" s="116">
        <v>567.5</v>
      </c>
      <c r="O1008" s="116">
        <v>560</v>
      </c>
      <c r="P1008" s="116">
        <v>564.5</v>
      </c>
      <c r="Q1008" s="116">
        <v>11236.55</v>
      </c>
      <c r="R1008">
        <v>39958</v>
      </c>
    </row>
    <row r="1009" spans="1:18" x14ac:dyDescent="0.25">
      <c r="A1009" s="170">
        <v>43488</v>
      </c>
      <c r="B1009" s="116">
        <v>567.19749999999999</v>
      </c>
      <c r="C1009" s="116">
        <v>565.52750000000003</v>
      </c>
      <c r="D1009" s="116">
        <v>557.6</v>
      </c>
      <c r="E1009" s="116">
        <v>557.6</v>
      </c>
      <c r="F1009" s="116">
        <v>11310.55</v>
      </c>
      <c r="G1009">
        <v>1461</v>
      </c>
      <c r="H1009" s="116"/>
      <c r="I1009" s="116"/>
      <c r="L1009" s="170">
        <v>43488</v>
      </c>
      <c r="M1009" s="116">
        <v>565.79499999999996</v>
      </c>
      <c r="N1009" s="116">
        <v>567.4</v>
      </c>
      <c r="O1009" s="116">
        <v>562</v>
      </c>
      <c r="P1009" s="116">
        <v>562.75</v>
      </c>
      <c r="Q1009" s="116">
        <v>11315.9</v>
      </c>
      <c r="R1009">
        <v>51210</v>
      </c>
    </row>
    <row r="1010" spans="1:18" x14ac:dyDescent="0.25">
      <c r="A1010" s="170">
        <v>43489</v>
      </c>
      <c r="B1010" s="116">
        <v>573.50250000000005</v>
      </c>
      <c r="C1010" s="116">
        <v>571.52750000000003</v>
      </c>
      <c r="D1010" s="116">
        <v>567</v>
      </c>
      <c r="E1010" s="116">
        <v>567</v>
      </c>
      <c r="F1010" s="116">
        <v>11430.55</v>
      </c>
      <c r="G1010">
        <v>2263</v>
      </c>
      <c r="H1010" s="116"/>
      <c r="I1010" s="116"/>
      <c r="L1010" s="170">
        <v>43489</v>
      </c>
      <c r="M1010" s="116">
        <v>571.66999999999996</v>
      </c>
      <c r="N1010" s="116">
        <v>573</v>
      </c>
      <c r="O1010" s="116">
        <v>565.30250000000001</v>
      </c>
      <c r="P1010" s="116">
        <v>565.79499999999996</v>
      </c>
      <c r="Q1010" s="116">
        <v>11433.4</v>
      </c>
      <c r="R1010">
        <v>104618</v>
      </c>
    </row>
    <row r="1011" spans="1:18" x14ac:dyDescent="0.25">
      <c r="A1011" s="170">
        <v>43490</v>
      </c>
      <c r="B1011" s="116">
        <v>575.34500000000003</v>
      </c>
      <c r="C1011" s="116">
        <v>567.19000000000005</v>
      </c>
      <c r="D1011" s="116">
        <v>564.70000000000005</v>
      </c>
      <c r="E1011" s="116">
        <v>573.5</v>
      </c>
      <c r="F1011" s="116">
        <v>11343.8</v>
      </c>
      <c r="G1011">
        <v>1314</v>
      </c>
      <c r="H1011" s="116"/>
      <c r="I1011" s="116"/>
      <c r="L1011" s="170">
        <v>43490</v>
      </c>
      <c r="M1011" s="116">
        <v>568.28</v>
      </c>
      <c r="N1011" s="116">
        <v>575.85</v>
      </c>
      <c r="O1011" s="116">
        <v>565</v>
      </c>
      <c r="P1011" s="116">
        <v>573</v>
      </c>
      <c r="Q1011" s="116">
        <v>11365.6</v>
      </c>
      <c r="R1011">
        <v>59928</v>
      </c>
    </row>
    <row r="1012" spans="1:18" x14ac:dyDescent="0.25">
      <c r="A1012" s="170">
        <v>43493</v>
      </c>
      <c r="B1012" s="116">
        <v>570</v>
      </c>
      <c r="C1012" s="116">
        <v>566.27250000000004</v>
      </c>
      <c r="D1012" s="116">
        <v>558.78499999999997</v>
      </c>
      <c r="E1012" s="116">
        <v>567.15</v>
      </c>
      <c r="F1012" s="116">
        <v>11325.45</v>
      </c>
      <c r="G1012">
        <v>2528</v>
      </c>
      <c r="H1012" s="116"/>
      <c r="I1012" s="116"/>
      <c r="L1012" s="170">
        <v>43493</v>
      </c>
      <c r="M1012" s="116">
        <v>568.03</v>
      </c>
      <c r="N1012" s="116">
        <v>571</v>
      </c>
      <c r="O1012" s="116">
        <v>557.75</v>
      </c>
      <c r="P1012" s="116">
        <v>568.28</v>
      </c>
      <c r="Q1012" s="116">
        <v>11360.6</v>
      </c>
      <c r="R1012">
        <v>103963</v>
      </c>
    </row>
    <row r="1013" spans="1:18" x14ac:dyDescent="0.25">
      <c r="A1013" s="170">
        <v>43494</v>
      </c>
      <c r="B1013" s="116">
        <v>572.5</v>
      </c>
      <c r="C1013" s="116">
        <v>570.35500000000002</v>
      </c>
      <c r="D1013" s="116">
        <v>565.41</v>
      </c>
      <c r="E1013" s="116">
        <v>569.15</v>
      </c>
      <c r="F1013" s="116">
        <v>11407.1</v>
      </c>
      <c r="G1013">
        <v>1749</v>
      </c>
      <c r="H1013" s="116"/>
      <c r="I1013" s="116"/>
      <c r="L1013" s="170">
        <v>43494</v>
      </c>
      <c r="M1013" s="116">
        <v>569.95500000000004</v>
      </c>
      <c r="N1013" s="116">
        <v>572</v>
      </c>
      <c r="O1013" s="116">
        <v>564.69500000000005</v>
      </c>
      <c r="P1013" s="116">
        <v>569</v>
      </c>
      <c r="Q1013" s="116">
        <v>11399.1</v>
      </c>
      <c r="R1013">
        <v>70632</v>
      </c>
    </row>
    <row r="1014" spans="1:18" x14ac:dyDescent="0.25">
      <c r="A1014" s="170">
        <v>43495</v>
      </c>
      <c r="B1014" s="116">
        <v>572.23500000000001</v>
      </c>
      <c r="C1014" s="116">
        <v>569.70749999999998</v>
      </c>
      <c r="D1014" s="116">
        <v>564.5</v>
      </c>
      <c r="E1014" s="116">
        <v>569.745</v>
      </c>
      <c r="F1014" s="116">
        <v>11394.15</v>
      </c>
      <c r="G1014">
        <v>1064</v>
      </c>
      <c r="H1014" s="116"/>
      <c r="I1014" s="116"/>
      <c r="L1014" s="170">
        <v>43495</v>
      </c>
      <c r="M1014" s="116">
        <v>569.83249999999998</v>
      </c>
      <c r="N1014" s="116">
        <v>571.98749999999995</v>
      </c>
      <c r="O1014" s="116">
        <v>564</v>
      </c>
      <c r="P1014" s="116">
        <v>571</v>
      </c>
      <c r="Q1014" s="116">
        <v>11396.65</v>
      </c>
      <c r="R1014">
        <v>39290</v>
      </c>
    </row>
    <row r="1015" spans="1:18" x14ac:dyDescent="0.25">
      <c r="A1015" s="170">
        <v>43496</v>
      </c>
      <c r="B1015" s="116">
        <v>577.995</v>
      </c>
      <c r="C1015" s="116">
        <v>573.49</v>
      </c>
      <c r="D1015" s="116">
        <v>555.76250000000005</v>
      </c>
      <c r="E1015" s="116">
        <v>555.76250000000005</v>
      </c>
      <c r="F1015" s="116">
        <v>11469.8</v>
      </c>
      <c r="G1015">
        <v>5711</v>
      </c>
      <c r="H1015" s="116"/>
      <c r="I1015" s="116"/>
      <c r="L1015" s="170">
        <v>43496</v>
      </c>
      <c r="M1015" s="116">
        <v>574.89250000000004</v>
      </c>
      <c r="N1015" s="116">
        <v>576.94749999999999</v>
      </c>
      <c r="O1015" s="116">
        <v>568.65250000000003</v>
      </c>
      <c r="P1015" s="116">
        <v>571</v>
      </c>
      <c r="Q1015" s="116">
        <v>11497.85</v>
      </c>
      <c r="R1015">
        <v>95373</v>
      </c>
    </row>
    <row r="1016" spans="1:18" x14ac:dyDescent="0.25">
      <c r="A1016" s="170">
        <v>43497</v>
      </c>
      <c r="B1016" s="116">
        <v>581.62750000000005</v>
      </c>
      <c r="C1016" s="116">
        <v>578.41250000000002</v>
      </c>
      <c r="D1016" s="116">
        <v>572.38499999999999</v>
      </c>
      <c r="E1016" s="116">
        <v>574.95000000000005</v>
      </c>
      <c r="F1016" s="116">
        <v>11568.25</v>
      </c>
      <c r="G1016">
        <v>2546</v>
      </c>
      <c r="H1016" s="116"/>
      <c r="I1016" s="116"/>
      <c r="L1016" s="170">
        <v>43497</v>
      </c>
      <c r="M1016" s="116">
        <v>577.82749999999999</v>
      </c>
      <c r="N1016" s="116">
        <v>581.1</v>
      </c>
      <c r="O1016" s="116">
        <v>571.50750000000005</v>
      </c>
      <c r="P1016" s="116">
        <v>574.90250000000003</v>
      </c>
      <c r="Q1016" s="116">
        <v>11556.55</v>
      </c>
      <c r="R1016">
        <v>61906</v>
      </c>
    </row>
    <row r="1017" spans="1:18" x14ac:dyDescent="0.25">
      <c r="A1017" s="170">
        <v>43500</v>
      </c>
      <c r="B1017" s="116">
        <v>583.5</v>
      </c>
      <c r="C1017" s="116">
        <v>579.27750000000003</v>
      </c>
      <c r="D1017" s="116">
        <v>575.14499999999998</v>
      </c>
      <c r="E1017" s="116">
        <v>579.95000000000005</v>
      </c>
      <c r="F1017" s="116">
        <v>11585.55</v>
      </c>
      <c r="G1017">
        <v>2118</v>
      </c>
      <c r="H1017" s="116"/>
      <c r="I1017" s="116"/>
      <c r="L1017" s="170">
        <v>43500</v>
      </c>
      <c r="M1017" s="116">
        <v>576.6875</v>
      </c>
      <c r="N1017" s="116">
        <v>582.10749999999996</v>
      </c>
      <c r="O1017" s="116">
        <v>575</v>
      </c>
      <c r="P1017" s="116">
        <v>575.75</v>
      </c>
      <c r="Q1017" s="116">
        <v>11533.75</v>
      </c>
      <c r="R1017">
        <v>34434</v>
      </c>
    </row>
    <row r="1018" spans="1:18" x14ac:dyDescent="0.25">
      <c r="A1018" s="170">
        <v>43501</v>
      </c>
      <c r="B1018" s="116">
        <v>583</v>
      </c>
      <c r="C1018" s="116">
        <v>579.80999999999995</v>
      </c>
      <c r="D1018" s="116">
        <v>572.30499999999995</v>
      </c>
      <c r="E1018" s="116">
        <v>577</v>
      </c>
      <c r="F1018" s="116">
        <v>11596.2</v>
      </c>
      <c r="G1018">
        <v>3157</v>
      </c>
      <c r="H1018" s="116"/>
      <c r="I1018" s="116"/>
      <c r="L1018" s="170">
        <v>43501</v>
      </c>
      <c r="M1018" s="116">
        <v>580.37249999999995</v>
      </c>
      <c r="N1018" s="116">
        <v>582.70000000000005</v>
      </c>
      <c r="O1018" s="116">
        <v>575.505</v>
      </c>
      <c r="P1018" s="116">
        <v>576.74749999999995</v>
      </c>
      <c r="Q1018" s="116">
        <v>11607.45</v>
      </c>
      <c r="R1018">
        <v>36727</v>
      </c>
    </row>
    <row r="1019" spans="1:18" x14ac:dyDescent="0.25">
      <c r="A1019" s="170">
        <v>43502</v>
      </c>
      <c r="B1019" s="116">
        <v>583.6</v>
      </c>
      <c r="C1019" s="116">
        <v>579.91750000000002</v>
      </c>
      <c r="D1019" s="116">
        <v>573.49749999999995</v>
      </c>
      <c r="E1019" s="116">
        <v>583.29999999999995</v>
      </c>
      <c r="F1019" s="116">
        <v>11598.35</v>
      </c>
      <c r="G1019">
        <v>3621</v>
      </c>
      <c r="H1019" s="116"/>
      <c r="I1019" s="116"/>
      <c r="L1019" s="170">
        <v>43502</v>
      </c>
      <c r="M1019" s="116">
        <v>580.87</v>
      </c>
      <c r="N1019" s="116">
        <v>582.70000000000005</v>
      </c>
      <c r="O1019" s="116">
        <v>573.48500000000001</v>
      </c>
      <c r="P1019" s="116">
        <v>582.70000000000005</v>
      </c>
      <c r="Q1019" s="116">
        <v>11617.4</v>
      </c>
      <c r="R1019">
        <v>27885</v>
      </c>
    </row>
    <row r="1020" spans="1:18" x14ac:dyDescent="0.25">
      <c r="A1020" s="170">
        <v>43503</v>
      </c>
      <c r="B1020" s="116">
        <v>588.85</v>
      </c>
      <c r="C1020" s="116">
        <v>585.72249999999997</v>
      </c>
      <c r="D1020" s="116">
        <v>576.98500000000001</v>
      </c>
      <c r="E1020" s="116">
        <v>583.29999999999995</v>
      </c>
      <c r="F1020" s="116">
        <v>11714.45</v>
      </c>
      <c r="G1020">
        <v>1672</v>
      </c>
      <c r="H1020" s="116"/>
      <c r="I1020" s="116"/>
      <c r="L1020" s="170">
        <v>43503</v>
      </c>
      <c r="M1020" s="116">
        <v>585.78499999999997</v>
      </c>
      <c r="N1020" s="116">
        <v>587.45000000000005</v>
      </c>
      <c r="O1020" s="116">
        <v>577</v>
      </c>
      <c r="P1020" s="116">
        <v>580.75</v>
      </c>
      <c r="Q1020" s="116">
        <v>11715.7</v>
      </c>
      <c r="R1020">
        <v>36168</v>
      </c>
    </row>
    <row r="1021" spans="1:18" x14ac:dyDescent="0.25">
      <c r="A1021" s="170">
        <v>43504</v>
      </c>
      <c r="B1021" s="116">
        <v>587.35249999999996</v>
      </c>
      <c r="C1021" s="116">
        <v>563.91</v>
      </c>
      <c r="D1021" s="116">
        <v>558.00250000000005</v>
      </c>
      <c r="E1021" s="116">
        <v>585.65499999999997</v>
      </c>
      <c r="F1021" s="116">
        <v>11278.2</v>
      </c>
      <c r="G1021">
        <v>6445</v>
      </c>
      <c r="H1021" s="116"/>
      <c r="I1021" s="116"/>
      <c r="L1021" s="170">
        <v>43504</v>
      </c>
      <c r="M1021" s="116">
        <v>562.13499999999999</v>
      </c>
      <c r="N1021" s="116">
        <v>587.54999999999995</v>
      </c>
      <c r="O1021" s="116">
        <v>555.54999999999995</v>
      </c>
      <c r="P1021" s="116">
        <v>585.39750000000004</v>
      </c>
      <c r="Q1021" s="116">
        <v>11242.7</v>
      </c>
      <c r="R1021">
        <v>114697</v>
      </c>
    </row>
    <row r="1022" spans="1:18" x14ac:dyDescent="0.25">
      <c r="A1022" s="170">
        <v>43507</v>
      </c>
      <c r="B1022" s="116">
        <v>565</v>
      </c>
      <c r="C1022" s="116">
        <v>541.01250000000005</v>
      </c>
      <c r="D1022" s="116">
        <v>539.6</v>
      </c>
      <c r="E1022" s="116">
        <v>563.9</v>
      </c>
      <c r="F1022" s="116">
        <v>10820.25</v>
      </c>
      <c r="G1022">
        <v>8158</v>
      </c>
      <c r="H1022" s="116"/>
      <c r="I1022" s="116"/>
      <c r="L1022" s="170">
        <v>43507</v>
      </c>
      <c r="M1022" s="116">
        <v>542.17499999999995</v>
      </c>
      <c r="N1022" s="116">
        <v>565</v>
      </c>
      <c r="O1022" s="116">
        <v>538.27250000000004</v>
      </c>
      <c r="P1022" s="116">
        <v>565</v>
      </c>
      <c r="Q1022" s="116">
        <v>10843.5</v>
      </c>
      <c r="R1022">
        <v>122841</v>
      </c>
    </row>
    <row r="1023" spans="1:18" x14ac:dyDescent="0.25">
      <c r="A1023" s="170">
        <v>43508</v>
      </c>
      <c r="B1023" s="116">
        <v>542.58749999999998</v>
      </c>
      <c r="C1023" s="116">
        <v>539.9325</v>
      </c>
      <c r="D1023" s="116">
        <v>530.83249999999998</v>
      </c>
      <c r="E1023" s="116">
        <v>539</v>
      </c>
      <c r="F1023" s="116">
        <v>10798.65</v>
      </c>
      <c r="G1023">
        <v>4110</v>
      </c>
      <c r="H1023" s="116"/>
      <c r="I1023" s="116"/>
      <c r="L1023" s="170">
        <v>43508</v>
      </c>
      <c r="M1023" s="116">
        <v>539.19000000000005</v>
      </c>
      <c r="N1023" s="116">
        <v>542.5</v>
      </c>
      <c r="O1023" s="116">
        <v>530.78499999999997</v>
      </c>
      <c r="P1023" s="116">
        <v>541.75</v>
      </c>
      <c r="Q1023" s="116">
        <v>10783.8</v>
      </c>
      <c r="R1023">
        <v>97576</v>
      </c>
    </row>
    <row r="1024" spans="1:18" x14ac:dyDescent="0.25">
      <c r="A1024" s="170">
        <v>43509</v>
      </c>
      <c r="B1024" s="116">
        <v>548.25</v>
      </c>
      <c r="C1024" s="116">
        <v>528.64499999999998</v>
      </c>
      <c r="D1024" s="116">
        <v>524.25750000000005</v>
      </c>
      <c r="E1024" s="116">
        <v>548.25</v>
      </c>
      <c r="F1024" s="116">
        <v>10572.9</v>
      </c>
      <c r="G1024">
        <v>7196</v>
      </c>
      <c r="H1024" s="116"/>
      <c r="I1024" s="116"/>
      <c r="L1024" s="170">
        <v>43509</v>
      </c>
      <c r="M1024" s="116">
        <v>528.91499999999996</v>
      </c>
      <c r="N1024" s="116">
        <v>547.5</v>
      </c>
      <c r="O1024" s="116">
        <v>522.92250000000001</v>
      </c>
      <c r="P1024" s="116">
        <v>543.45000000000005</v>
      </c>
      <c r="Q1024" s="116">
        <v>10578.3</v>
      </c>
      <c r="R1024">
        <v>112684</v>
      </c>
    </row>
    <row r="1025" spans="1:18" x14ac:dyDescent="0.25">
      <c r="A1025" s="170">
        <v>43510</v>
      </c>
      <c r="B1025" s="116">
        <v>539.55999999999995</v>
      </c>
      <c r="C1025" s="116">
        <v>530.57749999999999</v>
      </c>
      <c r="D1025" s="116">
        <v>520.27</v>
      </c>
      <c r="E1025" s="116">
        <v>530</v>
      </c>
      <c r="F1025" s="116">
        <v>10611.55</v>
      </c>
      <c r="G1025">
        <v>6562</v>
      </c>
      <c r="H1025" s="116"/>
      <c r="I1025" s="116"/>
      <c r="L1025" s="170">
        <v>43510</v>
      </c>
      <c r="M1025" s="116">
        <v>531.44000000000005</v>
      </c>
      <c r="N1025" s="116">
        <v>538.94749999999999</v>
      </c>
      <c r="O1025" s="116">
        <v>515.5</v>
      </c>
      <c r="P1025" s="116">
        <v>527.04999999999995</v>
      </c>
      <c r="Q1025" s="116">
        <v>10628.8</v>
      </c>
      <c r="R1025">
        <v>124563</v>
      </c>
    </row>
    <row r="1026" spans="1:18" x14ac:dyDescent="0.25">
      <c r="A1026" s="170">
        <v>43511</v>
      </c>
      <c r="B1026" s="116">
        <v>536.505</v>
      </c>
      <c r="C1026" s="116">
        <v>529.10500000000002</v>
      </c>
      <c r="D1026" s="116">
        <v>512.75</v>
      </c>
      <c r="E1026" s="116">
        <v>522.5</v>
      </c>
      <c r="F1026" s="116">
        <v>10582.1</v>
      </c>
      <c r="G1026">
        <v>12948</v>
      </c>
      <c r="H1026" s="116"/>
      <c r="I1026" s="116"/>
      <c r="L1026" s="170">
        <v>43511</v>
      </c>
      <c r="M1026" s="116">
        <v>526.77250000000004</v>
      </c>
      <c r="N1026" s="116">
        <v>537.00750000000005</v>
      </c>
      <c r="O1026" s="116">
        <v>512.54999999999995</v>
      </c>
      <c r="P1026" s="116">
        <v>522.5</v>
      </c>
      <c r="Q1026" s="116">
        <v>10535.45</v>
      </c>
      <c r="R1026">
        <v>414813</v>
      </c>
    </row>
    <row r="1027" spans="1:18" x14ac:dyDescent="0.25">
      <c r="A1027" s="170">
        <v>43514</v>
      </c>
      <c r="B1027" s="116">
        <v>529.5</v>
      </c>
      <c r="C1027" s="116">
        <v>517.22</v>
      </c>
      <c r="D1027" s="116">
        <v>509.32749999999999</v>
      </c>
      <c r="E1027" s="116">
        <v>529.5</v>
      </c>
      <c r="F1027" s="116">
        <v>10344.4</v>
      </c>
      <c r="G1027">
        <v>4599</v>
      </c>
      <c r="H1027" s="116"/>
      <c r="I1027" s="116"/>
      <c r="L1027" s="170">
        <v>43514</v>
      </c>
      <c r="M1027" s="116">
        <v>517.47249999999997</v>
      </c>
      <c r="N1027" s="116">
        <v>528.99749999999995</v>
      </c>
      <c r="O1027" s="116">
        <v>508.8125</v>
      </c>
      <c r="P1027" s="116">
        <v>527.45000000000005</v>
      </c>
      <c r="Q1027" s="116">
        <v>10349.450000000001</v>
      </c>
      <c r="R1027">
        <v>87235</v>
      </c>
    </row>
    <row r="1028" spans="1:18" x14ac:dyDescent="0.25">
      <c r="A1028" s="170">
        <v>43515</v>
      </c>
      <c r="B1028" s="116">
        <v>535.99749999999995</v>
      </c>
      <c r="C1028" s="116">
        <v>526.005</v>
      </c>
      <c r="D1028" s="116">
        <v>517.82249999999999</v>
      </c>
      <c r="E1028" s="116">
        <v>527.44749999999999</v>
      </c>
      <c r="F1028" s="116">
        <v>10520.1</v>
      </c>
      <c r="G1028">
        <v>3613</v>
      </c>
      <c r="H1028" s="116"/>
      <c r="I1028" s="116"/>
      <c r="L1028" s="170">
        <v>43515</v>
      </c>
      <c r="M1028" s="116">
        <v>525.77</v>
      </c>
      <c r="N1028" s="116">
        <v>536.45249999999999</v>
      </c>
      <c r="O1028" s="116">
        <v>517.50250000000005</v>
      </c>
      <c r="P1028" s="116">
        <v>517.50250000000005</v>
      </c>
      <c r="Q1028" s="116">
        <v>10515.4</v>
      </c>
      <c r="R1028">
        <v>88601</v>
      </c>
    </row>
    <row r="1029" spans="1:18" x14ac:dyDescent="0.25">
      <c r="A1029" s="170">
        <v>43516</v>
      </c>
      <c r="B1029" s="116">
        <v>530.75</v>
      </c>
      <c r="C1029" s="116">
        <v>526.54</v>
      </c>
      <c r="D1029" s="116">
        <v>520.5</v>
      </c>
      <c r="E1029" s="116">
        <v>526.005</v>
      </c>
      <c r="F1029" s="116">
        <v>10530.8</v>
      </c>
      <c r="G1029">
        <v>1864</v>
      </c>
      <c r="H1029" s="116"/>
      <c r="I1029" s="116"/>
      <c r="L1029" s="170">
        <v>43516</v>
      </c>
      <c r="M1029" s="116">
        <v>526.09</v>
      </c>
      <c r="N1029" s="116">
        <v>531.9425</v>
      </c>
      <c r="O1029" s="116">
        <v>519.96249999999998</v>
      </c>
      <c r="P1029" s="116">
        <v>526.57500000000005</v>
      </c>
      <c r="Q1029" s="116">
        <v>10521.8</v>
      </c>
      <c r="R1029">
        <v>62379</v>
      </c>
    </row>
    <row r="1030" spans="1:18" x14ac:dyDescent="0.25">
      <c r="A1030" s="170">
        <v>43517</v>
      </c>
      <c r="B1030" s="116">
        <v>532.87750000000005</v>
      </c>
      <c r="C1030" s="116">
        <v>529.86</v>
      </c>
      <c r="D1030" s="116">
        <v>521.54999999999995</v>
      </c>
      <c r="E1030" s="116">
        <v>525</v>
      </c>
      <c r="F1030" s="116">
        <v>10597.2</v>
      </c>
      <c r="G1030">
        <v>19960</v>
      </c>
      <c r="H1030" s="116"/>
      <c r="I1030" s="116"/>
      <c r="L1030" s="170">
        <v>43517</v>
      </c>
      <c r="M1030" s="116">
        <v>531.09749999999997</v>
      </c>
      <c r="N1030" s="116">
        <v>533.57249999999999</v>
      </c>
      <c r="O1030" s="116">
        <v>522.5</v>
      </c>
      <c r="P1030" s="116">
        <v>525</v>
      </c>
      <c r="Q1030" s="116">
        <v>10621.95</v>
      </c>
      <c r="R1030">
        <v>70280</v>
      </c>
    </row>
    <row r="1031" spans="1:18" x14ac:dyDescent="0.25">
      <c r="A1031" s="170">
        <v>43518</v>
      </c>
      <c r="B1031" s="116">
        <v>535.49749999999995</v>
      </c>
      <c r="C1031" s="116">
        <v>534.36500000000001</v>
      </c>
      <c r="D1031" s="116">
        <v>526.73500000000001</v>
      </c>
      <c r="E1031" s="116">
        <v>526.73500000000001</v>
      </c>
      <c r="F1031" s="116">
        <v>10687.3</v>
      </c>
      <c r="G1031">
        <v>2069</v>
      </c>
      <c r="H1031" s="116"/>
      <c r="I1031" s="116"/>
      <c r="L1031" s="170">
        <v>43518</v>
      </c>
      <c r="M1031" s="116">
        <v>534.27250000000004</v>
      </c>
      <c r="N1031" s="116">
        <v>535.45000000000005</v>
      </c>
      <c r="O1031" s="116">
        <v>528.08249999999998</v>
      </c>
      <c r="P1031" s="116">
        <v>531.995</v>
      </c>
      <c r="Q1031" s="116">
        <v>10685.45</v>
      </c>
      <c r="R1031">
        <v>55283</v>
      </c>
    </row>
    <row r="1032" spans="1:18" x14ac:dyDescent="0.25">
      <c r="A1032" s="170">
        <v>43521</v>
      </c>
      <c r="B1032" s="116">
        <v>542.5</v>
      </c>
      <c r="C1032" s="116">
        <v>541.20000000000005</v>
      </c>
      <c r="D1032" s="116">
        <v>535.04499999999996</v>
      </c>
      <c r="E1032" s="116">
        <v>537.15499999999997</v>
      </c>
      <c r="F1032" s="116">
        <v>10824</v>
      </c>
      <c r="G1032">
        <v>2507</v>
      </c>
      <c r="H1032" s="116"/>
      <c r="I1032" s="116"/>
      <c r="L1032" s="170">
        <v>43521</v>
      </c>
      <c r="M1032" s="116">
        <v>541.58249999999998</v>
      </c>
      <c r="N1032" s="116">
        <v>543.5</v>
      </c>
      <c r="O1032" s="116">
        <v>534</v>
      </c>
      <c r="P1032" s="116">
        <v>536.95000000000005</v>
      </c>
      <c r="Q1032" s="116">
        <v>10831.65</v>
      </c>
      <c r="R1032">
        <v>42086</v>
      </c>
    </row>
    <row r="1033" spans="1:18" x14ac:dyDescent="0.25">
      <c r="A1033" s="170">
        <v>43522</v>
      </c>
      <c r="B1033" s="116">
        <v>542.60500000000002</v>
      </c>
      <c r="C1033" s="116">
        <v>539.38750000000005</v>
      </c>
      <c r="D1033" s="116">
        <v>533.11500000000001</v>
      </c>
      <c r="E1033" s="116">
        <v>539.5</v>
      </c>
      <c r="F1033" s="116">
        <v>10787.75</v>
      </c>
      <c r="G1033">
        <v>2596</v>
      </c>
      <c r="H1033" s="116"/>
      <c r="I1033" s="116"/>
      <c r="L1033" s="170">
        <v>43522</v>
      </c>
      <c r="M1033" s="116">
        <v>540.22</v>
      </c>
      <c r="N1033" s="116">
        <v>542.75</v>
      </c>
      <c r="O1033" s="116">
        <v>533.32500000000005</v>
      </c>
      <c r="P1033" s="116">
        <v>539.95000000000005</v>
      </c>
      <c r="Q1033" s="116">
        <v>10804.4</v>
      </c>
      <c r="R1033">
        <v>72467</v>
      </c>
    </row>
    <row r="1034" spans="1:18" x14ac:dyDescent="0.25">
      <c r="A1034" s="170">
        <v>43523</v>
      </c>
      <c r="B1034" s="116">
        <v>539.98500000000001</v>
      </c>
      <c r="C1034" s="116">
        <v>535.00250000000005</v>
      </c>
      <c r="D1034" s="116">
        <v>532.5</v>
      </c>
      <c r="E1034" s="116">
        <v>539.95000000000005</v>
      </c>
      <c r="F1034" s="116">
        <v>10700.05</v>
      </c>
      <c r="G1034">
        <v>1973</v>
      </c>
      <c r="H1034" s="116"/>
      <c r="I1034" s="116"/>
      <c r="L1034" s="170">
        <v>43523</v>
      </c>
      <c r="M1034" s="116">
        <v>535.68499999999995</v>
      </c>
      <c r="N1034" s="116">
        <v>541.03250000000003</v>
      </c>
      <c r="O1034" s="116">
        <v>532.59</v>
      </c>
      <c r="P1034" s="116">
        <v>540.22</v>
      </c>
      <c r="Q1034" s="116">
        <v>10713.7</v>
      </c>
      <c r="R1034">
        <v>85713</v>
      </c>
    </row>
    <row r="1035" spans="1:18" x14ac:dyDescent="0.25">
      <c r="A1035" s="170">
        <v>43524</v>
      </c>
      <c r="B1035" s="116">
        <v>538.10500000000002</v>
      </c>
      <c r="C1035" s="116">
        <v>531.35</v>
      </c>
      <c r="D1035" s="116">
        <v>527.875</v>
      </c>
      <c r="E1035" s="116">
        <v>537.3175</v>
      </c>
      <c r="F1035" s="116">
        <v>10627</v>
      </c>
      <c r="G1035">
        <v>2829</v>
      </c>
      <c r="H1035" s="116"/>
      <c r="I1035" s="116"/>
      <c r="L1035" s="170">
        <v>43524</v>
      </c>
      <c r="M1035" s="116">
        <v>531.98749999999995</v>
      </c>
      <c r="N1035" s="116">
        <v>538.17250000000001</v>
      </c>
      <c r="O1035" s="116">
        <v>527.755</v>
      </c>
      <c r="P1035" s="116">
        <v>537.5</v>
      </c>
      <c r="Q1035" s="116">
        <v>10639.75</v>
      </c>
      <c r="R1035">
        <v>111875</v>
      </c>
    </row>
    <row r="1036" spans="1:18" x14ac:dyDescent="0.25">
      <c r="A1036" s="170">
        <v>43525</v>
      </c>
      <c r="B1036" s="116">
        <v>532.5</v>
      </c>
      <c r="C1036" s="116">
        <v>521.78499999999997</v>
      </c>
      <c r="D1036" s="116">
        <v>516.55250000000001</v>
      </c>
      <c r="E1036" s="116">
        <v>532.5</v>
      </c>
      <c r="F1036" s="116">
        <v>10435.700000000001</v>
      </c>
      <c r="G1036">
        <v>9687</v>
      </c>
      <c r="H1036" s="116"/>
      <c r="I1036" s="116"/>
      <c r="L1036" s="170">
        <v>43525</v>
      </c>
      <c r="M1036" s="116">
        <v>522.59</v>
      </c>
      <c r="N1036" s="116">
        <v>533.75</v>
      </c>
      <c r="O1036" s="116">
        <v>520.30250000000001</v>
      </c>
      <c r="P1036" s="116">
        <v>532</v>
      </c>
      <c r="Q1036" s="116">
        <v>10451.799999999999</v>
      </c>
      <c r="R1036">
        <v>109782</v>
      </c>
    </row>
    <row r="1037" spans="1:18" x14ac:dyDescent="0.25">
      <c r="A1037" s="170">
        <v>43529</v>
      </c>
      <c r="B1037" s="116">
        <v>527.5</v>
      </c>
      <c r="C1037" s="116">
        <v>525.39750000000004</v>
      </c>
      <c r="D1037" s="116">
        <v>515</v>
      </c>
      <c r="E1037" s="116">
        <v>520</v>
      </c>
      <c r="F1037" s="116">
        <v>10507.95</v>
      </c>
      <c r="G1037">
        <v>9481</v>
      </c>
      <c r="H1037" s="116"/>
      <c r="I1037" s="116"/>
      <c r="L1037" s="170">
        <v>43529</v>
      </c>
      <c r="M1037" s="116">
        <v>525.29750000000001</v>
      </c>
      <c r="N1037" s="116">
        <v>528.33249999999998</v>
      </c>
      <c r="O1037" s="116">
        <v>514.07249999999999</v>
      </c>
      <c r="P1037" s="116">
        <v>514.07249999999999</v>
      </c>
      <c r="Q1037" s="116">
        <v>10505.95</v>
      </c>
      <c r="R1037">
        <v>81658</v>
      </c>
    </row>
    <row r="1038" spans="1:18" x14ac:dyDescent="0.25">
      <c r="A1038" s="170">
        <v>43530</v>
      </c>
      <c r="B1038" s="116">
        <v>528</v>
      </c>
      <c r="C1038" s="116">
        <v>517.74249999999995</v>
      </c>
      <c r="D1038" s="116">
        <v>510.98500000000001</v>
      </c>
      <c r="E1038" s="116">
        <v>527.75</v>
      </c>
      <c r="F1038" s="116">
        <v>10354.85</v>
      </c>
      <c r="G1038">
        <v>4100</v>
      </c>
      <c r="H1038" s="116"/>
      <c r="I1038" s="116"/>
      <c r="L1038" s="170">
        <v>43530</v>
      </c>
      <c r="M1038" s="116">
        <v>516.03750000000002</v>
      </c>
      <c r="N1038" s="116">
        <v>529.65</v>
      </c>
      <c r="O1038" s="116">
        <v>509.75</v>
      </c>
      <c r="P1038" s="116">
        <v>529.65</v>
      </c>
      <c r="Q1038" s="116">
        <v>10320.75</v>
      </c>
      <c r="R1038">
        <v>145434</v>
      </c>
    </row>
    <row r="1039" spans="1:18" x14ac:dyDescent="0.25">
      <c r="A1039" s="170">
        <v>43531</v>
      </c>
      <c r="B1039" s="116">
        <v>517.85500000000002</v>
      </c>
      <c r="C1039" s="116">
        <v>509.84249999999997</v>
      </c>
      <c r="D1039" s="116">
        <v>508.05</v>
      </c>
      <c r="E1039" s="116">
        <v>516.54499999999996</v>
      </c>
      <c r="F1039" s="116">
        <v>10196.85</v>
      </c>
      <c r="G1039">
        <v>4098</v>
      </c>
      <c r="H1039" s="116"/>
      <c r="I1039" s="116"/>
      <c r="L1039" s="170">
        <v>43531</v>
      </c>
      <c r="M1039" s="116">
        <v>510.16750000000002</v>
      </c>
      <c r="N1039" s="116">
        <v>517.63</v>
      </c>
      <c r="O1039" s="116">
        <v>508.255</v>
      </c>
      <c r="P1039" s="116">
        <v>517</v>
      </c>
      <c r="Q1039" s="116">
        <v>10203.35</v>
      </c>
      <c r="R1039">
        <v>78052</v>
      </c>
    </row>
    <row r="1040" spans="1:18" x14ac:dyDescent="0.25">
      <c r="A1040" s="170">
        <v>43532</v>
      </c>
      <c r="B1040" s="116">
        <v>509.85750000000002</v>
      </c>
      <c r="C1040" s="116">
        <v>505.28500000000003</v>
      </c>
      <c r="D1040" s="116">
        <v>501.40499999999997</v>
      </c>
      <c r="E1040" s="116">
        <v>509.84249999999997</v>
      </c>
      <c r="F1040" s="116">
        <v>10105.700000000001</v>
      </c>
      <c r="G1040">
        <v>12989</v>
      </c>
      <c r="H1040" s="116"/>
      <c r="I1040" s="116"/>
      <c r="L1040" s="170">
        <v>43532</v>
      </c>
      <c r="M1040" s="116">
        <v>504.75749999999999</v>
      </c>
      <c r="N1040" s="116">
        <v>511</v>
      </c>
      <c r="O1040" s="116">
        <v>501.75</v>
      </c>
      <c r="P1040" s="116">
        <v>510.9975</v>
      </c>
      <c r="Q1040" s="116">
        <v>10095.15</v>
      </c>
      <c r="R1040">
        <v>98498</v>
      </c>
    </row>
    <row r="1041" spans="1:18" x14ac:dyDescent="0.25">
      <c r="A1041" s="170">
        <v>43535</v>
      </c>
      <c r="B1041" s="116">
        <v>517</v>
      </c>
      <c r="C1041" s="116">
        <v>514.36249999999995</v>
      </c>
      <c r="D1041" s="116">
        <v>502.1</v>
      </c>
      <c r="E1041" s="116">
        <v>507.16500000000002</v>
      </c>
      <c r="F1041" s="116">
        <v>10287.25</v>
      </c>
      <c r="G1041">
        <v>4384</v>
      </c>
      <c r="H1041" s="116"/>
      <c r="I1041" s="116"/>
      <c r="L1041" s="170">
        <v>43535</v>
      </c>
      <c r="M1041" s="116">
        <v>514.64</v>
      </c>
      <c r="N1041" s="116">
        <v>516.45000000000005</v>
      </c>
      <c r="O1041" s="116">
        <v>501.58249999999998</v>
      </c>
      <c r="P1041" s="116">
        <v>504.96749999999997</v>
      </c>
      <c r="Q1041" s="116">
        <v>10292.799999999999</v>
      </c>
      <c r="R1041">
        <v>114136</v>
      </c>
    </row>
    <row r="1042" spans="1:18" x14ac:dyDescent="0.25">
      <c r="A1042" s="170">
        <v>43536</v>
      </c>
      <c r="B1042" s="116">
        <v>525</v>
      </c>
      <c r="C1042" s="116">
        <v>521.79250000000002</v>
      </c>
      <c r="D1042" s="116">
        <v>513.54999999999995</v>
      </c>
      <c r="E1042" s="116">
        <v>514.995</v>
      </c>
      <c r="F1042" s="116">
        <v>10435.85</v>
      </c>
      <c r="G1042">
        <v>6428</v>
      </c>
      <c r="H1042" s="116"/>
      <c r="I1042" s="116"/>
      <c r="L1042" s="170">
        <v>43536</v>
      </c>
      <c r="M1042" s="116">
        <v>521.44500000000005</v>
      </c>
      <c r="N1042" s="116">
        <v>525.59749999999997</v>
      </c>
      <c r="O1042" s="116">
        <v>513.00250000000005</v>
      </c>
      <c r="P1042" s="116">
        <v>514.94500000000005</v>
      </c>
      <c r="Q1042" s="116">
        <v>10428.9</v>
      </c>
      <c r="R1042">
        <v>83043</v>
      </c>
    </row>
    <row r="1043" spans="1:18" x14ac:dyDescent="0.25">
      <c r="A1043" s="170">
        <v>43537</v>
      </c>
      <c r="B1043" s="116">
        <v>536.5</v>
      </c>
      <c r="C1043" s="116">
        <v>534.62249999999995</v>
      </c>
      <c r="D1043" s="116">
        <v>525</v>
      </c>
      <c r="E1043" s="116">
        <v>526.5</v>
      </c>
      <c r="F1043" s="116">
        <v>10692.45</v>
      </c>
      <c r="G1043">
        <v>6125</v>
      </c>
      <c r="H1043" s="116"/>
      <c r="I1043" s="116"/>
      <c r="L1043" s="170">
        <v>43537</v>
      </c>
      <c r="M1043" s="116">
        <v>536.16499999999996</v>
      </c>
      <c r="N1043" s="116">
        <v>537.74749999999995</v>
      </c>
      <c r="O1043" s="116">
        <v>525.02</v>
      </c>
      <c r="P1043" s="116">
        <v>526.4</v>
      </c>
      <c r="Q1043" s="116">
        <v>10723.3</v>
      </c>
      <c r="R1043">
        <v>133760</v>
      </c>
    </row>
    <row r="1044" spans="1:18" x14ac:dyDescent="0.25">
      <c r="A1044" s="170">
        <v>43538</v>
      </c>
      <c r="B1044" s="116">
        <v>537.70000000000005</v>
      </c>
      <c r="C1044" s="116">
        <v>537.11249999999995</v>
      </c>
      <c r="D1044" s="116">
        <v>527.26750000000004</v>
      </c>
      <c r="E1044" s="116">
        <v>537.45000000000005</v>
      </c>
      <c r="F1044" s="116">
        <v>10742.25</v>
      </c>
      <c r="G1044">
        <v>1617</v>
      </c>
      <c r="H1044" s="116"/>
      <c r="I1044" s="116"/>
      <c r="L1044" s="170">
        <v>43538</v>
      </c>
      <c r="M1044" s="116">
        <v>536.96500000000003</v>
      </c>
      <c r="N1044" s="116">
        <v>538.5</v>
      </c>
      <c r="O1044" s="116">
        <v>527</v>
      </c>
      <c r="P1044" s="116">
        <v>537.9</v>
      </c>
      <c r="Q1044" s="116">
        <v>10739.3</v>
      </c>
      <c r="R1044">
        <v>55804</v>
      </c>
    </row>
    <row r="1045" spans="1:18" x14ac:dyDescent="0.25">
      <c r="A1045" s="170">
        <v>43539</v>
      </c>
      <c r="B1045" s="116">
        <v>537.29999999999995</v>
      </c>
      <c r="C1045" s="116">
        <v>516.45000000000005</v>
      </c>
      <c r="D1045" s="116">
        <v>512.04999999999995</v>
      </c>
      <c r="E1045" s="116">
        <v>537.29999999999995</v>
      </c>
      <c r="F1045" s="116">
        <v>10329</v>
      </c>
      <c r="G1045">
        <v>4276</v>
      </c>
      <c r="H1045" s="116"/>
      <c r="I1045" s="116"/>
      <c r="L1045" s="170">
        <v>43539</v>
      </c>
      <c r="M1045" s="116">
        <v>514.495</v>
      </c>
      <c r="N1045" s="116">
        <v>538.10249999999996</v>
      </c>
      <c r="O1045" s="116">
        <v>511.5025</v>
      </c>
      <c r="P1045" s="116">
        <v>535.06500000000005</v>
      </c>
      <c r="Q1045" s="116">
        <v>10289.9</v>
      </c>
      <c r="R1045">
        <v>183452</v>
      </c>
    </row>
    <row r="1046" spans="1:18" x14ac:dyDescent="0.25">
      <c r="A1046" s="170">
        <v>43542</v>
      </c>
      <c r="B1046" s="116">
        <v>524.20000000000005</v>
      </c>
      <c r="C1046" s="116">
        <v>523.25</v>
      </c>
      <c r="D1046" s="116">
        <v>514</v>
      </c>
      <c r="E1046" s="116">
        <v>518.19000000000005</v>
      </c>
      <c r="F1046" s="116">
        <v>10465</v>
      </c>
      <c r="G1046">
        <v>2428</v>
      </c>
      <c r="H1046" s="116"/>
      <c r="I1046" s="116"/>
      <c r="L1046" s="170">
        <v>43542</v>
      </c>
      <c r="M1046" s="116">
        <v>522.83000000000004</v>
      </c>
      <c r="N1046" s="116">
        <v>524.77</v>
      </c>
      <c r="O1046" s="116">
        <v>513.55999999999995</v>
      </c>
      <c r="P1046" s="116">
        <v>518.75</v>
      </c>
      <c r="Q1046" s="116">
        <v>10456.6</v>
      </c>
      <c r="R1046">
        <v>61262</v>
      </c>
    </row>
    <row r="1047" spans="1:18" x14ac:dyDescent="0.25">
      <c r="A1047" s="170">
        <v>43543</v>
      </c>
      <c r="B1047" s="116">
        <v>535.99749999999995</v>
      </c>
      <c r="C1047" s="116">
        <v>533.85</v>
      </c>
      <c r="D1047" s="116">
        <v>521.03499999999997</v>
      </c>
      <c r="E1047" s="116">
        <v>523.25</v>
      </c>
      <c r="F1047" s="116">
        <v>10677</v>
      </c>
      <c r="G1047">
        <v>2394</v>
      </c>
      <c r="H1047" s="116"/>
      <c r="I1047" s="116"/>
      <c r="L1047" s="170">
        <v>43543</v>
      </c>
      <c r="M1047" s="116">
        <v>535.35</v>
      </c>
      <c r="N1047" s="116">
        <v>537.75</v>
      </c>
      <c r="O1047" s="116">
        <v>520.49249999999995</v>
      </c>
      <c r="P1047" s="116">
        <v>522.83000000000004</v>
      </c>
      <c r="Q1047" s="116">
        <v>10707</v>
      </c>
      <c r="R1047">
        <v>82821</v>
      </c>
    </row>
    <row r="1048" spans="1:18" x14ac:dyDescent="0.25">
      <c r="A1048" s="170">
        <v>43544</v>
      </c>
      <c r="B1048" s="116">
        <v>537.99749999999995</v>
      </c>
      <c r="C1048" s="116">
        <v>526.74749999999995</v>
      </c>
      <c r="D1048" s="116">
        <v>524.9325</v>
      </c>
      <c r="E1048" s="116">
        <v>535</v>
      </c>
      <c r="F1048" s="116">
        <v>10534.95</v>
      </c>
      <c r="G1048">
        <v>2089</v>
      </c>
      <c r="H1048" s="116"/>
      <c r="I1048" s="116"/>
      <c r="L1048" s="170">
        <v>43544</v>
      </c>
      <c r="M1048" s="116">
        <v>526.50750000000005</v>
      </c>
      <c r="N1048" s="116">
        <v>537.49749999999995</v>
      </c>
      <c r="O1048" s="116">
        <v>523.17499999999995</v>
      </c>
      <c r="P1048" s="116">
        <v>536.495</v>
      </c>
      <c r="Q1048" s="116">
        <v>10530.15</v>
      </c>
      <c r="R1048">
        <v>59630</v>
      </c>
    </row>
    <row r="1049" spans="1:18" x14ac:dyDescent="0.25">
      <c r="A1049" s="170">
        <v>43546</v>
      </c>
      <c r="B1049" s="116">
        <v>532.22749999999996</v>
      </c>
      <c r="C1049" s="116">
        <v>529.90250000000003</v>
      </c>
      <c r="D1049" s="116">
        <v>525.94500000000005</v>
      </c>
      <c r="E1049" s="116">
        <v>525.94749999999999</v>
      </c>
      <c r="F1049" s="116">
        <v>10598.05</v>
      </c>
      <c r="G1049">
        <v>1072</v>
      </c>
      <c r="H1049" s="116"/>
      <c r="I1049" s="116"/>
      <c r="L1049" s="170">
        <v>43546</v>
      </c>
      <c r="M1049" s="116">
        <v>530.03250000000003</v>
      </c>
      <c r="N1049" s="116">
        <v>532.45000000000005</v>
      </c>
      <c r="O1049" s="116">
        <v>526.36249999999995</v>
      </c>
      <c r="P1049" s="116">
        <v>529.65</v>
      </c>
      <c r="Q1049" s="116">
        <v>10600.65</v>
      </c>
      <c r="R1049">
        <v>85656</v>
      </c>
    </row>
    <row r="1050" spans="1:18" x14ac:dyDescent="0.25">
      <c r="A1050" s="170">
        <v>43549</v>
      </c>
      <c r="B1050" s="116">
        <v>529.99749999999995</v>
      </c>
      <c r="C1050" s="116">
        <v>526.05250000000001</v>
      </c>
      <c r="D1050" s="116">
        <v>515.15750000000003</v>
      </c>
      <c r="E1050" s="116">
        <v>529.99749999999995</v>
      </c>
      <c r="F1050" s="116">
        <v>10521.05</v>
      </c>
      <c r="G1050">
        <v>2542</v>
      </c>
      <c r="H1050" s="116"/>
      <c r="I1050" s="116"/>
      <c r="L1050" s="170">
        <v>43549</v>
      </c>
      <c r="M1050" s="116">
        <v>526.41499999999996</v>
      </c>
      <c r="N1050" s="116">
        <v>527.495</v>
      </c>
      <c r="O1050" s="116">
        <v>515.15</v>
      </c>
      <c r="P1050" s="116">
        <v>525.75250000000005</v>
      </c>
      <c r="Q1050" s="116">
        <v>10528.3</v>
      </c>
      <c r="R1050">
        <v>109785</v>
      </c>
    </row>
    <row r="1051" spans="1:18" x14ac:dyDescent="0.25">
      <c r="A1051" s="170">
        <v>43550</v>
      </c>
      <c r="B1051" s="116">
        <v>538.45000000000005</v>
      </c>
      <c r="C1051" s="116">
        <v>534.73249999999996</v>
      </c>
      <c r="D1051" s="116">
        <v>526.65</v>
      </c>
      <c r="E1051" s="116">
        <v>527.5</v>
      </c>
      <c r="F1051" s="116">
        <v>10694.65</v>
      </c>
      <c r="G1051">
        <v>3608</v>
      </c>
      <c r="H1051" s="116"/>
      <c r="I1051" s="116"/>
      <c r="L1051" s="170">
        <v>43550</v>
      </c>
      <c r="M1051" s="116">
        <v>534.59500000000003</v>
      </c>
      <c r="N1051" s="116">
        <v>539.51250000000005</v>
      </c>
      <c r="O1051" s="116">
        <v>525.79750000000001</v>
      </c>
      <c r="P1051" s="116">
        <v>528.26</v>
      </c>
      <c r="Q1051" s="116">
        <v>10691.9</v>
      </c>
      <c r="R1051">
        <v>150685</v>
      </c>
    </row>
    <row r="1052" spans="1:18" x14ac:dyDescent="0.25">
      <c r="A1052" s="170">
        <v>43551</v>
      </c>
      <c r="B1052" s="116">
        <v>554</v>
      </c>
      <c r="C1052" s="116">
        <v>542.65</v>
      </c>
      <c r="D1052" s="116">
        <v>529.94749999999999</v>
      </c>
      <c r="E1052" s="116">
        <v>535.33500000000004</v>
      </c>
      <c r="F1052" s="116">
        <v>10853</v>
      </c>
      <c r="G1052">
        <v>7445</v>
      </c>
      <c r="H1052" s="116"/>
      <c r="I1052" s="116"/>
      <c r="L1052" s="170">
        <v>43551</v>
      </c>
      <c r="M1052" s="116">
        <v>544.6</v>
      </c>
      <c r="N1052" s="116">
        <v>552.45000000000005</v>
      </c>
      <c r="O1052" s="116">
        <v>528.83749999999998</v>
      </c>
      <c r="P1052" s="116">
        <v>534.54750000000001</v>
      </c>
      <c r="Q1052" s="116">
        <v>10892</v>
      </c>
      <c r="R1052">
        <v>139605</v>
      </c>
    </row>
    <row r="1053" spans="1:18" x14ac:dyDescent="0.25">
      <c r="A1053" s="170">
        <v>43552</v>
      </c>
      <c r="B1053" s="116">
        <v>555</v>
      </c>
      <c r="C1053" s="116">
        <v>551.39499999999998</v>
      </c>
      <c r="D1053" s="116">
        <v>540.66250000000002</v>
      </c>
      <c r="E1053" s="116">
        <v>545</v>
      </c>
      <c r="F1053" s="116">
        <v>11027.9</v>
      </c>
      <c r="G1053">
        <v>5491</v>
      </c>
      <c r="H1053" s="116"/>
      <c r="I1053" s="116"/>
      <c r="L1053" s="170">
        <v>43552</v>
      </c>
      <c r="M1053" s="116">
        <v>553.65499999999997</v>
      </c>
      <c r="N1053" s="116">
        <v>556.5</v>
      </c>
      <c r="O1053" s="116">
        <v>540.04999999999995</v>
      </c>
      <c r="P1053" s="116">
        <v>546.94500000000005</v>
      </c>
      <c r="Q1053" s="116">
        <v>11073.1</v>
      </c>
      <c r="R1053">
        <v>91828</v>
      </c>
    </row>
    <row r="1054" spans="1:18" x14ac:dyDescent="0.25">
      <c r="A1054" s="170">
        <v>43553</v>
      </c>
      <c r="B1054" s="116">
        <v>561.25</v>
      </c>
      <c r="C1054" s="116">
        <v>549.71249999999998</v>
      </c>
      <c r="D1054" s="116">
        <v>540</v>
      </c>
      <c r="E1054" s="116">
        <v>552</v>
      </c>
      <c r="F1054" s="116">
        <v>10994.25</v>
      </c>
      <c r="G1054">
        <v>3806</v>
      </c>
      <c r="H1054" s="116"/>
      <c r="I1054" s="116"/>
      <c r="L1054" s="170">
        <v>43553</v>
      </c>
      <c r="M1054" s="116">
        <v>548.04750000000001</v>
      </c>
      <c r="N1054" s="116">
        <v>561.95000000000005</v>
      </c>
      <c r="O1054" s="116">
        <v>545.04999999999995</v>
      </c>
      <c r="P1054" s="116">
        <v>551.35749999999996</v>
      </c>
      <c r="Q1054" s="116">
        <v>10960.95</v>
      </c>
      <c r="R1054">
        <v>149501</v>
      </c>
    </row>
    <row r="1055" spans="1:18" x14ac:dyDescent="0.25">
      <c r="A1055" s="170">
        <v>43556</v>
      </c>
      <c r="B1055" s="116">
        <v>555.33749999999998</v>
      </c>
      <c r="C1055" s="116">
        <v>544.78</v>
      </c>
      <c r="D1055" s="116">
        <v>541.52250000000004</v>
      </c>
      <c r="E1055" s="116">
        <v>550</v>
      </c>
      <c r="F1055" s="116">
        <v>10895.6</v>
      </c>
      <c r="G1055">
        <v>2201</v>
      </c>
      <c r="H1055" s="116"/>
      <c r="I1055" s="116"/>
      <c r="L1055" s="170">
        <v>43556</v>
      </c>
      <c r="M1055" s="116">
        <v>545.75750000000005</v>
      </c>
      <c r="N1055" s="116">
        <v>556.04999999999995</v>
      </c>
      <c r="O1055" s="116">
        <v>543.05499999999995</v>
      </c>
      <c r="P1055" s="116">
        <v>549</v>
      </c>
      <c r="Q1055" s="116">
        <v>10915.15</v>
      </c>
      <c r="R1055">
        <v>81431</v>
      </c>
    </row>
    <row r="1056" spans="1:18" x14ac:dyDescent="0.25">
      <c r="A1056" s="170">
        <v>43557</v>
      </c>
      <c r="B1056" s="116">
        <v>547</v>
      </c>
      <c r="C1056" s="116">
        <v>538.34</v>
      </c>
      <c r="D1056" s="116">
        <v>535.00250000000005</v>
      </c>
      <c r="E1056" s="116">
        <v>547</v>
      </c>
      <c r="F1056" s="116">
        <v>10766.8</v>
      </c>
      <c r="G1056">
        <v>1348</v>
      </c>
      <c r="H1056" s="116"/>
      <c r="I1056" s="116"/>
      <c r="L1056" s="170">
        <v>43557</v>
      </c>
      <c r="M1056" s="116">
        <v>539.34</v>
      </c>
      <c r="N1056" s="116">
        <v>548.98500000000001</v>
      </c>
      <c r="O1056" s="116">
        <v>535</v>
      </c>
      <c r="P1056" s="116">
        <v>548.98500000000001</v>
      </c>
      <c r="Q1056" s="116">
        <v>10786.8</v>
      </c>
      <c r="R1056">
        <v>59609</v>
      </c>
    </row>
    <row r="1057" spans="1:18" x14ac:dyDescent="0.25">
      <c r="A1057" s="170">
        <v>43558</v>
      </c>
      <c r="B1057" s="116">
        <v>552.54</v>
      </c>
      <c r="C1057" s="116">
        <v>550.21749999999997</v>
      </c>
      <c r="D1057" s="116">
        <v>540.25</v>
      </c>
      <c r="E1057" s="116">
        <v>542.5</v>
      </c>
      <c r="F1057" s="116">
        <v>11004.35</v>
      </c>
      <c r="G1057">
        <v>2217</v>
      </c>
      <c r="H1057" s="116"/>
      <c r="I1057" s="116"/>
      <c r="L1057" s="170">
        <v>43558</v>
      </c>
      <c r="M1057" s="116">
        <v>550.1875</v>
      </c>
      <c r="N1057" s="116">
        <v>553.35</v>
      </c>
      <c r="O1057" s="116">
        <v>539</v>
      </c>
      <c r="P1057" s="116">
        <v>547.35</v>
      </c>
      <c r="Q1057" s="116">
        <v>11003.75</v>
      </c>
      <c r="R1057">
        <v>74692</v>
      </c>
    </row>
    <row r="1058" spans="1:18" x14ac:dyDescent="0.25">
      <c r="A1058" s="170">
        <v>43559</v>
      </c>
      <c r="B1058" s="116">
        <v>551.78</v>
      </c>
      <c r="C1058" s="116">
        <v>548.64</v>
      </c>
      <c r="D1058" s="116">
        <v>543.51</v>
      </c>
      <c r="E1058" s="116">
        <v>550.25250000000005</v>
      </c>
      <c r="F1058" s="116">
        <v>10972.8</v>
      </c>
      <c r="G1058">
        <v>613</v>
      </c>
      <c r="H1058" s="116"/>
      <c r="I1058" s="116"/>
      <c r="L1058" s="170">
        <v>43559</v>
      </c>
      <c r="M1058" s="116">
        <v>548.09249999999997</v>
      </c>
      <c r="N1058" s="116">
        <v>552.95000000000005</v>
      </c>
      <c r="O1058" s="116">
        <v>542.5</v>
      </c>
      <c r="P1058" s="116">
        <v>552.95000000000005</v>
      </c>
      <c r="Q1058" s="116">
        <v>10961.85</v>
      </c>
      <c r="R1058">
        <v>40177</v>
      </c>
    </row>
    <row r="1059" spans="1:18" x14ac:dyDescent="0.25">
      <c r="A1059" s="170">
        <v>43560</v>
      </c>
      <c r="B1059" s="116">
        <v>554.21749999999997</v>
      </c>
      <c r="C1059" s="116">
        <v>550.05999999999995</v>
      </c>
      <c r="D1059" s="116">
        <v>545.61</v>
      </c>
      <c r="E1059" s="116">
        <v>548.5</v>
      </c>
      <c r="F1059" s="116">
        <v>11001.2</v>
      </c>
      <c r="G1059">
        <v>975</v>
      </c>
      <c r="H1059" s="116"/>
      <c r="I1059" s="116"/>
      <c r="L1059" s="170">
        <v>43560</v>
      </c>
      <c r="M1059" s="116">
        <v>549.03750000000002</v>
      </c>
      <c r="N1059" s="116">
        <v>554.54999999999995</v>
      </c>
      <c r="O1059" s="116">
        <v>545</v>
      </c>
      <c r="P1059" s="116">
        <v>546.75250000000005</v>
      </c>
      <c r="Q1059" s="116">
        <v>10980.75</v>
      </c>
      <c r="R1059">
        <v>26013</v>
      </c>
    </row>
    <row r="1060" spans="1:18" x14ac:dyDescent="0.25">
      <c r="A1060" s="170">
        <v>43563</v>
      </c>
      <c r="B1060" s="116">
        <v>551.04999999999995</v>
      </c>
      <c r="C1060" s="116">
        <v>544.00250000000005</v>
      </c>
      <c r="D1060" s="116">
        <v>542.01</v>
      </c>
      <c r="E1060" s="116">
        <v>550.5</v>
      </c>
      <c r="F1060" s="116">
        <v>10880.05</v>
      </c>
      <c r="G1060">
        <v>1695</v>
      </c>
      <c r="H1060" s="116"/>
      <c r="I1060" s="116"/>
      <c r="L1060" s="170">
        <v>43563</v>
      </c>
      <c r="M1060" s="116">
        <v>542.53</v>
      </c>
      <c r="N1060" s="116">
        <v>552.5</v>
      </c>
      <c r="O1060" s="116">
        <v>540.22500000000002</v>
      </c>
      <c r="P1060" s="116">
        <v>549.95000000000005</v>
      </c>
      <c r="Q1060" s="116">
        <v>10850.6</v>
      </c>
      <c r="R1060">
        <v>37049</v>
      </c>
    </row>
    <row r="1061" spans="1:18" x14ac:dyDescent="0.25">
      <c r="A1061" s="170">
        <v>43564</v>
      </c>
      <c r="B1061" s="116">
        <v>544.04999999999995</v>
      </c>
      <c r="C1061" s="116">
        <v>539.40250000000003</v>
      </c>
      <c r="D1061" s="116">
        <v>536.75</v>
      </c>
      <c r="E1061" s="116">
        <v>544.04999999999995</v>
      </c>
      <c r="F1061" s="116">
        <v>10788.05</v>
      </c>
      <c r="G1061">
        <v>1305</v>
      </c>
      <c r="H1061" s="116"/>
      <c r="I1061" s="116"/>
      <c r="L1061" s="170">
        <v>43564</v>
      </c>
      <c r="M1061" s="116">
        <v>539.50250000000005</v>
      </c>
      <c r="N1061" s="116">
        <v>544.45000000000005</v>
      </c>
      <c r="O1061" s="116">
        <v>537</v>
      </c>
      <c r="P1061" s="116">
        <v>544.45000000000005</v>
      </c>
      <c r="Q1061" s="116">
        <v>10790.05</v>
      </c>
      <c r="R1061">
        <v>75730</v>
      </c>
    </row>
    <row r="1062" spans="1:18" x14ac:dyDescent="0.25">
      <c r="A1062" s="170">
        <v>43565</v>
      </c>
      <c r="B1062" s="116">
        <v>542.11</v>
      </c>
      <c r="C1062" s="116">
        <v>540.41999999999996</v>
      </c>
      <c r="D1062" s="116">
        <v>536.50750000000005</v>
      </c>
      <c r="E1062" s="116">
        <v>540.03750000000002</v>
      </c>
      <c r="F1062" s="116">
        <v>10808.4</v>
      </c>
      <c r="G1062">
        <v>1667</v>
      </c>
      <c r="H1062" s="116"/>
      <c r="I1062" s="116"/>
      <c r="L1062" s="170">
        <v>43565</v>
      </c>
      <c r="M1062" s="116">
        <v>540.59749999999997</v>
      </c>
      <c r="N1062" s="116">
        <v>542.5</v>
      </c>
      <c r="O1062" s="116">
        <v>536.5</v>
      </c>
      <c r="P1062" s="116">
        <v>539.625</v>
      </c>
      <c r="Q1062" s="116">
        <v>10811.95</v>
      </c>
      <c r="R1062">
        <v>48089</v>
      </c>
    </row>
    <row r="1063" spans="1:18" x14ac:dyDescent="0.25">
      <c r="A1063" s="170">
        <v>43566</v>
      </c>
      <c r="B1063" s="116">
        <v>544.11500000000001</v>
      </c>
      <c r="C1063" s="116">
        <v>538.07749999999999</v>
      </c>
      <c r="D1063" s="116">
        <v>535.255</v>
      </c>
      <c r="E1063" s="116">
        <v>539.67999999999995</v>
      </c>
      <c r="F1063" s="116">
        <v>10761.55</v>
      </c>
      <c r="G1063">
        <v>1186</v>
      </c>
      <c r="H1063" s="116"/>
      <c r="I1063" s="116"/>
      <c r="L1063" s="170">
        <v>43566</v>
      </c>
      <c r="M1063" s="116">
        <v>538.20500000000004</v>
      </c>
      <c r="N1063" s="116">
        <v>544.95000000000005</v>
      </c>
      <c r="O1063" s="116">
        <v>534.5</v>
      </c>
      <c r="P1063" s="116">
        <v>539.75</v>
      </c>
      <c r="Q1063" s="116">
        <v>10764.1</v>
      </c>
      <c r="R1063">
        <v>93902</v>
      </c>
    </row>
    <row r="1064" spans="1:18" x14ac:dyDescent="0.25">
      <c r="A1064" s="170">
        <v>43567</v>
      </c>
      <c r="B1064" s="116">
        <v>549.44500000000005</v>
      </c>
      <c r="C1064" s="116">
        <v>547.04750000000001</v>
      </c>
      <c r="D1064" s="116">
        <v>538.95000000000005</v>
      </c>
      <c r="E1064" s="116">
        <v>538.95000000000005</v>
      </c>
      <c r="F1064" s="116">
        <v>10940.95</v>
      </c>
      <c r="G1064">
        <v>1183</v>
      </c>
      <c r="H1064" s="116"/>
      <c r="I1064" s="116"/>
      <c r="L1064" s="170">
        <v>43567</v>
      </c>
      <c r="M1064" s="116">
        <v>548.69000000000005</v>
      </c>
      <c r="N1064" s="116">
        <v>550</v>
      </c>
      <c r="O1064" s="116">
        <v>538.21500000000003</v>
      </c>
      <c r="P1064" s="116">
        <v>538.39499999999998</v>
      </c>
      <c r="Q1064" s="116">
        <v>10973.8</v>
      </c>
      <c r="R1064">
        <v>49737</v>
      </c>
    </row>
    <row r="1065" spans="1:18" x14ac:dyDescent="0.25">
      <c r="A1065" s="170">
        <v>43570</v>
      </c>
      <c r="B1065" s="116">
        <v>554.5675</v>
      </c>
      <c r="C1065" s="116">
        <v>548.23749999999995</v>
      </c>
      <c r="D1065" s="116">
        <v>544.95749999999998</v>
      </c>
      <c r="E1065" s="116">
        <v>548.75</v>
      </c>
      <c r="F1065" s="116">
        <v>10964.75</v>
      </c>
      <c r="G1065">
        <v>1241</v>
      </c>
      <c r="H1065" s="116"/>
      <c r="I1065" s="116"/>
      <c r="L1065" s="170">
        <v>43570</v>
      </c>
      <c r="M1065" s="116">
        <v>548.505</v>
      </c>
      <c r="N1065" s="116">
        <v>554.45000000000005</v>
      </c>
      <c r="O1065" s="116">
        <v>544.55250000000001</v>
      </c>
      <c r="P1065" s="116">
        <v>550</v>
      </c>
      <c r="Q1065" s="116">
        <v>10970.1</v>
      </c>
      <c r="R1065">
        <v>84735</v>
      </c>
    </row>
    <row r="1066" spans="1:18" x14ac:dyDescent="0.25">
      <c r="A1066" s="170">
        <v>43571</v>
      </c>
      <c r="B1066" s="116">
        <v>559.97</v>
      </c>
      <c r="C1066" s="116">
        <v>556.5625</v>
      </c>
      <c r="D1066" s="116">
        <v>550.54999999999995</v>
      </c>
      <c r="E1066" s="116">
        <v>550.54999999999995</v>
      </c>
      <c r="F1066" s="116">
        <v>11131.25</v>
      </c>
      <c r="G1066">
        <v>1555</v>
      </c>
      <c r="H1066" s="116"/>
      <c r="I1066" s="116"/>
      <c r="L1066" s="170">
        <v>43571</v>
      </c>
      <c r="M1066" s="116">
        <v>557.79</v>
      </c>
      <c r="N1066" s="116">
        <v>560.94749999999999</v>
      </c>
      <c r="O1066" s="116">
        <v>549.75</v>
      </c>
      <c r="P1066" s="116">
        <v>550</v>
      </c>
      <c r="Q1066" s="116">
        <v>11155.8</v>
      </c>
      <c r="R1066">
        <v>89355</v>
      </c>
    </row>
    <row r="1067" spans="1:18" x14ac:dyDescent="0.25">
      <c r="A1067" s="170">
        <v>43573</v>
      </c>
      <c r="B1067" s="116">
        <v>561.45500000000004</v>
      </c>
      <c r="C1067" s="116">
        <v>547.63499999999999</v>
      </c>
      <c r="D1067" s="116">
        <v>542.63250000000005</v>
      </c>
      <c r="E1067" s="116">
        <v>560.19749999999999</v>
      </c>
      <c r="F1067" s="116">
        <v>10952.7</v>
      </c>
      <c r="G1067">
        <v>1146</v>
      </c>
      <c r="H1067" s="116"/>
      <c r="I1067" s="116"/>
      <c r="L1067" s="170">
        <v>43573</v>
      </c>
      <c r="M1067" s="116">
        <v>547.72249999999997</v>
      </c>
      <c r="N1067" s="116">
        <v>561.99749999999995</v>
      </c>
      <c r="O1067" s="116">
        <v>546.25</v>
      </c>
      <c r="P1067" s="116">
        <v>559.32000000000005</v>
      </c>
      <c r="Q1067" s="116">
        <v>10954.45</v>
      </c>
      <c r="R1067">
        <v>56399</v>
      </c>
    </row>
    <row r="1068" spans="1:18" x14ac:dyDescent="0.25">
      <c r="A1068" s="170">
        <v>43577</v>
      </c>
      <c r="B1068" s="116">
        <v>548.03</v>
      </c>
      <c r="C1068" s="116">
        <v>545.49249999999995</v>
      </c>
      <c r="D1068" s="116">
        <v>543.79250000000002</v>
      </c>
      <c r="E1068" s="116">
        <v>547.51499999999999</v>
      </c>
      <c r="F1068" s="116">
        <v>10909.85</v>
      </c>
      <c r="G1068">
        <v>602</v>
      </c>
      <c r="H1068" s="116"/>
      <c r="I1068" s="116"/>
      <c r="L1068" s="170">
        <v>43577</v>
      </c>
      <c r="M1068" s="116">
        <v>543.995</v>
      </c>
      <c r="N1068" s="116">
        <v>556.25</v>
      </c>
      <c r="O1068" s="116">
        <v>542.57749999999999</v>
      </c>
      <c r="P1068" s="116">
        <v>548.25</v>
      </c>
      <c r="Q1068" s="116">
        <v>10879.9</v>
      </c>
      <c r="R1068">
        <v>31883</v>
      </c>
    </row>
    <row r="1069" spans="1:18" x14ac:dyDescent="0.25">
      <c r="A1069" s="170">
        <v>43578</v>
      </c>
      <c r="B1069" s="116">
        <v>548.55499999999995</v>
      </c>
      <c r="C1069" s="116">
        <v>546.14</v>
      </c>
      <c r="D1069" s="116">
        <v>542.54999999999995</v>
      </c>
      <c r="E1069" s="116">
        <v>544.99749999999995</v>
      </c>
      <c r="F1069" s="116">
        <v>10922.8</v>
      </c>
      <c r="G1069">
        <v>1007</v>
      </c>
      <c r="H1069" s="116"/>
      <c r="I1069" s="116"/>
      <c r="L1069" s="170">
        <v>43578</v>
      </c>
      <c r="M1069" s="116">
        <v>545.51</v>
      </c>
      <c r="N1069" s="116">
        <v>548.95000000000005</v>
      </c>
      <c r="O1069" s="116">
        <v>543.6</v>
      </c>
      <c r="P1069" s="116">
        <v>547</v>
      </c>
      <c r="Q1069" s="116">
        <v>10910.2</v>
      </c>
      <c r="R1069">
        <v>25119</v>
      </c>
    </row>
    <row r="1070" spans="1:18" x14ac:dyDescent="0.25">
      <c r="A1070" s="170">
        <v>43579</v>
      </c>
      <c r="B1070" s="116">
        <v>551</v>
      </c>
      <c r="C1070" s="116">
        <v>541.61749999999995</v>
      </c>
      <c r="D1070" s="116">
        <v>536.34749999999997</v>
      </c>
      <c r="E1070" s="116">
        <v>545.00250000000005</v>
      </c>
      <c r="F1070" s="116">
        <v>10832.35</v>
      </c>
      <c r="G1070">
        <v>1768</v>
      </c>
      <c r="H1070" s="116"/>
      <c r="I1070" s="116"/>
      <c r="L1070" s="170">
        <v>43579</v>
      </c>
      <c r="M1070" s="116">
        <v>541.66999999999996</v>
      </c>
      <c r="N1070" s="116">
        <v>551.47749999999996</v>
      </c>
      <c r="O1070" s="116">
        <v>535.25</v>
      </c>
      <c r="P1070" s="116">
        <v>545.375</v>
      </c>
      <c r="Q1070" s="116">
        <v>10833.4</v>
      </c>
      <c r="R1070">
        <v>76358</v>
      </c>
    </row>
    <row r="1071" spans="1:18" x14ac:dyDescent="0.25">
      <c r="A1071" s="170">
        <v>43580</v>
      </c>
      <c r="B1071" s="116">
        <v>549</v>
      </c>
      <c r="C1071" s="116">
        <v>544.00750000000005</v>
      </c>
      <c r="D1071" s="116">
        <v>541</v>
      </c>
      <c r="E1071" s="116">
        <v>541</v>
      </c>
      <c r="F1071" s="116">
        <v>10880.15</v>
      </c>
      <c r="G1071">
        <v>997</v>
      </c>
      <c r="H1071" s="116"/>
      <c r="I1071" s="116"/>
      <c r="L1071" s="170">
        <v>43580</v>
      </c>
      <c r="M1071" s="116">
        <v>542.32249999999999</v>
      </c>
      <c r="N1071" s="116">
        <v>549.5</v>
      </c>
      <c r="O1071" s="116">
        <v>539</v>
      </c>
      <c r="P1071" s="116">
        <v>544.5</v>
      </c>
      <c r="Q1071" s="116">
        <v>10846.45</v>
      </c>
      <c r="R1071">
        <v>90249</v>
      </c>
    </row>
    <row r="1072" spans="1:18" x14ac:dyDescent="0.25">
      <c r="A1072" s="170">
        <v>43581</v>
      </c>
      <c r="B1072" s="116">
        <v>552.20000000000005</v>
      </c>
      <c r="C1072" s="116">
        <v>548.50250000000005</v>
      </c>
      <c r="D1072" s="116">
        <v>542.5</v>
      </c>
      <c r="E1072" s="116">
        <v>542.63499999999999</v>
      </c>
      <c r="F1072" s="116">
        <v>10970.05</v>
      </c>
      <c r="G1072">
        <v>1478</v>
      </c>
      <c r="H1072" s="116"/>
      <c r="I1072" s="116"/>
      <c r="L1072" s="170">
        <v>43581</v>
      </c>
      <c r="M1072" s="116">
        <v>548.5625</v>
      </c>
      <c r="N1072" s="116">
        <v>552.46</v>
      </c>
      <c r="O1072" s="116">
        <v>541.10249999999996</v>
      </c>
      <c r="P1072" s="116">
        <v>542.54999999999995</v>
      </c>
      <c r="Q1072" s="116">
        <v>10971.25</v>
      </c>
      <c r="R1072">
        <v>51412</v>
      </c>
    </row>
    <row r="1073" spans="1:18" x14ac:dyDescent="0.25">
      <c r="A1073" s="170">
        <v>43585</v>
      </c>
      <c r="B1073" s="116">
        <v>547.75</v>
      </c>
      <c r="C1073" s="116">
        <v>545.16</v>
      </c>
      <c r="D1073" s="116">
        <v>542.505</v>
      </c>
      <c r="E1073" s="116">
        <v>543.96</v>
      </c>
      <c r="F1073" s="116">
        <v>10903.2</v>
      </c>
      <c r="G1073">
        <v>1337</v>
      </c>
      <c r="H1073" s="116"/>
      <c r="I1073" s="116"/>
      <c r="L1073" s="170">
        <v>43585</v>
      </c>
      <c r="M1073" s="116">
        <v>545.26499999999999</v>
      </c>
      <c r="N1073" s="116">
        <v>548.74749999999995</v>
      </c>
      <c r="O1073" s="116">
        <v>542.73500000000001</v>
      </c>
      <c r="P1073" s="116">
        <v>545</v>
      </c>
      <c r="Q1073" s="116">
        <v>10905.3</v>
      </c>
      <c r="R1073">
        <v>74238</v>
      </c>
    </row>
    <row r="1074" spans="1:18" x14ac:dyDescent="0.25">
      <c r="A1074" s="170">
        <v>43587</v>
      </c>
      <c r="B1074" s="116">
        <v>545</v>
      </c>
      <c r="C1074" s="116">
        <v>530.20249999999999</v>
      </c>
      <c r="D1074" s="116">
        <v>527.5</v>
      </c>
      <c r="E1074" s="116">
        <v>545</v>
      </c>
      <c r="F1074" s="116">
        <v>10604.05</v>
      </c>
      <c r="G1074">
        <v>11652</v>
      </c>
      <c r="H1074" s="116"/>
      <c r="I1074" s="116"/>
      <c r="L1074" s="170">
        <v>43587</v>
      </c>
      <c r="M1074" s="116">
        <v>529.48500000000001</v>
      </c>
      <c r="N1074" s="116">
        <v>545.25</v>
      </c>
      <c r="O1074" s="116">
        <v>520.15250000000003</v>
      </c>
      <c r="P1074" s="116">
        <v>545.25</v>
      </c>
      <c r="Q1074" s="116">
        <v>10589.7</v>
      </c>
      <c r="R1074">
        <v>44249</v>
      </c>
    </row>
    <row r="1075" spans="1:18" x14ac:dyDescent="0.25">
      <c r="A1075" s="170">
        <v>43588</v>
      </c>
      <c r="B1075" s="116">
        <v>531.80499999999995</v>
      </c>
      <c r="C1075" s="116">
        <v>525.09500000000003</v>
      </c>
      <c r="D1075" s="116">
        <v>519.45000000000005</v>
      </c>
      <c r="E1075" s="116">
        <v>530.04999999999995</v>
      </c>
      <c r="F1075" s="116">
        <v>10501.9</v>
      </c>
      <c r="G1075">
        <v>1839</v>
      </c>
      <c r="H1075" s="116"/>
      <c r="I1075" s="116"/>
      <c r="L1075" s="170">
        <v>43588</v>
      </c>
      <c r="M1075" s="116">
        <v>524.28499999999997</v>
      </c>
      <c r="N1075" s="116">
        <v>532.5</v>
      </c>
      <c r="O1075" s="116">
        <v>519</v>
      </c>
      <c r="P1075" s="116">
        <v>532.5</v>
      </c>
      <c r="Q1075" s="116">
        <v>10485.700000000001</v>
      </c>
      <c r="R1075">
        <v>115448</v>
      </c>
    </row>
    <row r="1076" spans="1:18" x14ac:dyDescent="0.25">
      <c r="A1076" s="170">
        <v>43591</v>
      </c>
      <c r="B1076" s="116">
        <v>524.3125</v>
      </c>
      <c r="C1076" s="116">
        <v>519.44000000000005</v>
      </c>
      <c r="D1076" s="116">
        <v>516.15</v>
      </c>
      <c r="E1076" s="116">
        <v>520.04999999999995</v>
      </c>
      <c r="F1076" s="116">
        <v>10388.799999999999</v>
      </c>
      <c r="G1076">
        <v>1588</v>
      </c>
      <c r="H1076" s="116"/>
      <c r="I1076" s="116"/>
      <c r="L1076" s="170">
        <v>43591</v>
      </c>
      <c r="M1076" s="116">
        <v>518.20000000000005</v>
      </c>
      <c r="N1076" s="116">
        <v>524.85500000000002</v>
      </c>
      <c r="O1076" s="116">
        <v>515.25250000000005</v>
      </c>
      <c r="P1076" s="116">
        <v>520</v>
      </c>
      <c r="Q1076" s="116">
        <v>10364</v>
      </c>
      <c r="R1076">
        <v>90136</v>
      </c>
    </row>
    <row r="1077" spans="1:18" x14ac:dyDescent="0.25">
      <c r="A1077" s="170">
        <v>43592</v>
      </c>
      <c r="B1077" s="116">
        <v>529.83749999999998</v>
      </c>
      <c r="C1077" s="116">
        <v>523.59249999999997</v>
      </c>
      <c r="D1077" s="116">
        <v>520</v>
      </c>
      <c r="E1077" s="116">
        <v>524.9</v>
      </c>
      <c r="F1077" s="116">
        <v>10471.85</v>
      </c>
      <c r="G1077">
        <v>993</v>
      </c>
      <c r="H1077" s="116"/>
      <c r="I1077" s="116"/>
      <c r="L1077" s="170">
        <v>43592</v>
      </c>
      <c r="M1077" s="116">
        <v>523.85500000000002</v>
      </c>
      <c r="N1077" s="116">
        <v>529.49749999999995</v>
      </c>
      <c r="O1077" s="116">
        <v>520.04999999999995</v>
      </c>
      <c r="P1077" s="116">
        <v>520.07500000000005</v>
      </c>
      <c r="Q1077" s="116">
        <v>10477.1</v>
      </c>
      <c r="R1077">
        <v>72631</v>
      </c>
    </row>
    <row r="1078" spans="1:18" x14ac:dyDescent="0.25">
      <c r="A1078" s="170">
        <v>43593</v>
      </c>
      <c r="B1078" s="116">
        <v>528</v>
      </c>
      <c r="C1078" s="116">
        <v>515.27750000000003</v>
      </c>
      <c r="D1078" s="116">
        <v>514.21</v>
      </c>
      <c r="E1078" s="116">
        <v>523.6</v>
      </c>
      <c r="F1078" s="116">
        <v>10305.549999999999</v>
      </c>
      <c r="G1078">
        <v>21490</v>
      </c>
      <c r="H1078" s="116"/>
      <c r="I1078" s="116"/>
      <c r="L1078" s="170">
        <v>43593</v>
      </c>
      <c r="M1078" s="116">
        <v>514.91750000000002</v>
      </c>
      <c r="N1078" s="116">
        <v>526.79999999999995</v>
      </c>
      <c r="O1078" s="116">
        <v>513.78499999999997</v>
      </c>
      <c r="P1078" s="116">
        <v>524.38750000000005</v>
      </c>
      <c r="Q1078" s="116">
        <v>10298.35</v>
      </c>
      <c r="R1078">
        <v>46391</v>
      </c>
    </row>
    <row r="1079" spans="1:18" x14ac:dyDescent="0.25">
      <c r="A1079" s="170">
        <v>43594</v>
      </c>
      <c r="B1079" s="116">
        <v>520.48500000000001</v>
      </c>
      <c r="C1079" s="116">
        <v>517.87</v>
      </c>
      <c r="D1079" s="116">
        <v>511.1</v>
      </c>
      <c r="E1079" s="116">
        <v>516</v>
      </c>
      <c r="F1079" s="116">
        <v>10357.4</v>
      </c>
      <c r="G1079">
        <v>1707</v>
      </c>
      <c r="H1079" s="116"/>
      <c r="I1079" s="116"/>
      <c r="L1079" s="170">
        <v>43594</v>
      </c>
      <c r="M1079" s="116">
        <v>518.11</v>
      </c>
      <c r="N1079" s="116">
        <v>520.45000000000005</v>
      </c>
      <c r="O1079" s="116">
        <v>510</v>
      </c>
      <c r="P1079" s="116">
        <v>514.75</v>
      </c>
      <c r="Q1079" s="116">
        <v>10362.200000000001</v>
      </c>
      <c r="R1079">
        <v>46552</v>
      </c>
    </row>
    <row r="1080" spans="1:18" x14ac:dyDescent="0.25">
      <c r="A1080" s="170">
        <v>43595</v>
      </c>
      <c r="B1080" s="116">
        <v>521.78</v>
      </c>
      <c r="C1080" s="116">
        <v>511.89249999999998</v>
      </c>
      <c r="D1080" s="116">
        <v>507.6275</v>
      </c>
      <c r="E1080" s="116">
        <v>520.5</v>
      </c>
      <c r="F1080" s="116">
        <v>10237.85</v>
      </c>
      <c r="G1080">
        <v>2328</v>
      </c>
      <c r="H1080" s="116"/>
      <c r="I1080" s="116"/>
      <c r="L1080" s="170">
        <v>43595</v>
      </c>
      <c r="M1080" s="116">
        <v>511.5575</v>
      </c>
      <c r="N1080" s="116">
        <v>521.78250000000003</v>
      </c>
      <c r="O1080" s="116">
        <v>508.55250000000001</v>
      </c>
      <c r="P1080" s="116">
        <v>518.59500000000003</v>
      </c>
      <c r="Q1080" s="116">
        <v>10231.15</v>
      </c>
      <c r="R1080">
        <v>61273</v>
      </c>
    </row>
    <row r="1081" spans="1:18" x14ac:dyDescent="0.25">
      <c r="A1081" s="170">
        <v>43598</v>
      </c>
      <c r="B1081" s="116">
        <v>521.60249999999996</v>
      </c>
      <c r="C1081" s="116">
        <v>515.82749999999999</v>
      </c>
      <c r="D1081" s="116">
        <v>509.95</v>
      </c>
      <c r="E1081" s="116">
        <v>509.95</v>
      </c>
      <c r="F1081" s="116">
        <v>10316.549999999999</v>
      </c>
      <c r="G1081">
        <v>12168</v>
      </c>
      <c r="H1081" s="116"/>
      <c r="I1081" s="116"/>
      <c r="L1081" s="170">
        <v>43598</v>
      </c>
      <c r="M1081" s="116">
        <v>515.00250000000005</v>
      </c>
      <c r="N1081" s="116">
        <v>521.66250000000002</v>
      </c>
      <c r="O1081" s="116">
        <v>511.61250000000001</v>
      </c>
      <c r="P1081" s="116">
        <v>513.1</v>
      </c>
      <c r="Q1081" s="116">
        <v>10300.049999999999</v>
      </c>
      <c r="R1081">
        <v>48042</v>
      </c>
    </row>
    <row r="1082" spans="1:18" x14ac:dyDescent="0.25">
      <c r="A1082" s="170">
        <v>43599</v>
      </c>
      <c r="B1082" s="116">
        <v>515.84500000000003</v>
      </c>
      <c r="C1082" s="116">
        <v>510.73500000000001</v>
      </c>
      <c r="D1082" s="116">
        <v>506.32249999999999</v>
      </c>
      <c r="E1082" s="116">
        <v>515.84500000000003</v>
      </c>
      <c r="F1082" s="116">
        <v>10214.700000000001</v>
      </c>
      <c r="G1082">
        <v>2479</v>
      </c>
      <c r="H1082" s="116"/>
      <c r="I1082" s="116"/>
      <c r="L1082" s="170">
        <v>43599</v>
      </c>
      <c r="M1082" s="116">
        <v>509.9325</v>
      </c>
      <c r="N1082" s="116">
        <v>518.22</v>
      </c>
      <c r="O1082" s="116">
        <v>506.0025</v>
      </c>
      <c r="P1082" s="116">
        <v>515.5</v>
      </c>
      <c r="Q1082" s="116">
        <v>10198.65</v>
      </c>
      <c r="R1082">
        <v>54275</v>
      </c>
    </row>
    <row r="1083" spans="1:18" x14ac:dyDescent="0.25">
      <c r="A1083" s="170">
        <v>43600</v>
      </c>
      <c r="B1083" s="116">
        <v>525.09749999999997</v>
      </c>
      <c r="C1083" s="116">
        <v>514.07000000000005</v>
      </c>
      <c r="D1083" s="116">
        <v>511.255</v>
      </c>
      <c r="E1083" s="116">
        <v>519.3075</v>
      </c>
      <c r="F1083" s="116">
        <v>10281.4</v>
      </c>
      <c r="G1083">
        <v>20756</v>
      </c>
      <c r="H1083" s="116"/>
      <c r="I1083" s="116"/>
      <c r="L1083" s="170">
        <v>43600</v>
      </c>
      <c r="M1083" s="116">
        <v>513.42750000000001</v>
      </c>
      <c r="N1083" s="116">
        <v>525.45000000000005</v>
      </c>
      <c r="O1083" s="116">
        <v>510.55</v>
      </c>
      <c r="P1083" s="116">
        <v>520.04999999999995</v>
      </c>
      <c r="Q1083" s="116">
        <v>10268.549999999999</v>
      </c>
      <c r="R1083">
        <v>127190</v>
      </c>
    </row>
    <row r="1084" spans="1:18" x14ac:dyDescent="0.25">
      <c r="A1084" s="170">
        <v>43601</v>
      </c>
      <c r="B1084" s="116">
        <v>519.5625</v>
      </c>
      <c r="C1084" s="116">
        <v>514.20249999999999</v>
      </c>
      <c r="D1084" s="116">
        <v>512.85</v>
      </c>
      <c r="E1084" s="116">
        <v>516.65</v>
      </c>
      <c r="F1084" s="116">
        <v>10284.049999999999</v>
      </c>
      <c r="G1084">
        <v>1322</v>
      </c>
      <c r="H1084" s="116"/>
      <c r="I1084" s="116"/>
      <c r="L1084" s="170">
        <v>43601</v>
      </c>
      <c r="M1084" s="116">
        <v>514.02750000000003</v>
      </c>
      <c r="N1084" s="116">
        <v>520.04999999999995</v>
      </c>
      <c r="O1084" s="116">
        <v>512.75250000000005</v>
      </c>
      <c r="P1084" s="116">
        <v>516.63499999999999</v>
      </c>
      <c r="Q1084" s="116">
        <v>10280.549999999999</v>
      </c>
      <c r="R1084">
        <v>39322</v>
      </c>
    </row>
    <row r="1085" spans="1:18" x14ac:dyDescent="0.25">
      <c r="A1085" s="170">
        <v>43602</v>
      </c>
      <c r="B1085" s="116">
        <v>526.14250000000004</v>
      </c>
      <c r="C1085" s="116">
        <v>522.63</v>
      </c>
      <c r="D1085" s="116">
        <v>513.5</v>
      </c>
      <c r="E1085" s="116">
        <v>515.49749999999995</v>
      </c>
      <c r="F1085" s="116">
        <v>10452.6</v>
      </c>
      <c r="G1085">
        <v>2524</v>
      </c>
      <c r="H1085" s="116"/>
      <c r="I1085" s="116"/>
      <c r="L1085" s="170">
        <v>43602</v>
      </c>
      <c r="M1085" s="116">
        <v>523.28250000000003</v>
      </c>
      <c r="N1085" s="116">
        <v>527.30999999999995</v>
      </c>
      <c r="O1085" s="116">
        <v>512.84249999999997</v>
      </c>
      <c r="P1085" s="116">
        <v>514.99749999999995</v>
      </c>
      <c r="Q1085" s="116">
        <v>10465.65</v>
      </c>
      <c r="R1085">
        <v>65704</v>
      </c>
    </row>
    <row r="1086" spans="1:18" x14ac:dyDescent="0.25">
      <c r="A1086" s="170">
        <v>43605</v>
      </c>
      <c r="B1086" s="116">
        <v>544.4</v>
      </c>
      <c r="C1086" s="116">
        <v>539.05999999999995</v>
      </c>
      <c r="D1086" s="116">
        <v>529.13750000000005</v>
      </c>
      <c r="E1086" s="116">
        <v>530.04999999999995</v>
      </c>
      <c r="F1086" s="116">
        <v>10781.2</v>
      </c>
      <c r="G1086">
        <v>3696</v>
      </c>
      <c r="H1086" s="116"/>
      <c r="I1086" s="116"/>
      <c r="L1086" s="170">
        <v>43605</v>
      </c>
      <c r="M1086" s="116">
        <v>538.40750000000003</v>
      </c>
      <c r="N1086" s="116">
        <v>541.6</v>
      </c>
      <c r="O1086" s="116">
        <v>528.01750000000004</v>
      </c>
      <c r="P1086" s="116">
        <v>534</v>
      </c>
      <c r="Q1086" s="116">
        <v>10768.15</v>
      </c>
      <c r="R1086">
        <v>49555</v>
      </c>
    </row>
    <row r="1087" spans="1:18" x14ac:dyDescent="0.25">
      <c r="A1087" s="170">
        <v>43606</v>
      </c>
      <c r="B1087" s="116">
        <v>549.49749999999995</v>
      </c>
      <c r="C1087" s="116">
        <v>529.78499999999997</v>
      </c>
      <c r="D1087" s="116">
        <v>526.60249999999996</v>
      </c>
      <c r="E1087" s="116">
        <v>549.49749999999995</v>
      </c>
      <c r="F1087" s="116">
        <v>10595.7</v>
      </c>
      <c r="G1087">
        <v>2492</v>
      </c>
      <c r="H1087" s="116"/>
      <c r="I1087" s="116"/>
      <c r="L1087" s="170">
        <v>43606</v>
      </c>
      <c r="M1087" s="116">
        <v>530.46</v>
      </c>
      <c r="N1087" s="116">
        <v>544.23500000000001</v>
      </c>
      <c r="O1087" s="116">
        <v>524.69749999999999</v>
      </c>
      <c r="P1087" s="116">
        <v>542.49749999999995</v>
      </c>
      <c r="Q1087" s="116">
        <v>10609.2</v>
      </c>
      <c r="R1087">
        <v>47182</v>
      </c>
    </row>
    <row r="1088" spans="1:18" x14ac:dyDescent="0.25">
      <c r="A1088" s="170">
        <v>43607</v>
      </c>
      <c r="B1088" s="116">
        <v>539</v>
      </c>
      <c r="C1088" s="116">
        <v>534.495</v>
      </c>
      <c r="D1088" s="116">
        <v>530.5575</v>
      </c>
      <c r="E1088" s="116">
        <v>531.32249999999999</v>
      </c>
      <c r="F1088" s="116">
        <v>10689.9</v>
      </c>
      <c r="G1088">
        <v>2177</v>
      </c>
      <c r="H1088" s="116"/>
      <c r="I1088" s="116"/>
      <c r="L1088" s="170">
        <v>43607</v>
      </c>
      <c r="M1088" s="116">
        <v>535.02750000000003</v>
      </c>
      <c r="N1088" s="116">
        <v>539.21</v>
      </c>
      <c r="O1088" s="116">
        <v>530</v>
      </c>
      <c r="P1088" s="116">
        <v>532.50250000000005</v>
      </c>
      <c r="Q1088" s="116">
        <v>10700.55</v>
      </c>
      <c r="R1088">
        <v>31497</v>
      </c>
    </row>
    <row r="1089" spans="1:18" x14ac:dyDescent="0.25">
      <c r="A1089" s="170">
        <v>43608</v>
      </c>
      <c r="B1089" s="116">
        <v>549.45000000000005</v>
      </c>
      <c r="C1089" s="116">
        <v>538.22</v>
      </c>
      <c r="D1089" s="116">
        <v>534.4</v>
      </c>
      <c r="E1089" s="116">
        <v>541.05999999999995</v>
      </c>
      <c r="F1089" s="116">
        <v>10764.4</v>
      </c>
      <c r="G1089">
        <v>9884</v>
      </c>
      <c r="H1089" s="116"/>
      <c r="I1089" s="116"/>
      <c r="L1089" s="170">
        <v>43608</v>
      </c>
      <c r="M1089" s="116">
        <v>539.85249999999996</v>
      </c>
      <c r="N1089" s="116">
        <v>549.45000000000005</v>
      </c>
      <c r="O1089" s="116">
        <v>534</v>
      </c>
      <c r="P1089" s="116">
        <v>542.4</v>
      </c>
      <c r="Q1089" s="116">
        <v>10797.05</v>
      </c>
      <c r="R1089">
        <v>56257</v>
      </c>
    </row>
    <row r="1090" spans="1:18" x14ac:dyDescent="0.25">
      <c r="A1090" s="170">
        <v>43609</v>
      </c>
      <c r="B1090" s="116">
        <v>547.44749999999999</v>
      </c>
      <c r="C1090" s="116">
        <v>534.61749999999995</v>
      </c>
      <c r="D1090" s="116">
        <v>530.5625</v>
      </c>
      <c r="E1090" s="116">
        <v>547.44749999999999</v>
      </c>
      <c r="F1090" s="116">
        <v>10692.35</v>
      </c>
      <c r="G1090">
        <v>1901</v>
      </c>
      <c r="H1090" s="116"/>
      <c r="I1090" s="116"/>
      <c r="L1090" s="170">
        <v>43609</v>
      </c>
      <c r="M1090" s="116">
        <v>533.00250000000005</v>
      </c>
      <c r="N1090" s="116">
        <v>542.495</v>
      </c>
      <c r="O1090" s="116">
        <v>529.61500000000001</v>
      </c>
      <c r="P1090" s="116">
        <v>540.65</v>
      </c>
      <c r="Q1090" s="116">
        <v>10660.05</v>
      </c>
      <c r="R1090">
        <v>49465</v>
      </c>
    </row>
    <row r="1091" spans="1:18" x14ac:dyDescent="0.25">
      <c r="A1091" s="170">
        <v>43612</v>
      </c>
      <c r="B1091" s="116">
        <v>552.75</v>
      </c>
      <c r="C1091" s="116">
        <v>550.39250000000004</v>
      </c>
      <c r="D1091" s="116">
        <v>535.04999999999995</v>
      </c>
      <c r="E1091" s="116">
        <v>535.04999999999995</v>
      </c>
      <c r="F1091" s="116">
        <v>11007.85</v>
      </c>
      <c r="G1091">
        <v>9439</v>
      </c>
      <c r="H1091" s="116"/>
      <c r="I1091" s="116"/>
      <c r="L1091" s="170">
        <v>43612</v>
      </c>
      <c r="M1091" s="116">
        <v>551.8125</v>
      </c>
      <c r="N1091" s="116">
        <v>554.15</v>
      </c>
      <c r="O1091" s="116">
        <v>535</v>
      </c>
      <c r="P1091" s="116">
        <v>537.5</v>
      </c>
      <c r="Q1091" s="116">
        <v>11036.25</v>
      </c>
      <c r="R1091">
        <v>84400</v>
      </c>
    </row>
    <row r="1092" spans="1:18" x14ac:dyDescent="0.25">
      <c r="A1092" s="170">
        <v>43613</v>
      </c>
      <c r="B1092" s="116">
        <v>558.5</v>
      </c>
      <c r="C1092" s="116">
        <v>557.375</v>
      </c>
      <c r="D1092" s="116">
        <v>547.65250000000003</v>
      </c>
      <c r="E1092" s="116">
        <v>551.79999999999995</v>
      </c>
      <c r="F1092" s="116">
        <v>11147.5</v>
      </c>
      <c r="G1092">
        <v>3593</v>
      </c>
      <c r="H1092" s="116"/>
      <c r="I1092" s="116"/>
      <c r="L1092" s="170">
        <v>43613</v>
      </c>
      <c r="M1092" s="116">
        <v>555.26</v>
      </c>
      <c r="N1092" s="116">
        <v>558.25</v>
      </c>
      <c r="O1092" s="116">
        <v>547.5</v>
      </c>
      <c r="P1092" s="116">
        <v>552</v>
      </c>
      <c r="Q1092" s="116">
        <v>11105.2</v>
      </c>
      <c r="R1092">
        <v>133445</v>
      </c>
    </row>
    <row r="1093" spans="1:18" x14ac:dyDescent="0.25">
      <c r="A1093" s="170">
        <v>43614</v>
      </c>
      <c r="B1093" s="116">
        <v>563.25</v>
      </c>
      <c r="C1093" s="116">
        <v>558.97749999999996</v>
      </c>
      <c r="D1093" s="116">
        <v>550.04999999999995</v>
      </c>
      <c r="E1093" s="116">
        <v>552.5</v>
      </c>
      <c r="F1093" s="116">
        <v>11179.55</v>
      </c>
      <c r="G1093">
        <v>2802</v>
      </c>
      <c r="H1093" s="116"/>
      <c r="I1093" s="116"/>
      <c r="L1093" s="170">
        <v>43614</v>
      </c>
      <c r="M1093" s="116">
        <v>560.29999999999995</v>
      </c>
      <c r="N1093" s="116">
        <v>564.79750000000001</v>
      </c>
      <c r="O1093" s="116">
        <v>549.37249999999995</v>
      </c>
      <c r="P1093" s="116">
        <v>556.25</v>
      </c>
      <c r="Q1093" s="116">
        <v>11206</v>
      </c>
      <c r="R1093">
        <v>128654</v>
      </c>
    </row>
    <row r="1094" spans="1:18" x14ac:dyDescent="0.25">
      <c r="A1094" s="170">
        <v>43615</v>
      </c>
      <c r="B1094" s="116">
        <v>567.07249999999999</v>
      </c>
      <c r="C1094" s="116">
        <v>564.55499999999995</v>
      </c>
      <c r="D1094" s="116">
        <v>558.79999999999995</v>
      </c>
      <c r="E1094" s="116">
        <v>558.80250000000001</v>
      </c>
      <c r="F1094" s="116">
        <v>11291.1</v>
      </c>
      <c r="G1094">
        <v>1981</v>
      </c>
      <c r="H1094" s="116"/>
      <c r="I1094" s="116"/>
      <c r="L1094" s="170">
        <v>43615</v>
      </c>
      <c r="M1094" s="116">
        <v>566.02499999999998</v>
      </c>
      <c r="N1094" s="116">
        <v>567.25</v>
      </c>
      <c r="O1094" s="116">
        <v>558.5</v>
      </c>
      <c r="P1094" s="116">
        <v>558.76250000000005</v>
      </c>
      <c r="Q1094" s="116">
        <v>11320.5</v>
      </c>
      <c r="R1094">
        <v>93421</v>
      </c>
    </row>
    <row r="1095" spans="1:18" x14ac:dyDescent="0.25">
      <c r="A1095" s="170">
        <v>43616</v>
      </c>
      <c r="B1095" s="116">
        <v>576.27499999999998</v>
      </c>
      <c r="C1095" s="116">
        <v>574.33249999999998</v>
      </c>
      <c r="D1095" s="116">
        <v>566</v>
      </c>
      <c r="E1095" s="116">
        <v>566</v>
      </c>
      <c r="F1095" s="116">
        <v>11486.65</v>
      </c>
      <c r="G1095">
        <v>3361</v>
      </c>
      <c r="H1095" s="116"/>
      <c r="I1095" s="116"/>
      <c r="L1095" s="170">
        <v>43616</v>
      </c>
      <c r="M1095" s="116">
        <v>574.90499999999997</v>
      </c>
      <c r="N1095" s="116">
        <v>577</v>
      </c>
      <c r="O1095" s="116">
        <v>565.17250000000001</v>
      </c>
      <c r="P1095" s="116">
        <v>567.5</v>
      </c>
      <c r="Q1095" s="116">
        <v>11498.1</v>
      </c>
      <c r="R1095">
        <v>70172</v>
      </c>
    </row>
    <row r="1096" spans="1:18" x14ac:dyDescent="0.25">
      <c r="A1096" s="170">
        <v>43619</v>
      </c>
      <c r="B1096" s="116">
        <v>585.20000000000005</v>
      </c>
      <c r="C1096" s="116">
        <v>584.57749999999999</v>
      </c>
      <c r="D1096" s="116">
        <v>574.35</v>
      </c>
      <c r="E1096" s="116">
        <v>575</v>
      </c>
      <c r="F1096" s="116">
        <v>11691.55</v>
      </c>
      <c r="G1096">
        <v>3793</v>
      </c>
      <c r="H1096" s="116"/>
      <c r="I1096" s="116"/>
      <c r="L1096" s="170">
        <v>43619</v>
      </c>
      <c r="M1096" s="116">
        <v>584.32249999999999</v>
      </c>
      <c r="N1096" s="116">
        <v>585</v>
      </c>
      <c r="O1096" s="116">
        <v>574.92999999999995</v>
      </c>
      <c r="P1096" s="116">
        <v>574.92999999999995</v>
      </c>
      <c r="Q1096" s="116">
        <v>11686.45</v>
      </c>
      <c r="R1096">
        <v>64302</v>
      </c>
    </row>
    <row r="1097" spans="1:18" x14ac:dyDescent="0.25">
      <c r="A1097" s="170">
        <v>43620</v>
      </c>
      <c r="B1097" s="116">
        <v>584.70000000000005</v>
      </c>
      <c r="C1097" s="116">
        <v>576.29999999999995</v>
      </c>
      <c r="D1097" s="116">
        <v>571.36249999999995</v>
      </c>
      <c r="E1097" s="116">
        <v>584.70000000000005</v>
      </c>
      <c r="F1097" s="116">
        <v>11526</v>
      </c>
      <c r="G1097">
        <v>3345</v>
      </c>
      <c r="H1097" s="116"/>
      <c r="I1097" s="116"/>
      <c r="L1097" s="170">
        <v>43620</v>
      </c>
      <c r="M1097" s="116">
        <v>577.61749999999995</v>
      </c>
      <c r="N1097" s="116">
        <v>584.9</v>
      </c>
      <c r="O1097" s="116">
        <v>571.4</v>
      </c>
      <c r="P1097" s="116">
        <v>580</v>
      </c>
      <c r="Q1097" s="116">
        <v>11552.35</v>
      </c>
      <c r="R1097">
        <v>96144</v>
      </c>
    </row>
    <row r="1098" spans="1:18" x14ac:dyDescent="0.25">
      <c r="A1098" s="170">
        <v>43622</v>
      </c>
      <c r="B1098" s="116">
        <v>583.29999999999995</v>
      </c>
      <c r="C1098" s="116">
        <v>579.97749999999996</v>
      </c>
      <c r="D1098" s="116">
        <v>577.58500000000004</v>
      </c>
      <c r="E1098" s="116">
        <v>579.16</v>
      </c>
      <c r="F1098" s="116">
        <v>11599.55</v>
      </c>
      <c r="G1098">
        <v>1620</v>
      </c>
      <c r="H1098" s="116"/>
      <c r="I1098" s="116"/>
      <c r="L1098" s="170">
        <v>43622</v>
      </c>
      <c r="M1098" s="116">
        <v>580.16499999999996</v>
      </c>
      <c r="N1098" s="116">
        <v>584.20000000000005</v>
      </c>
      <c r="O1098" s="116">
        <v>576.5</v>
      </c>
      <c r="P1098" s="116">
        <v>577.61749999999995</v>
      </c>
      <c r="Q1098" s="116">
        <v>11603.3</v>
      </c>
      <c r="R1098">
        <v>82658</v>
      </c>
    </row>
    <row r="1099" spans="1:18" x14ac:dyDescent="0.25">
      <c r="A1099" s="170">
        <v>43623</v>
      </c>
      <c r="B1099" s="116">
        <v>581.54250000000002</v>
      </c>
      <c r="C1099" s="116">
        <v>575.4375</v>
      </c>
      <c r="D1099" s="116">
        <v>572.58500000000004</v>
      </c>
      <c r="E1099" s="116">
        <v>580.72500000000002</v>
      </c>
      <c r="F1099" s="116">
        <v>11508.75</v>
      </c>
      <c r="G1099">
        <v>3394</v>
      </c>
      <c r="H1099" s="116"/>
      <c r="I1099" s="116"/>
      <c r="L1099" s="170">
        <v>43623</v>
      </c>
      <c r="M1099" s="116">
        <v>575.1925</v>
      </c>
      <c r="N1099" s="116">
        <v>581.4</v>
      </c>
      <c r="O1099" s="116">
        <v>572.54999999999995</v>
      </c>
      <c r="P1099" s="116">
        <v>580.5</v>
      </c>
      <c r="Q1099" s="116">
        <v>11503.85</v>
      </c>
      <c r="R1099">
        <v>43726</v>
      </c>
    </row>
    <row r="1100" spans="1:18" x14ac:dyDescent="0.25">
      <c r="A1100" s="170">
        <v>43626</v>
      </c>
      <c r="B1100" s="116">
        <v>591</v>
      </c>
      <c r="C1100" s="116">
        <v>587.37</v>
      </c>
      <c r="D1100" s="116">
        <v>572.625</v>
      </c>
      <c r="E1100" s="116">
        <v>575.6</v>
      </c>
      <c r="F1100" s="116">
        <v>11747.4</v>
      </c>
      <c r="G1100">
        <v>2775</v>
      </c>
      <c r="H1100" s="116"/>
      <c r="I1100" s="116"/>
      <c r="L1100" s="170">
        <v>43626</v>
      </c>
      <c r="M1100" s="116">
        <v>584.91999999999996</v>
      </c>
      <c r="N1100" s="116">
        <v>586.45000000000005</v>
      </c>
      <c r="O1100" s="116">
        <v>568.79999999999995</v>
      </c>
      <c r="P1100" s="116">
        <v>580.35500000000002</v>
      </c>
      <c r="Q1100" s="116">
        <v>11698.4</v>
      </c>
      <c r="R1100">
        <v>48341</v>
      </c>
    </row>
    <row r="1101" spans="1:18" x14ac:dyDescent="0.25">
      <c r="A1101" s="170">
        <v>43627</v>
      </c>
      <c r="B1101" s="116">
        <v>591</v>
      </c>
      <c r="C1101" s="116">
        <v>582.06500000000005</v>
      </c>
      <c r="D1101" s="116">
        <v>575.92499999999995</v>
      </c>
      <c r="E1101" s="116">
        <v>587.5</v>
      </c>
      <c r="F1101" s="116">
        <v>11641.3</v>
      </c>
      <c r="G1101">
        <v>6302</v>
      </c>
      <c r="H1101" s="116"/>
      <c r="I1101" s="116"/>
      <c r="L1101" s="170">
        <v>43627</v>
      </c>
      <c r="M1101" s="116">
        <v>581.14750000000004</v>
      </c>
      <c r="N1101" s="116">
        <v>590.88499999999999</v>
      </c>
      <c r="O1101" s="116">
        <v>574.90499999999997</v>
      </c>
      <c r="P1101" s="116">
        <v>587.75</v>
      </c>
      <c r="Q1101" s="116">
        <v>11622.95</v>
      </c>
      <c r="R1101">
        <v>72286</v>
      </c>
    </row>
    <row r="1102" spans="1:18" x14ac:dyDescent="0.25">
      <c r="A1102" s="170">
        <v>43628</v>
      </c>
      <c r="B1102" s="116">
        <v>588</v>
      </c>
      <c r="C1102" s="116">
        <v>585.6875</v>
      </c>
      <c r="D1102" s="116">
        <v>576.52750000000003</v>
      </c>
      <c r="E1102" s="116">
        <v>582.04999999999995</v>
      </c>
      <c r="F1102" s="116">
        <v>11713.75</v>
      </c>
      <c r="G1102">
        <v>3891</v>
      </c>
      <c r="H1102" s="116"/>
      <c r="I1102" s="116"/>
      <c r="L1102" s="170">
        <v>43628</v>
      </c>
      <c r="M1102" s="116">
        <v>584.77499999999998</v>
      </c>
      <c r="N1102" s="116">
        <v>585.75</v>
      </c>
      <c r="O1102" s="116">
        <v>575.25</v>
      </c>
      <c r="P1102" s="116">
        <v>583.70000000000005</v>
      </c>
      <c r="Q1102" s="116">
        <v>11695.5</v>
      </c>
      <c r="R1102">
        <v>43374</v>
      </c>
    </row>
    <row r="1103" spans="1:18" x14ac:dyDescent="0.25">
      <c r="A1103" s="170">
        <v>43629</v>
      </c>
      <c r="B1103" s="116">
        <v>583.54999999999995</v>
      </c>
      <c r="C1103" s="116">
        <v>580.44749999999999</v>
      </c>
      <c r="D1103" s="116">
        <v>578.63750000000005</v>
      </c>
      <c r="E1103" s="116">
        <v>583.5</v>
      </c>
      <c r="F1103" s="116">
        <v>11608.95</v>
      </c>
      <c r="G1103">
        <v>5882</v>
      </c>
      <c r="H1103" s="116"/>
      <c r="I1103" s="116"/>
      <c r="L1103" s="170">
        <v>43629</v>
      </c>
      <c r="M1103" s="116">
        <v>580.6875</v>
      </c>
      <c r="N1103" s="116">
        <v>583.07749999999999</v>
      </c>
      <c r="O1103" s="116">
        <v>578.50250000000005</v>
      </c>
      <c r="P1103" s="116">
        <v>581</v>
      </c>
      <c r="Q1103" s="116">
        <v>11613.75</v>
      </c>
      <c r="R1103">
        <v>69156</v>
      </c>
    </row>
    <row r="1104" spans="1:18" x14ac:dyDescent="0.25">
      <c r="A1104" s="170">
        <v>43630</v>
      </c>
      <c r="B1104" s="116">
        <v>586.1</v>
      </c>
      <c r="C1104" s="116">
        <v>574.50250000000005</v>
      </c>
      <c r="D1104" s="116">
        <v>572.61</v>
      </c>
      <c r="E1104" s="116">
        <v>581.25</v>
      </c>
      <c r="F1104" s="116">
        <v>11490.05</v>
      </c>
      <c r="G1104">
        <v>1366</v>
      </c>
      <c r="H1104" s="116"/>
      <c r="I1104" s="116"/>
      <c r="L1104" s="170">
        <v>43630</v>
      </c>
      <c r="M1104" s="116">
        <v>574.45000000000005</v>
      </c>
      <c r="N1104" s="116">
        <v>586.1825</v>
      </c>
      <c r="O1104" s="116">
        <v>572.54999999999995</v>
      </c>
      <c r="P1104" s="116">
        <v>580.77499999999998</v>
      </c>
      <c r="Q1104" s="116">
        <v>11489</v>
      </c>
      <c r="R1104">
        <v>40564</v>
      </c>
    </row>
    <row r="1105" spans="1:18" x14ac:dyDescent="0.25">
      <c r="A1105" s="170">
        <v>43633</v>
      </c>
      <c r="B1105" s="116">
        <v>580.8075</v>
      </c>
      <c r="C1105" s="116">
        <v>573.61749999999995</v>
      </c>
      <c r="D1105" s="116">
        <v>571.50250000000005</v>
      </c>
      <c r="E1105" s="116">
        <v>577.75</v>
      </c>
      <c r="F1105" s="116">
        <v>11472.35</v>
      </c>
      <c r="G1105">
        <v>21913</v>
      </c>
      <c r="H1105" s="116"/>
      <c r="I1105" s="116"/>
      <c r="L1105" s="170">
        <v>43633</v>
      </c>
      <c r="M1105" s="116">
        <v>574.04250000000002</v>
      </c>
      <c r="N1105" s="116">
        <v>581.48249999999996</v>
      </c>
      <c r="O1105" s="116">
        <v>571.28250000000003</v>
      </c>
      <c r="P1105" s="116">
        <v>577.95000000000005</v>
      </c>
      <c r="Q1105" s="116">
        <v>11480.85</v>
      </c>
      <c r="R1105">
        <v>45786</v>
      </c>
    </row>
    <row r="1106" spans="1:18" x14ac:dyDescent="0.25">
      <c r="A1106" s="170">
        <v>43634</v>
      </c>
      <c r="B1106" s="116">
        <v>577.24749999999995</v>
      </c>
      <c r="C1106" s="116">
        <v>572.74749999999995</v>
      </c>
      <c r="D1106" s="116">
        <v>565.25</v>
      </c>
      <c r="E1106" s="116">
        <v>576.25</v>
      </c>
      <c r="F1106" s="116">
        <v>11454.95</v>
      </c>
      <c r="G1106">
        <v>1833</v>
      </c>
      <c r="H1106" s="116"/>
      <c r="I1106" s="116"/>
      <c r="L1106" s="170">
        <v>43634</v>
      </c>
      <c r="M1106" s="116">
        <v>572.88</v>
      </c>
      <c r="N1106" s="116">
        <v>577.59749999999997</v>
      </c>
      <c r="O1106" s="116">
        <v>565</v>
      </c>
      <c r="P1106" s="116">
        <v>575.25250000000005</v>
      </c>
      <c r="Q1106" s="116">
        <v>11457.6</v>
      </c>
      <c r="R1106">
        <v>55529</v>
      </c>
    </row>
    <row r="1107" spans="1:18" x14ac:dyDescent="0.25">
      <c r="A1107" s="170">
        <v>43635</v>
      </c>
      <c r="B1107" s="116">
        <v>582.24749999999995</v>
      </c>
      <c r="C1107" s="116">
        <v>580.6925</v>
      </c>
      <c r="D1107" s="116">
        <v>573.22500000000002</v>
      </c>
      <c r="E1107" s="116">
        <v>575</v>
      </c>
      <c r="F1107" s="116">
        <v>11613.85</v>
      </c>
      <c r="G1107">
        <v>1254</v>
      </c>
      <c r="H1107" s="116"/>
      <c r="I1107" s="116"/>
      <c r="L1107" s="170">
        <v>43635</v>
      </c>
      <c r="M1107" s="116">
        <v>580.58500000000004</v>
      </c>
      <c r="N1107" s="116">
        <v>582.52499999999998</v>
      </c>
      <c r="O1107" s="116">
        <v>572.5</v>
      </c>
      <c r="P1107" s="116">
        <v>573.94500000000005</v>
      </c>
      <c r="Q1107" s="116">
        <v>11611.7</v>
      </c>
      <c r="R1107">
        <v>69510</v>
      </c>
    </row>
    <row r="1108" spans="1:18" x14ac:dyDescent="0.25">
      <c r="A1108" s="170">
        <v>43636</v>
      </c>
      <c r="B1108" s="116">
        <v>587.5</v>
      </c>
      <c r="C1108" s="116">
        <v>585.91750000000002</v>
      </c>
      <c r="D1108" s="116">
        <v>575</v>
      </c>
      <c r="E1108" s="116">
        <v>582.5</v>
      </c>
      <c r="F1108" s="116">
        <v>11718.35</v>
      </c>
      <c r="G1108">
        <v>1436</v>
      </c>
      <c r="H1108" s="116"/>
      <c r="I1108" s="116"/>
      <c r="L1108" s="170">
        <v>43636</v>
      </c>
      <c r="M1108" s="116">
        <v>585.90250000000003</v>
      </c>
      <c r="N1108" s="116">
        <v>587.95000000000005</v>
      </c>
      <c r="O1108" s="116">
        <v>573.71</v>
      </c>
      <c r="P1108" s="116">
        <v>580.65250000000003</v>
      </c>
      <c r="Q1108" s="116">
        <v>11718.05</v>
      </c>
      <c r="R1108">
        <v>65396</v>
      </c>
    </row>
    <row r="1109" spans="1:18" x14ac:dyDescent="0.25">
      <c r="A1109" s="170">
        <v>43637</v>
      </c>
      <c r="B1109" s="116">
        <v>589.10749999999996</v>
      </c>
      <c r="C1109" s="116">
        <v>579.79999999999995</v>
      </c>
      <c r="D1109" s="116">
        <v>576.745</v>
      </c>
      <c r="E1109" s="116">
        <v>585</v>
      </c>
      <c r="F1109" s="116">
        <v>11596</v>
      </c>
      <c r="G1109">
        <v>1301</v>
      </c>
      <c r="H1109" s="116"/>
      <c r="I1109" s="116"/>
      <c r="L1109" s="170">
        <v>43637</v>
      </c>
      <c r="M1109" s="116">
        <v>580.04499999999996</v>
      </c>
      <c r="N1109" s="116">
        <v>589.5</v>
      </c>
      <c r="O1109" s="116">
        <v>576.95749999999998</v>
      </c>
      <c r="P1109" s="116">
        <v>585.5</v>
      </c>
      <c r="Q1109" s="116">
        <v>11600.9</v>
      </c>
      <c r="R1109">
        <v>111980</v>
      </c>
    </row>
    <row r="1110" spans="1:18" x14ac:dyDescent="0.25">
      <c r="A1110" s="170">
        <v>43640</v>
      </c>
      <c r="B1110" s="116">
        <v>587.54999999999995</v>
      </c>
      <c r="C1110" s="116">
        <v>585.42999999999995</v>
      </c>
      <c r="D1110" s="116">
        <v>580.8075</v>
      </c>
      <c r="E1110" s="116">
        <v>580.8075</v>
      </c>
      <c r="F1110" s="116">
        <v>11708.6</v>
      </c>
      <c r="G1110">
        <v>790</v>
      </c>
      <c r="H1110" s="116"/>
      <c r="I1110" s="116"/>
      <c r="L1110" s="170">
        <v>43640</v>
      </c>
      <c r="M1110" s="116">
        <v>585.6</v>
      </c>
      <c r="N1110" s="116">
        <v>588</v>
      </c>
      <c r="O1110" s="116">
        <v>577.50750000000005</v>
      </c>
      <c r="P1110" s="116">
        <v>580</v>
      </c>
      <c r="Q1110" s="116">
        <v>11712</v>
      </c>
      <c r="R1110">
        <v>24222</v>
      </c>
    </row>
    <row r="1111" spans="1:18" x14ac:dyDescent="0.25">
      <c r="A1111" s="170">
        <v>43641</v>
      </c>
      <c r="B1111" s="116">
        <v>585.88</v>
      </c>
      <c r="C1111" s="116">
        <v>585.255</v>
      </c>
      <c r="D1111" s="116">
        <v>580.90750000000003</v>
      </c>
      <c r="E1111" s="116">
        <v>583.28250000000003</v>
      </c>
      <c r="F1111" s="116">
        <v>11705.1</v>
      </c>
      <c r="G1111">
        <v>609</v>
      </c>
      <c r="H1111" s="116"/>
      <c r="I1111" s="116"/>
      <c r="L1111" s="170">
        <v>43641</v>
      </c>
      <c r="M1111" s="116">
        <v>585.29250000000002</v>
      </c>
      <c r="N1111" s="116">
        <v>586.86249999999995</v>
      </c>
      <c r="O1111" s="116">
        <v>580.67250000000001</v>
      </c>
      <c r="P1111" s="116">
        <v>584.00250000000005</v>
      </c>
      <c r="Q1111" s="116">
        <v>11705.85</v>
      </c>
      <c r="R1111">
        <v>37748</v>
      </c>
    </row>
    <row r="1112" spans="1:18" x14ac:dyDescent="0.25">
      <c r="A1112" s="170">
        <v>43642</v>
      </c>
      <c r="B1112" s="116">
        <v>597.39750000000004</v>
      </c>
      <c r="C1112" s="116">
        <v>590.03</v>
      </c>
      <c r="D1112" s="116">
        <v>583.75</v>
      </c>
      <c r="E1112" s="116">
        <v>585.255</v>
      </c>
      <c r="F1112" s="116">
        <v>11800.6</v>
      </c>
      <c r="G1112">
        <v>8985</v>
      </c>
      <c r="H1112" s="116"/>
      <c r="I1112" s="116"/>
      <c r="L1112" s="170">
        <v>43642</v>
      </c>
      <c r="M1112" s="116">
        <v>590.125</v>
      </c>
      <c r="N1112" s="116">
        <v>597.5</v>
      </c>
      <c r="O1112" s="116">
        <v>584.04</v>
      </c>
      <c r="P1112" s="116">
        <v>585.29999999999995</v>
      </c>
      <c r="Q1112" s="116">
        <v>11802.5</v>
      </c>
      <c r="R1112">
        <v>143213</v>
      </c>
    </row>
    <row r="1113" spans="1:18" x14ac:dyDescent="0.25">
      <c r="A1113" s="170">
        <v>43643</v>
      </c>
      <c r="B1113" s="116">
        <v>592.85500000000002</v>
      </c>
      <c r="C1113" s="116">
        <v>590.47749999999996</v>
      </c>
      <c r="D1113" s="116">
        <v>584.30499999999995</v>
      </c>
      <c r="E1113" s="116">
        <v>592.85500000000002</v>
      </c>
      <c r="F1113" s="116">
        <v>11809.55</v>
      </c>
      <c r="G1113">
        <v>46423</v>
      </c>
      <c r="H1113" s="116"/>
      <c r="I1113" s="116"/>
      <c r="L1113" s="170">
        <v>43643</v>
      </c>
      <c r="M1113" s="116">
        <v>590.14250000000004</v>
      </c>
      <c r="N1113" s="116">
        <v>593.34500000000003</v>
      </c>
      <c r="O1113" s="116">
        <v>584.22249999999997</v>
      </c>
      <c r="P1113" s="116">
        <v>590.51499999999999</v>
      </c>
      <c r="Q1113" s="116">
        <v>11802.85</v>
      </c>
      <c r="R1113">
        <v>93927</v>
      </c>
    </row>
    <row r="1114" spans="1:18" x14ac:dyDescent="0.25">
      <c r="A1114" s="170">
        <v>43644</v>
      </c>
      <c r="B1114" s="116">
        <v>597</v>
      </c>
      <c r="C1114" s="116">
        <v>596.03250000000003</v>
      </c>
      <c r="D1114" s="116">
        <v>587.95000000000005</v>
      </c>
      <c r="E1114" s="116">
        <v>592.45000000000005</v>
      </c>
      <c r="F1114" s="116">
        <v>11920.65</v>
      </c>
      <c r="G1114">
        <v>2109</v>
      </c>
      <c r="H1114" s="116"/>
      <c r="I1114" s="116"/>
      <c r="L1114" s="170">
        <v>43644</v>
      </c>
      <c r="M1114" s="116">
        <v>595.63</v>
      </c>
      <c r="N1114" s="116">
        <v>597</v>
      </c>
      <c r="O1114" s="116">
        <v>587.75</v>
      </c>
      <c r="P1114" s="116">
        <v>588.1</v>
      </c>
      <c r="Q1114" s="116">
        <v>11912.6</v>
      </c>
      <c r="R1114">
        <v>57069</v>
      </c>
    </row>
    <row r="1115" spans="1:18" x14ac:dyDescent="0.25">
      <c r="A1115" s="170">
        <v>43647</v>
      </c>
      <c r="B1115" s="116">
        <v>601.28250000000003</v>
      </c>
      <c r="C1115" s="116">
        <v>592.62249999999995</v>
      </c>
      <c r="D1115" s="116">
        <v>591</v>
      </c>
      <c r="E1115" s="116">
        <v>597.45000000000005</v>
      </c>
      <c r="F1115" s="116">
        <v>11852.45</v>
      </c>
      <c r="G1115">
        <v>1819</v>
      </c>
      <c r="H1115" s="116"/>
      <c r="I1115" s="116"/>
      <c r="L1115" s="170">
        <v>43647</v>
      </c>
      <c r="M1115" s="116">
        <v>593.4375</v>
      </c>
      <c r="N1115" s="116">
        <v>601.16250000000002</v>
      </c>
      <c r="O1115" s="116">
        <v>591.1825</v>
      </c>
      <c r="P1115" s="116">
        <v>599.20000000000005</v>
      </c>
      <c r="Q1115" s="116">
        <v>11868.75</v>
      </c>
      <c r="R1115">
        <v>40901</v>
      </c>
    </row>
    <row r="1116" spans="1:18" x14ac:dyDescent="0.25">
      <c r="A1116" s="170">
        <v>43648</v>
      </c>
      <c r="B1116" s="116">
        <v>599.94749999999999</v>
      </c>
      <c r="C1116" s="116">
        <v>598.27750000000003</v>
      </c>
      <c r="D1116" s="116">
        <v>590.12</v>
      </c>
      <c r="E1116" s="116">
        <v>594.9</v>
      </c>
      <c r="F1116" s="116">
        <v>11965.55</v>
      </c>
      <c r="G1116">
        <v>1316</v>
      </c>
      <c r="H1116" s="116"/>
      <c r="I1116" s="116"/>
      <c r="L1116" s="170">
        <v>43648</v>
      </c>
      <c r="M1116" s="116">
        <v>598.24249999999995</v>
      </c>
      <c r="N1116" s="116">
        <v>600.24749999999995</v>
      </c>
      <c r="O1116" s="116">
        <v>590.04999999999995</v>
      </c>
      <c r="P1116" s="116">
        <v>593</v>
      </c>
      <c r="Q1116" s="116">
        <v>11964.85</v>
      </c>
      <c r="R1116">
        <v>66647</v>
      </c>
    </row>
    <row r="1117" spans="1:18" x14ac:dyDescent="0.25">
      <c r="A1117" s="170">
        <v>43649</v>
      </c>
      <c r="B1117" s="116">
        <v>599.27750000000003</v>
      </c>
      <c r="C1117" s="116">
        <v>590.4425</v>
      </c>
      <c r="D1117" s="116">
        <v>589.35</v>
      </c>
      <c r="E1117" s="116">
        <v>598.25</v>
      </c>
      <c r="F1117" s="116">
        <v>11808.85</v>
      </c>
      <c r="G1117">
        <v>1197</v>
      </c>
      <c r="H1117" s="116"/>
      <c r="I1117" s="116"/>
      <c r="L1117" s="170">
        <v>43649</v>
      </c>
      <c r="M1117" s="116">
        <v>590.95749999999998</v>
      </c>
      <c r="N1117" s="116">
        <v>599.92750000000001</v>
      </c>
      <c r="O1117" s="116">
        <v>588.99749999999995</v>
      </c>
      <c r="P1117" s="116">
        <v>598.20000000000005</v>
      </c>
      <c r="Q1117" s="116">
        <v>11819.15</v>
      </c>
      <c r="R1117">
        <v>63152</v>
      </c>
    </row>
    <row r="1118" spans="1:18" x14ac:dyDescent="0.25">
      <c r="A1118" s="170">
        <v>43650</v>
      </c>
      <c r="B1118" s="116">
        <v>597.95500000000004</v>
      </c>
      <c r="C1118" s="116">
        <v>593.98</v>
      </c>
      <c r="D1118" s="116">
        <v>592.19500000000005</v>
      </c>
      <c r="E1118" s="116">
        <v>592.19500000000005</v>
      </c>
      <c r="F1118" s="116">
        <v>11879.6</v>
      </c>
      <c r="G1118">
        <v>525</v>
      </c>
      <c r="H1118" s="116"/>
      <c r="I1118" s="116"/>
      <c r="L1118" s="170">
        <v>43650</v>
      </c>
      <c r="M1118" s="116">
        <v>594.22249999999997</v>
      </c>
      <c r="N1118" s="116">
        <v>598.5</v>
      </c>
      <c r="O1118" s="116">
        <v>589.99749999999995</v>
      </c>
      <c r="P1118" s="116">
        <v>590.5</v>
      </c>
      <c r="Q1118" s="116">
        <v>11884.45</v>
      </c>
      <c r="R1118">
        <v>23714</v>
      </c>
    </row>
    <row r="1119" spans="1:18" x14ac:dyDescent="0.25">
      <c r="A1119" s="170">
        <v>43651</v>
      </c>
      <c r="B1119" s="116">
        <v>599.9</v>
      </c>
      <c r="C1119" s="116">
        <v>597.67999999999995</v>
      </c>
      <c r="D1119" s="116">
        <v>592.17999999999995</v>
      </c>
      <c r="E1119" s="116">
        <v>597.95000000000005</v>
      </c>
      <c r="F1119" s="116">
        <v>11953.6</v>
      </c>
      <c r="G1119">
        <v>975</v>
      </c>
      <c r="H1119" s="116"/>
      <c r="I1119" s="116"/>
      <c r="L1119" s="170">
        <v>43651</v>
      </c>
      <c r="M1119" s="116">
        <v>597.84500000000003</v>
      </c>
      <c r="N1119" s="116">
        <v>600</v>
      </c>
      <c r="O1119" s="116">
        <v>592</v>
      </c>
      <c r="P1119" s="116">
        <v>596.49749999999995</v>
      </c>
      <c r="Q1119" s="116">
        <v>11956.9</v>
      </c>
      <c r="R1119">
        <v>35376</v>
      </c>
    </row>
    <row r="1120" spans="1:18" x14ac:dyDescent="0.25">
      <c r="A1120" s="170">
        <v>43654</v>
      </c>
      <c r="B1120" s="116">
        <v>596.45000000000005</v>
      </c>
      <c r="C1120" s="116">
        <v>590.0625</v>
      </c>
      <c r="D1120" s="116">
        <v>588.15</v>
      </c>
      <c r="E1120" s="116">
        <v>596.45000000000005</v>
      </c>
      <c r="F1120" s="116">
        <v>11801.25</v>
      </c>
      <c r="G1120">
        <v>1060</v>
      </c>
      <c r="H1120" s="116"/>
      <c r="I1120" s="116"/>
      <c r="L1120" s="170">
        <v>43654</v>
      </c>
      <c r="M1120" s="116">
        <v>590.07249999999999</v>
      </c>
      <c r="N1120" s="116">
        <v>596.45000000000005</v>
      </c>
      <c r="O1120" s="116">
        <v>587.6</v>
      </c>
      <c r="P1120" s="116">
        <v>596.45000000000005</v>
      </c>
      <c r="Q1120" s="116">
        <v>11801.45</v>
      </c>
      <c r="R1120">
        <v>45507</v>
      </c>
    </row>
    <row r="1121" spans="1:18" x14ac:dyDescent="0.25">
      <c r="A1121" s="170">
        <v>43655</v>
      </c>
      <c r="B1121" s="116">
        <v>590.23749999999995</v>
      </c>
      <c r="C1121" s="116">
        <v>584.28</v>
      </c>
      <c r="D1121" s="116">
        <v>582.5</v>
      </c>
      <c r="E1121" s="116">
        <v>587.82500000000005</v>
      </c>
      <c r="F1121" s="116">
        <v>11685.6</v>
      </c>
      <c r="G1121">
        <v>1009</v>
      </c>
      <c r="H1121" s="116"/>
      <c r="I1121" s="116"/>
      <c r="L1121" s="170">
        <v>43655</v>
      </c>
      <c r="M1121" s="116">
        <v>584.35249999999996</v>
      </c>
      <c r="N1121" s="116">
        <v>591.20000000000005</v>
      </c>
      <c r="O1121" s="116">
        <v>581.5</v>
      </c>
      <c r="P1121" s="116">
        <v>590.99</v>
      </c>
      <c r="Q1121" s="116">
        <v>11687.05</v>
      </c>
      <c r="R1121">
        <v>61843</v>
      </c>
    </row>
    <row r="1122" spans="1:18" x14ac:dyDescent="0.25">
      <c r="A1122" s="170">
        <v>43656</v>
      </c>
      <c r="B1122" s="116">
        <v>589.85</v>
      </c>
      <c r="C1122" s="116">
        <v>577.73</v>
      </c>
      <c r="D1122" s="116">
        <v>576.50250000000005</v>
      </c>
      <c r="E1122" s="116">
        <v>582.57500000000005</v>
      </c>
      <c r="F1122" s="116">
        <v>11554.6</v>
      </c>
      <c r="G1122">
        <v>9688</v>
      </c>
      <c r="H1122" s="116"/>
      <c r="I1122" s="116"/>
      <c r="L1122" s="170">
        <v>43656</v>
      </c>
      <c r="M1122" s="116">
        <v>577.52250000000004</v>
      </c>
      <c r="N1122" s="116">
        <v>589.75</v>
      </c>
      <c r="O1122" s="116">
        <v>576.5</v>
      </c>
      <c r="P1122" s="116">
        <v>585.75</v>
      </c>
      <c r="Q1122" s="116">
        <v>11550.45</v>
      </c>
      <c r="R1122">
        <v>44237</v>
      </c>
    </row>
    <row r="1123" spans="1:18" x14ac:dyDescent="0.25">
      <c r="A1123" s="170">
        <v>43657</v>
      </c>
      <c r="B1123" s="116">
        <v>579.69500000000005</v>
      </c>
      <c r="C1123" s="116">
        <v>574.85</v>
      </c>
      <c r="D1123" s="116">
        <v>573.75</v>
      </c>
      <c r="E1123" s="116">
        <v>578.78250000000003</v>
      </c>
      <c r="F1123" s="116">
        <v>11497</v>
      </c>
      <c r="G1123">
        <v>9383</v>
      </c>
      <c r="H1123" s="116"/>
      <c r="I1123" s="116"/>
      <c r="L1123" s="170">
        <v>43657</v>
      </c>
      <c r="M1123" s="116">
        <v>575.34</v>
      </c>
      <c r="N1123" s="116">
        <v>581.20249999999999</v>
      </c>
      <c r="O1123" s="116">
        <v>573.57500000000005</v>
      </c>
      <c r="P1123" s="116">
        <v>581.20249999999999</v>
      </c>
      <c r="Q1123" s="116">
        <v>11506.8</v>
      </c>
      <c r="R1123">
        <v>46492</v>
      </c>
    </row>
    <row r="1124" spans="1:18" x14ac:dyDescent="0.25">
      <c r="A1124" s="170">
        <v>43658</v>
      </c>
      <c r="B1124" s="116">
        <v>585.76</v>
      </c>
      <c r="C1124" s="116">
        <v>583.95249999999999</v>
      </c>
      <c r="D1124" s="116">
        <v>575.55499999999995</v>
      </c>
      <c r="E1124" s="116">
        <v>578.35</v>
      </c>
      <c r="F1124" s="116">
        <v>11679.05</v>
      </c>
      <c r="G1124">
        <v>1978</v>
      </c>
      <c r="H1124" s="116"/>
      <c r="I1124" s="116"/>
      <c r="L1124" s="170">
        <v>43658</v>
      </c>
      <c r="M1124" s="116">
        <v>583.60749999999996</v>
      </c>
      <c r="N1124" s="116">
        <v>585.9</v>
      </c>
      <c r="O1124" s="116">
        <v>575.35</v>
      </c>
      <c r="P1124" s="116">
        <v>575.35</v>
      </c>
      <c r="Q1124" s="116">
        <v>11672.15</v>
      </c>
      <c r="R1124">
        <v>27605</v>
      </c>
    </row>
    <row r="1125" spans="1:18" x14ac:dyDescent="0.25">
      <c r="A1125" s="170">
        <v>43661</v>
      </c>
      <c r="B1125" s="116">
        <v>584.64750000000004</v>
      </c>
      <c r="C1125" s="116">
        <v>574.19000000000005</v>
      </c>
      <c r="D1125" s="116">
        <v>573.30999999999995</v>
      </c>
      <c r="E1125" s="116">
        <v>584.04999999999995</v>
      </c>
      <c r="F1125" s="116">
        <v>11483.8</v>
      </c>
      <c r="G1125">
        <v>992</v>
      </c>
      <c r="H1125" s="116"/>
      <c r="I1125" s="116"/>
      <c r="L1125" s="170">
        <v>43661</v>
      </c>
      <c r="M1125" s="116">
        <v>574.22249999999997</v>
      </c>
      <c r="N1125" s="116">
        <v>584.45000000000005</v>
      </c>
      <c r="O1125" s="116">
        <v>573.28</v>
      </c>
      <c r="P1125" s="116">
        <v>584.45000000000005</v>
      </c>
      <c r="Q1125" s="116">
        <v>11484.45</v>
      </c>
      <c r="R1125">
        <v>19432</v>
      </c>
    </row>
    <row r="1126" spans="1:18" x14ac:dyDescent="0.25">
      <c r="A1126" s="170">
        <v>43662</v>
      </c>
      <c r="B1126" s="116">
        <v>586</v>
      </c>
      <c r="C1126" s="116">
        <v>584.86749999999995</v>
      </c>
      <c r="D1126" s="116">
        <v>574.46500000000003</v>
      </c>
      <c r="E1126" s="116">
        <v>576.25</v>
      </c>
      <c r="F1126" s="116">
        <v>11697.35</v>
      </c>
      <c r="G1126">
        <v>1159</v>
      </c>
      <c r="H1126" s="116"/>
      <c r="I1126" s="116"/>
      <c r="L1126" s="170">
        <v>43662</v>
      </c>
      <c r="M1126" s="116">
        <v>585.4325</v>
      </c>
      <c r="N1126" s="116">
        <v>587.09749999999997</v>
      </c>
      <c r="O1126" s="116">
        <v>574.35500000000002</v>
      </c>
      <c r="P1126" s="116">
        <v>581.6</v>
      </c>
      <c r="Q1126" s="116">
        <v>11708.65</v>
      </c>
      <c r="R1126">
        <v>42449</v>
      </c>
    </row>
    <row r="1127" spans="1:18" x14ac:dyDescent="0.25">
      <c r="A1127" s="170">
        <v>43663</v>
      </c>
      <c r="B1127" s="116">
        <v>587.12</v>
      </c>
      <c r="C1127" s="116">
        <v>584.96500000000003</v>
      </c>
      <c r="D1127" s="116">
        <v>580.9</v>
      </c>
      <c r="E1127" s="116">
        <v>583.29999999999995</v>
      </c>
      <c r="F1127" s="116">
        <v>11699.3</v>
      </c>
      <c r="G1127">
        <v>461</v>
      </c>
      <c r="H1127" s="116"/>
      <c r="I1127" s="116"/>
      <c r="L1127" s="170">
        <v>43663</v>
      </c>
      <c r="M1127" s="116">
        <v>584.77</v>
      </c>
      <c r="N1127" s="116">
        <v>587.49</v>
      </c>
      <c r="O1127" s="116">
        <v>580.125</v>
      </c>
      <c r="P1127" s="116">
        <v>585.29999999999995</v>
      </c>
      <c r="Q1127" s="116">
        <v>11695.4</v>
      </c>
      <c r="R1127">
        <v>24922</v>
      </c>
    </row>
    <row r="1128" spans="1:18" x14ac:dyDescent="0.25">
      <c r="A1128" s="170">
        <v>43664</v>
      </c>
      <c r="B1128" s="116">
        <v>587</v>
      </c>
      <c r="C1128" s="116">
        <v>579.13750000000005</v>
      </c>
      <c r="D1128" s="116">
        <v>577.37249999999995</v>
      </c>
      <c r="E1128" s="116">
        <v>585.28499999999997</v>
      </c>
      <c r="F1128" s="116">
        <v>11582.75</v>
      </c>
      <c r="G1128">
        <v>1609</v>
      </c>
      <c r="H1128" s="116"/>
      <c r="I1128" s="116"/>
      <c r="L1128" s="170">
        <v>43664</v>
      </c>
      <c r="M1128" s="116">
        <v>579.83749999999998</v>
      </c>
      <c r="N1128" s="116">
        <v>587.17999999999995</v>
      </c>
      <c r="O1128" s="116">
        <v>577.125</v>
      </c>
      <c r="P1128" s="116">
        <v>586.34</v>
      </c>
      <c r="Q1128" s="116">
        <v>11596.75</v>
      </c>
      <c r="R1128">
        <v>47394</v>
      </c>
    </row>
    <row r="1129" spans="1:18" x14ac:dyDescent="0.25">
      <c r="A1129" s="170">
        <v>43665</v>
      </c>
      <c r="B1129" s="116">
        <v>585.95000000000005</v>
      </c>
      <c r="C1129" s="116">
        <v>577.64</v>
      </c>
      <c r="D1129" s="116">
        <v>575.6</v>
      </c>
      <c r="E1129" s="116">
        <v>582.29999999999995</v>
      </c>
      <c r="F1129" s="116">
        <v>11552.8</v>
      </c>
      <c r="G1129">
        <v>851</v>
      </c>
      <c r="H1129" s="116"/>
      <c r="I1129" s="116"/>
      <c r="L1129" s="170">
        <v>43665</v>
      </c>
      <c r="M1129" s="116">
        <v>577.35249999999996</v>
      </c>
      <c r="N1129" s="116">
        <v>586.25</v>
      </c>
      <c r="O1129" s="116">
        <v>575.61500000000001</v>
      </c>
      <c r="P1129" s="116">
        <v>582.495</v>
      </c>
      <c r="Q1129" s="116">
        <v>11547.05</v>
      </c>
      <c r="R1129">
        <v>86677</v>
      </c>
    </row>
    <row r="1130" spans="1:18" x14ac:dyDescent="0.25">
      <c r="A1130" s="170">
        <v>43668</v>
      </c>
      <c r="B1130" s="116">
        <v>578.54999999999995</v>
      </c>
      <c r="C1130" s="116">
        <v>565.88499999999999</v>
      </c>
      <c r="D1130" s="116">
        <v>563.53499999999997</v>
      </c>
      <c r="E1130" s="116">
        <v>575</v>
      </c>
      <c r="F1130" s="116">
        <v>11317.7</v>
      </c>
      <c r="G1130">
        <v>1563</v>
      </c>
      <c r="H1130" s="116"/>
      <c r="I1130" s="116"/>
      <c r="L1130" s="170">
        <v>43668</v>
      </c>
      <c r="M1130" s="116">
        <v>565.23500000000001</v>
      </c>
      <c r="N1130" s="116">
        <v>578.12750000000005</v>
      </c>
      <c r="O1130" s="116">
        <v>563.25</v>
      </c>
      <c r="P1130" s="116">
        <v>575.40250000000003</v>
      </c>
      <c r="Q1130" s="116">
        <v>11304.7</v>
      </c>
      <c r="R1130">
        <v>47464</v>
      </c>
    </row>
    <row r="1131" spans="1:18" x14ac:dyDescent="0.25">
      <c r="A1131" s="170">
        <v>43669</v>
      </c>
      <c r="B1131" s="116">
        <v>584</v>
      </c>
      <c r="C1131" s="116">
        <v>573.37750000000005</v>
      </c>
      <c r="D1131" s="116">
        <v>565.85</v>
      </c>
      <c r="E1131" s="116">
        <v>565.85</v>
      </c>
      <c r="F1131" s="116">
        <v>11467.55</v>
      </c>
      <c r="G1131">
        <v>1796</v>
      </c>
      <c r="H1131" s="116"/>
      <c r="I1131" s="116"/>
      <c r="L1131" s="170">
        <v>43669</v>
      </c>
      <c r="M1131" s="116">
        <v>573.53750000000002</v>
      </c>
      <c r="N1131" s="116">
        <v>584.65</v>
      </c>
      <c r="O1131" s="116">
        <v>565.25</v>
      </c>
      <c r="P1131" s="116">
        <v>565.25</v>
      </c>
      <c r="Q1131" s="116">
        <v>11470.75</v>
      </c>
      <c r="R1131">
        <v>61563</v>
      </c>
    </row>
    <row r="1132" spans="1:18" x14ac:dyDescent="0.25">
      <c r="A1132" s="170">
        <v>43670</v>
      </c>
      <c r="B1132" s="116">
        <v>580.14</v>
      </c>
      <c r="C1132" s="116">
        <v>574.02250000000004</v>
      </c>
      <c r="D1132" s="116">
        <v>565.13250000000005</v>
      </c>
      <c r="E1132" s="116">
        <v>575.41999999999996</v>
      </c>
      <c r="F1132" s="116">
        <v>11480.45</v>
      </c>
      <c r="G1132">
        <v>1001</v>
      </c>
      <c r="H1132" s="116"/>
      <c r="I1132" s="116"/>
      <c r="L1132" s="170">
        <v>43670</v>
      </c>
      <c r="M1132" s="116">
        <v>573.995</v>
      </c>
      <c r="N1132" s="116">
        <v>580.98749999999995</v>
      </c>
      <c r="O1132" s="116">
        <v>564.9375</v>
      </c>
      <c r="P1132" s="116">
        <v>575</v>
      </c>
      <c r="Q1132" s="116">
        <v>11479.9</v>
      </c>
      <c r="R1132">
        <v>49740</v>
      </c>
    </row>
    <row r="1133" spans="1:18" x14ac:dyDescent="0.25">
      <c r="A1133" s="170">
        <v>43671</v>
      </c>
      <c r="B1133" s="116">
        <v>582.78</v>
      </c>
      <c r="C1133" s="116">
        <v>574.61249999999995</v>
      </c>
      <c r="D1133" s="116">
        <v>572.5</v>
      </c>
      <c r="E1133" s="116">
        <v>576.10249999999996</v>
      </c>
      <c r="F1133" s="116">
        <v>11492.25</v>
      </c>
      <c r="G1133">
        <v>1370</v>
      </c>
      <c r="H1133" s="116"/>
      <c r="I1133" s="116"/>
      <c r="L1133" s="170">
        <v>43671</v>
      </c>
      <c r="M1133" s="116">
        <v>574.75</v>
      </c>
      <c r="N1133" s="116">
        <v>583.34249999999997</v>
      </c>
      <c r="O1133" s="116">
        <v>572</v>
      </c>
      <c r="P1133" s="116">
        <v>575.45000000000005</v>
      </c>
      <c r="Q1133" s="116">
        <v>11495</v>
      </c>
      <c r="R1133">
        <v>53885</v>
      </c>
    </row>
    <row r="1134" spans="1:18" x14ac:dyDescent="0.25">
      <c r="A1134" s="170">
        <v>43672</v>
      </c>
      <c r="B1134" s="116">
        <v>583.20000000000005</v>
      </c>
      <c r="C1134" s="116">
        <v>580.99749999999995</v>
      </c>
      <c r="D1134" s="116">
        <v>573.51</v>
      </c>
      <c r="E1134" s="116">
        <v>576.92750000000001</v>
      </c>
      <c r="F1134" s="116">
        <v>11619.95</v>
      </c>
      <c r="G1134">
        <v>1059</v>
      </c>
      <c r="H1134" s="116"/>
      <c r="I1134" s="116"/>
      <c r="L1134" s="170">
        <v>43672</v>
      </c>
      <c r="M1134" s="116">
        <v>581.16250000000002</v>
      </c>
      <c r="N1134" s="116">
        <v>583.57249999999999</v>
      </c>
      <c r="O1134" s="116">
        <v>573.5</v>
      </c>
      <c r="P1134" s="116">
        <v>576.25</v>
      </c>
      <c r="Q1134" s="116">
        <v>11623.25</v>
      </c>
      <c r="R1134">
        <v>30544</v>
      </c>
    </row>
    <row r="1135" spans="1:18" x14ac:dyDescent="0.25">
      <c r="A1135" s="170">
        <v>43675</v>
      </c>
      <c r="B1135" s="116">
        <v>584.1</v>
      </c>
      <c r="C1135" s="116">
        <v>581.08249999999998</v>
      </c>
      <c r="D1135" s="116">
        <v>573.87</v>
      </c>
      <c r="E1135" s="116">
        <v>580.95000000000005</v>
      </c>
      <c r="F1135" s="116">
        <v>11621.65</v>
      </c>
      <c r="G1135">
        <v>3357</v>
      </c>
      <c r="H1135" s="116"/>
      <c r="I1135" s="116"/>
      <c r="L1135" s="170">
        <v>43675</v>
      </c>
      <c r="M1135" s="116">
        <v>581.01250000000005</v>
      </c>
      <c r="N1135" s="116">
        <v>584.5</v>
      </c>
      <c r="O1135" s="116">
        <v>573.96249999999998</v>
      </c>
      <c r="P1135" s="116">
        <v>580</v>
      </c>
      <c r="Q1135" s="116">
        <v>11620.25</v>
      </c>
      <c r="R1135">
        <v>46052</v>
      </c>
    </row>
    <row r="1136" spans="1:18" x14ac:dyDescent="0.25">
      <c r="A1136" s="170">
        <v>43676</v>
      </c>
      <c r="B1136" s="116">
        <v>584.74249999999995</v>
      </c>
      <c r="C1136" s="116">
        <v>576.55999999999995</v>
      </c>
      <c r="D1136" s="116">
        <v>575</v>
      </c>
      <c r="E1136" s="116">
        <v>583</v>
      </c>
      <c r="F1136" s="116">
        <v>11531.2</v>
      </c>
      <c r="G1136">
        <v>837</v>
      </c>
      <c r="H1136" s="116"/>
      <c r="I1136" s="116"/>
      <c r="L1136" s="170">
        <v>43676</v>
      </c>
      <c r="M1136" s="116">
        <v>576.82749999999999</v>
      </c>
      <c r="N1136" s="116">
        <v>584.52750000000003</v>
      </c>
      <c r="O1136" s="116">
        <v>575</v>
      </c>
      <c r="P1136" s="116">
        <v>583.6925</v>
      </c>
      <c r="Q1136" s="116">
        <v>11536.55</v>
      </c>
      <c r="R1136">
        <v>34459</v>
      </c>
    </row>
    <row r="1137" spans="1:18" x14ac:dyDescent="0.25">
      <c r="A1137" s="170">
        <v>43677</v>
      </c>
      <c r="B1137" s="116">
        <v>586.48749999999995</v>
      </c>
      <c r="C1137" s="116">
        <v>583.58500000000004</v>
      </c>
      <c r="D1137" s="116">
        <v>570.35</v>
      </c>
      <c r="E1137" s="116">
        <v>576.5625</v>
      </c>
      <c r="F1137" s="116">
        <v>11671.7</v>
      </c>
      <c r="G1137">
        <v>959</v>
      </c>
      <c r="H1137" s="116"/>
      <c r="I1137" s="116"/>
      <c r="L1137" s="170">
        <v>43677</v>
      </c>
      <c r="M1137" s="116">
        <v>583.79499999999996</v>
      </c>
      <c r="N1137" s="116">
        <v>587</v>
      </c>
      <c r="O1137" s="116">
        <v>570.04999999999995</v>
      </c>
      <c r="P1137" s="116">
        <v>575.00250000000005</v>
      </c>
      <c r="Q1137" s="116">
        <v>11675.9</v>
      </c>
      <c r="R1137">
        <v>46971</v>
      </c>
    </row>
    <row r="1138" spans="1:18" x14ac:dyDescent="0.25">
      <c r="A1138" s="170">
        <v>43678</v>
      </c>
      <c r="B1138" s="116">
        <v>584</v>
      </c>
      <c r="C1138" s="116">
        <v>577.20500000000004</v>
      </c>
      <c r="D1138" s="116">
        <v>572.42499999999995</v>
      </c>
      <c r="E1138" s="116">
        <v>584</v>
      </c>
      <c r="F1138" s="116">
        <v>11544.1</v>
      </c>
      <c r="G1138">
        <v>1050</v>
      </c>
      <c r="H1138" s="116"/>
      <c r="I1138" s="116"/>
      <c r="L1138" s="170">
        <v>43678</v>
      </c>
      <c r="M1138" s="116">
        <v>577.35</v>
      </c>
      <c r="N1138" s="116">
        <v>583.20000000000005</v>
      </c>
      <c r="O1138" s="116">
        <v>572.25</v>
      </c>
      <c r="P1138" s="116">
        <v>583.20000000000005</v>
      </c>
      <c r="Q1138" s="116">
        <v>11547</v>
      </c>
      <c r="R1138">
        <v>34623</v>
      </c>
    </row>
    <row r="1139" spans="1:18" x14ac:dyDescent="0.25">
      <c r="A1139" s="170">
        <v>43679</v>
      </c>
      <c r="B1139" s="116">
        <v>576.25</v>
      </c>
      <c r="C1139" s="116">
        <v>571.39250000000004</v>
      </c>
      <c r="D1139" s="116">
        <v>564.99749999999995</v>
      </c>
      <c r="E1139" s="116">
        <v>576</v>
      </c>
      <c r="F1139" s="116">
        <v>11427.85</v>
      </c>
      <c r="G1139">
        <v>15613</v>
      </c>
      <c r="H1139" s="116"/>
      <c r="I1139" s="116"/>
      <c r="L1139" s="170">
        <v>43679</v>
      </c>
      <c r="M1139" s="116">
        <v>570.57500000000005</v>
      </c>
      <c r="N1139" s="116">
        <v>576.8075</v>
      </c>
      <c r="O1139" s="116">
        <v>566.12249999999995</v>
      </c>
      <c r="P1139" s="116">
        <v>571.25</v>
      </c>
      <c r="Q1139" s="116">
        <v>11411.5</v>
      </c>
      <c r="R1139">
        <v>56548</v>
      </c>
    </row>
    <row r="1140" spans="1:18" x14ac:dyDescent="0.25">
      <c r="A1140" s="170">
        <v>43682</v>
      </c>
      <c r="B1140" s="116">
        <v>595.6</v>
      </c>
      <c r="C1140" s="116">
        <v>586.36500000000001</v>
      </c>
      <c r="D1140" s="116">
        <v>577.25</v>
      </c>
      <c r="E1140" s="116">
        <v>579</v>
      </c>
      <c r="F1140" s="116">
        <v>11727.3</v>
      </c>
      <c r="G1140">
        <v>3186</v>
      </c>
      <c r="H1140" s="116"/>
      <c r="I1140" s="116"/>
      <c r="L1140" s="170">
        <v>43682</v>
      </c>
      <c r="M1140" s="116">
        <v>585.64</v>
      </c>
      <c r="N1140" s="116">
        <v>597.5</v>
      </c>
      <c r="O1140" s="116">
        <v>574.5</v>
      </c>
      <c r="P1140" s="116">
        <v>576.4</v>
      </c>
      <c r="Q1140" s="116">
        <v>11712.8</v>
      </c>
      <c r="R1140">
        <v>122980</v>
      </c>
    </row>
    <row r="1141" spans="1:18" x14ac:dyDescent="0.25">
      <c r="A1141" s="170">
        <v>43683</v>
      </c>
      <c r="B1141" s="116">
        <v>599.74</v>
      </c>
      <c r="C1141" s="116">
        <v>591.60500000000002</v>
      </c>
      <c r="D1141" s="116">
        <v>585.85</v>
      </c>
      <c r="E1141" s="116">
        <v>587</v>
      </c>
      <c r="F1141" s="116">
        <v>11832.1</v>
      </c>
      <c r="G1141">
        <v>2699</v>
      </c>
      <c r="H1141" s="116"/>
      <c r="I1141" s="116"/>
      <c r="L1141" s="170">
        <v>43683</v>
      </c>
      <c r="M1141" s="116">
        <v>591.87750000000005</v>
      </c>
      <c r="N1141" s="116">
        <v>599.9</v>
      </c>
      <c r="O1141" s="116">
        <v>585.05250000000001</v>
      </c>
      <c r="P1141" s="116">
        <v>585.5</v>
      </c>
      <c r="Q1141" s="116">
        <v>11837.55</v>
      </c>
      <c r="R1141">
        <v>85992</v>
      </c>
    </row>
    <row r="1142" spans="1:18" x14ac:dyDescent="0.25">
      <c r="A1142" s="170">
        <v>43684</v>
      </c>
      <c r="B1142" s="116">
        <v>595.44749999999999</v>
      </c>
      <c r="C1142" s="116">
        <v>588.59749999999997</v>
      </c>
      <c r="D1142" s="116">
        <v>587.5</v>
      </c>
      <c r="E1142" s="116">
        <v>593.45000000000005</v>
      </c>
      <c r="F1142" s="116">
        <v>11771.95</v>
      </c>
      <c r="G1142">
        <v>1518</v>
      </c>
      <c r="H1142" s="116"/>
      <c r="I1142" s="116"/>
      <c r="L1142" s="170">
        <v>43684</v>
      </c>
      <c r="M1142" s="116">
        <v>588.87249999999995</v>
      </c>
      <c r="N1142" s="116">
        <v>595.48249999999996</v>
      </c>
      <c r="O1142" s="116">
        <v>586.60749999999996</v>
      </c>
      <c r="P1142" s="116">
        <v>589.5</v>
      </c>
      <c r="Q1142" s="116">
        <v>11777.45</v>
      </c>
      <c r="R1142">
        <v>46996</v>
      </c>
    </row>
    <row r="1143" spans="1:18" x14ac:dyDescent="0.25">
      <c r="A1143" s="170">
        <v>43685</v>
      </c>
      <c r="B1143" s="116">
        <v>596.68499999999995</v>
      </c>
      <c r="C1143" s="116">
        <v>592.20749999999998</v>
      </c>
      <c r="D1143" s="116">
        <v>589.25</v>
      </c>
      <c r="E1143" s="116">
        <v>591.1</v>
      </c>
      <c r="F1143" s="116">
        <v>11844.15</v>
      </c>
      <c r="G1143">
        <v>6426</v>
      </c>
      <c r="H1143" s="116"/>
      <c r="I1143" s="116"/>
      <c r="L1143" s="170">
        <v>43685</v>
      </c>
      <c r="M1143" s="116">
        <v>592.01250000000005</v>
      </c>
      <c r="N1143" s="116">
        <v>596.5</v>
      </c>
      <c r="O1143" s="116">
        <v>588.75</v>
      </c>
      <c r="P1143" s="116">
        <v>590</v>
      </c>
      <c r="Q1143" s="116">
        <v>11840.25</v>
      </c>
      <c r="R1143">
        <v>36614</v>
      </c>
    </row>
    <row r="1144" spans="1:18" x14ac:dyDescent="0.25">
      <c r="A1144" s="170">
        <v>43686</v>
      </c>
      <c r="B1144" s="116">
        <v>613.3125</v>
      </c>
      <c r="C1144" s="116">
        <v>599.07500000000005</v>
      </c>
      <c r="D1144" s="116">
        <v>585</v>
      </c>
      <c r="E1144" s="116">
        <v>593.95000000000005</v>
      </c>
      <c r="F1144" s="116">
        <v>11981.5</v>
      </c>
      <c r="G1144">
        <v>5304</v>
      </c>
      <c r="H1144" s="116"/>
      <c r="I1144" s="116"/>
      <c r="L1144" s="170">
        <v>43686</v>
      </c>
      <c r="M1144" s="116">
        <v>599.66499999999996</v>
      </c>
      <c r="N1144" s="116">
        <v>613.42499999999995</v>
      </c>
      <c r="O1144" s="116">
        <v>585</v>
      </c>
      <c r="P1144" s="116">
        <v>589</v>
      </c>
      <c r="Q1144" s="116">
        <v>11993.3</v>
      </c>
      <c r="R1144">
        <v>116548</v>
      </c>
    </row>
    <row r="1145" spans="1:18" x14ac:dyDescent="0.25">
      <c r="A1145" s="170">
        <v>43690</v>
      </c>
      <c r="B1145" s="116">
        <v>609.495</v>
      </c>
      <c r="C1145" s="116">
        <v>593.59500000000003</v>
      </c>
      <c r="D1145" s="116">
        <v>590.32500000000005</v>
      </c>
      <c r="E1145" s="116">
        <v>600</v>
      </c>
      <c r="F1145" s="116">
        <v>11871.9</v>
      </c>
      <c r="G1145">
        <v>2899</v>
      </c>
      <c r="H1145" s="116"/>
      <c r="I1145" s="116"/>
      <c r="L1145" s="170">
        <v>43690</v>
      </c>
      <c r="M1145" s="116">
        <v>594.67250000000001</v>
      </c>
      <c r="N1145" s="116">
        <v>609.64750000000004</v>
      </c>
      <c r="O1145" s="116">
        <v>591.00250000000005</v>
      </c>
      <c r="P1145" s="116">
        <v>598.11</v>
      </c>
      <c r="Q1145" s="116">
        <v>11893.45</v>
      </c>
      <c r="R1145">
        <v>77413</v>
      </c>
    </row>
    <row r="1146" spans="1:18" x14ac:dyDescent="0.25">
      <c r="A1146" s="170">
        <v>43691</v>
      </c>
      <c r="B1146" s="116">
        <v>607.70000000000005</v>
      </c>
      <c r="C1146" s="116">
        <v>601.54</v>
      </c>
      <c r="D1146" s="116">
        <v>593.59500000000003</v>
      </c>
      <c r="E1146" s="116">
        <v>596.9</v>
      </c>
      <c r="F1146" s="116">
        <v>12030.8</v>
      </c>
      <c r="G1146">
        <v>1861</v>
      </c>
      <c r="H1146" s="116"/>
      <c r="I1146" s="116"/>
      <c r="L1146" s="170">
        <v>43691</v>
      </c>
      <c r="M1146" s="116">
        <v>601.82749999999999</v>
      </c>
      <c r="N1146" s="116">
        <v>607.95000000000005</v>
      </c>
      <c r="O1146" s="116">
        <v>592.505</v>
      </c>
      <c r="P1146" s="116">
        <v>594.67250000000001</v>
      </c>
      <c r="Q1146" s="116">
        <v>12036.55</v>
      </c>
      <c r="R1146">
        <v>58376</v>
      </c>
    </row>
    <row r="1147" spans="1:18" x14ac:dyDescent="0.25">
      <c r="A1147" s="170">
        <v>43693</v>
      </c>
      <c r="B1147" s="116">
        <v>604.95000000000005</v>
      </c>
      <c r="C1147" s="116">
        <v>600.55499999999995</v>
      </c>
      <c r="D1147" s="116">
        <v>596.68499999999995</v>
      </c>
      <c r="E1147" s="116">
        <v>604.95000000000005</v>
      </c>
      <c r="F1147" s="116">
        <v>12011.1</v>
      </c>
      <c r="G1147">
        <v>915</v>
      </c>
      <c r="H1147" s="116"/>
      <c r="I1147" s="116"/>
      <c r="L1147" s="170">
        <v>43693</v>
      </c>
      <c r="M1147" s="116">
        <v>600.22</v>
      </c>
      <c r="N1147" s="116">
        <v>605.39499999999998</v>
      </c>
      <c r="O1147" s="116">
        <v>595.34500000000003</v>
      </c>
      <c r="P1147" s="116">
        <v>604.995</v>
      </c>
      <c r="Q1147" s="116">
        <v>12004.4</v>
      </c>
      <c r="R1147">
        <v>56885</v>
      </c>
    </row>
    <row r="1148" spans="1:18" x14ac:dyDescent="0.25">
      <c r="A1148" s="170">
        <v>43696</v>
      </c>
      <c r="B1148" s="116">
        <v>612.5</v>
      </c>
      <c r="C1148" s="116">
        <v>602.93499999999995</v>
      </c>
      <c r="D1148" s="116">
        <v>600.35</v>
      </c>
      <c r="E1148" s="116">
        <v>600.35</v>
      </c>
      <c r="F1148" s="116">
        <v>12058.7</v>
      </c>
      <c r="G1148">
        <v>1158</v>
      </c>
      <c r="H1148" s="116"/>
      <c r="I1148" s="116"/>
      <c r="L1148" s="170">
        <v>43696</v>
      </c>
      <c r="M1148" s="116">
        <v>603.33000000000004</v>
      </c>
      <c r="N1148" s="116">
        <v>612.995</v>
      </c>
      <c r="O1148" s="116">
        <v>602.00250000000005</v>
      </c>
      <c r="P1148" s="116">
        <v>604.5</v>
      </c>
      <c r="Q1148" s="116">
        <v>12066.6</v>
      </c>
      <c r="R1148">
        <v>44883</v>
      </c>
    </row>
    <row r="1149" spans="1:18" x14ac:dyDescent="0.25">
      <c r="A1149" s="170">
        <v>43697</v>
      </c>
      <c r="B1149" s="116">
        <v>607.13250000000005</v>
      </c>
      <c r="C1149" s="116">
        <v>598.16750000000002</v>
      </c>
      <c r="D1149" s="116">
        <v>596.37750000000005</v>
      </c>
      <c r="E1149" s="116">
        <v>603.6</v>
      </c>
      <c r="F1149" s="116">
        <v>11963.35</v>
      </c>
      <c r="G1149">
        <v>1518</v>
      </c>
      <c r="H1149" s="116"/>
      <c r="I1149" s="116"/>
      <c r="L1149" s="170">
        <v>43697</v>
      </c>
      <c r="M1149" s="116">
        <v>598.49</v>
      </c>
      <c r="N1149" s="116">
        <v>607.79250000000002</v>
      </c>
      <c r="O1149" s="116">
        <v>595.83500000000004</v>
      </c>
      <c r="P1149" s="116">
        <v>605.70000000000005</v>
      </c>
      <c r="Q1149" s="116">
        <v>11969.8</v>
      </c>
      <c r="R1149">
        <v>67952</v>
      </c>
    </row>
    <row r="1150" spans="1:18" x14ac:dyDescent="0.25">
      <c r="A1150" s="170">
        <v>43698</v>
      </c>
      <c r="B1150" s="116">
        <v>631.75</v>
      </c>
      <c r="C1150" s="116">
        <v>629.37249999999995</v>
      </c>
      <c r="D1150" s="116">
        <v>598.51750000000004</v>
      </c>
      <c r="E1150" s="116">
        <v>598.51750000000004</v>
      </c>
      <c r="F1150" s="116">
        <v>12587.45</v>
      </c>
      <c r="G1150">
        <v>12696</v>
      </c>
      <c r="H1150" s="116"/>
      <c r="I1150" s="116"/>
      <c r="L1150" s="170">
        <v>43698</v>
      </c>
      <c r="M1150" s="116">
        <v>629.70500000000004</v>
      </c>
      <c r="N1150" s="116">
        <v>632.32500000000005</v>
      </c>
      <c r="O1150" s="116">
        <v>598.5</v>
      </c>
      <c r="P1150" s="116">
        <v>598.5</v>
      </c>
      <c r="Q1150" s="116">
        <v>12594.1</v>
      </c>
      <c r="R1150">
        <v>273006</v>
      </c>
    </row>
    <row r="1151" spans="1:18" x14ac:dyDescent="0.25">
      <c r="A1151" s="170">
        <v>43699</v>
      </c>
      <c r="B1151" s="116">
        <v>639.78499999999997</v>
      </c>
      <c r="C1151" s="116">
        <v>622.92750000000001</v>
      </c>
      <c r="D1151" s="116">
        <v>620.54250000000002</v>
      </c>
      <c r="E1151" s="116">
        <v>632.495</v>
      </c>
      <c r="F1151" s="116">
        <v>12458.55</v>
      </c>
      <c r="G1151">
        <v>3912</v>
      </c>
      <c r="H1151" s="116"/>
      <c r="I1151" s="116"/>
      <c r="L1151" s="170">
        <v>43699</v>
      </c>
      <c r="M1151" s="116">
        <v>623.5</v>
      </c>
      <c r="N1151" s="116">
        <v>639.95000000000005</v>
      </c>
      <c r="O1151" s="116">
        <v>620.26250000000005</v>
      </c>
      <c r="P1151" s="116">
        <v>632</v>
      </c>
      <c r="Q1151" s="116">
        <v>12470</v>
      </c>
      <c r="R1151">
        <v>100858</v>
      </c>
    </row>
    <row r="1152" spans="1:18" x14ac:dyDescent="0.25">
      <c r="A1152" s="170">
        <v>43700</v>
      </c>
      <c r="B1152" s="116">
        <v>626.07000000000005</v>
      </c>
      <c r="C1152" s="116">
        <v>622.5625</v>
      </c>
      <c r="D1152" s="116">
        <v>613.92750000000001</v>
      </c>
      <c r="E1152" s="116">
        <v>622.65</v>
      </c>
      <c r="F1152" s="116">
        <v>12451.25</v>
      </c>
      <c r="G1152">
        <v>1818</v>
      </c>
      <c r="H1152" s="116"/>
      <c r="I1152" s="116"/>
      <c r="L1152" s="170">
        <v>43700</v>
      </c>
      <c r="M1152" s="116">
        <v>621.9325</v>
      </c>
      <c r="N1152" s="116">
        <v>627.38</v>
      </c>
      <c r="O1152" s="116">
        <v>612.5</v>
      </c>
      <c r="P1152" s="116">
        <v>624.97500000000002</v>
      </c>
      <c r="Q1152" s="116">
        <v>12438.65</v>
      </c>
      <c r="R1152">
        <v>58571</v>
      </c>
    </row>
    <row r="1153" spans="1:18" x14ac:dyDescent="0.25">
      <c r="A1153" s="170">
        <v>43703</v>
      </c>
      <c r="B1153" s="116">
        <v>629.6</v>
      </c>
      <c r="C1153" s="116">
        <v>619.54499999999996</v>
      </c>
      <c r="D1153" s="116">
        <v>611.74749999999995</v>
      </c>
      <c r="E1153" s="116">
        <v>628.29999999999995</v>
      </c>
      <c r="F1153" s="116">
        <v>12390.9</v>
      </c>
      <c r="G1153">
        <v>2338</v>
      </c>
      <c r="H1153" s="116"/>
      <c r="I1153" s="116"/>
      <c r="L1153" s="170">
        <v>43703</v>
      </c>
      <c r="M1153" s="116">
        <v>619.5675</v>
      </c>
      <c r="N1153" s="116">
        <v>631.08749999999998</v>
      </c>
      <c r="O1153" s="116">
        <v>611.5</v>
      </c>
      <c r="P1153" s="116">
        <v>631.08749999999998</v>
      </c>
      <c r="Q1153" s="116">
        <v>12391.35</v>
      </c>
      <c r="R1153">
        <v>77906</v>
      </c>
    </row>
    <row r="1154" spans="1:18" x14ac:dyDescent="0.25">
      <c r="A1154" s="170">
        <v>43704</v>
      </c>
      <c r="B1154" s="116">
        <v>627.12750000000005</v>
      </c>
      <c r="C1154" s="116">
        <v>623.67250000000001</v>
      </c>
      <c r="D1154" s="116">
        <v>617.5</v>
      </c>
      <c r="E1154" s="116">
        <v>619.75</v>
      </c>
      <c r="F1154" s="116">
        <v>12473.45</v>
      </c>
      <c r="G1154">
        <v>1245</v>
      </c>
      <c r="H1154" s="116"/>
      <c r="I1154" s="116"/>
      <c r="L1154" s="170">
        <v>43704</v>
      </c>
      <c r="M1154" s="116">
        <v>623.61749999999995</v>
      </c>
      <c r="N1154" s="116">
        <v>627.5</v>
      </c>
      <c r="O1154" s="116">
        <v>617.70500000000004</v>
      </c>
      <c r="P1154" s="116">
        <v>617.70500000000004</v>
      </c>
      <c r="Q1154" s="116">
        <v>12472.35</v>
      </c>
      <c r="R1154">
        <v>92699</v>
      </c>
    </row>
    <row r="1155" spans="1:18" x14ac:dyDescent="0.25">
      <c r="A1155" s="170">
        <v>43705</v>
      </c>
      <c r="B1155" s="116">
        <v>642.52750000000003</v>
      </c>
      <c r="C1155" s="116">
        <v>625.73500000000001</v>
      </c>
      <c r="D1155" s="116">
        <v>621.25</v>
      </c>
      <c r="E1155" s="116">
        <v>622</v>
      </c>
      <c r="F1155" s="116">
        <v>12514.7</v>
      </c>
      <c r="G1155">
        <v>3248</v>
      </c>
      <c r="H1155" s="116"/>
      <c r="I1155" s="116"/>
      <c r="L1155" s="170">
        <v>43705</v>
      </c>
      <c r="M1155" s="116">
        <v>625.87</v>
      </c>
      <c r="N1155" s="116">
        <v>642.5</v>
      </c>
      <c r="O1155" s="116">
        <v>620.49749999999995</v>
      </c>
      <c r="P1155" s="116">
        <v>627.25</v>
      </c>
      <c r="Q1155" s="116">
        <v>12517.4</v>
      </c>
      <c r="R1155">
        <v>103647</v>
      </c>
    </row>
    <row r="1156" spans="1:18" x14ac:dyDescent="0.25">
      <c r="A1156" s="170">
        <v>43706</v>
      </c>
      <c r="B1156" s="116">
        <v>644.35</v>
      </c>
      <c r="C1156" s="116">
        <v>635.69500000000005</v>
      </c>
      <c r="D1156" s="116">
        <v>631</v>
      </c>
      <c r="E1156" s="116">
        <v>631</v>
      </c>
      <c r="F1156" s="116">
        <v>12713.9</v>
      </c>
      <c r="G1156">
        <v>7537</v>
      </c>
      <c r="H1156" s="116"/>
      <c r="I1156" s="116"/>
      <c r="L1156" s="170">
        <v>43706</v>
      </c>
      <c r="M1156" s="116">
        <v>635.84249999999997</v>
      </c>
      <c r="N1156" s="116">
        <v>644.5</v>
      </c>
      <c r="O1156" s="116">
        <v>630.5</v>
      </c>
      <c r="P1156" s="116">
        <v>632.15</v>
      </c>
      <c r="Q1156" s="116">
        <v>12716.85</v>
      </c>
      <c r="R1156">
        <v>243927</v>
      </c>
    </row>
    <row r="1157" spans="1:18" x14ac:dyDescent="0.25">
      <c r="A1157" s="170">
        <v>43707</v>
      </c>
      <c r="B1157" s="116">
        <v>647.3075</v>
      </c>
      <c r="C1157" s="116">
        <v>642.49749999999995</v>
      </c>
      <c r="D1157" s="116">
        <v>628.42499999999995</v>
      </c>
      <c r="E1157" s="116">
        <v>638.20000000000005</v>
      </c>
      <c r="F1157" s="116">
        <v>12849.95</v>
      </c>
      <c r="G1157">
        <v>3749</v>
      </c>
      <c r="H1157" s="116"/>
      <c r="I1157" s="116"/>
      <c r="L1157" s="170">
        <v>43707</v>
      </c>
      <c r="M1157" s="116">
        <v>643.76</v>
      </c>
      <c r="N1157" s="116">
        <v>647.44000000000005</v>
      </c>
      <c r="O1157" s="116">
        <v>628.35</v>
      </c>
      <c r="P1157" s="116">
        <v>636.25</v>
      </c>
      <c r="Q1157" s="116">
        <v>12875.2</v>
      </c>
      <c r="R1157">
        <v>124005</v>
      </c>
    </row>
    <row r="1158" spans="1:18" x14ac:dyDescent="0.25">
      <c r="A1158" s="170">
        <v>43711</v>
      </c>
      <c r="B1158" s="116">
        <v>644.75</v>
      </c>
      <c r="C1158" s="116">
        <v>634.21500000000003</v>
      </c>
      <c r="D1158" s="116">
        <v>630.35</v>
      </c>
      <c r="E1158" s="116">
        <v>642.5</v>
      </c>
      <c r="F1158" s="116">
        <v>12684.3</v>
      </c>
      <c r="G1158">
        <v>2253</v>
      </c>
      <c r="H1158" s="116"/>
      <c r="I1158" s="116"/>
      <c r="L1158" s="170">
        <v>43711</v>
      </c>
      <c r="M1158" s="116">
        <v>634.54750000000001</v>
      </c>
      <c r="N1158" s="116">
        <v>644.95000000000005</v>
      </c>
      <c r="O1158" s="116">
        <v>629.88</v>
      </c>
      <c r="P1158" s="116">
        <v>641.5</v>
      </c>
      <c r="Q1158" s="116">
        <v>12690.95</v>
      </c>
      <c r="R1158">
        <v>79268</v>
      </c>
    </row>
    <row r="1159" spans="1:18" x14ac:dyDescent="0.25">
      <c r="A1159" s="170">
        <v>43712</v>
      </c>
      <c r="B1159" s="116">
        <v>639.255</v>
      </c>
      <c r="C1159" s="116">
        <v>623.25750000000005</v>
      </c>
      <c r="D1159" s="116">
        <v>617.5</v>
      </c>
      <c r="E1159" s="116">
        <v>635.54999999999995</v>
      </c>
      <c r="F1159" s="116">
        <v>12465.15</v>
      </c>
      <c r="G1159">
        <v>4514</v>
      </c>
      <c r="H1159" s="116"/>
      <c r="I1159" s="116"/>
      <c r="L1159" s="170">
        <v>43712</v>
      </c>
      <c r="M1159" s="116">
        <v>624.03750000000002</v>
      </c>
      <c r="N1159" s="116">
        <v>637.53</v>
      </c>
      <c r="O1159" s="116">
        <v>619.38250000000005</v>
      </c>
      <c r="P1159" s="116">
        <v>634.98749999999995</v>
      </c>
      <c r="Q1159" s="116">
        <v>12480.75</v>
      </c>
      <c r="R1159">
        <v>91435</v>
      </c>
    </row>
    <row r="1160" spans="1:18" x14ac:dyDescent="0.25">
      <c r="A1160" s="170">
        <v>43713</v>
      </c>
      <c r="B1160" s="116">
        <v>633.43499999999995</v>
      </c>
      <c r="C1160" s="116">
        <v>630.20249999999999</v>
      </c>
      <c r="D1160" s="116">
        <v>625.75</v>
      </c>
      <c r="E1160" s="116">
        <v>629.03750000000002</v>
      </c>
      <c r="F1160" s="116">
        <v>12604.05</v>
      </c>
      <c r="G1160">
        <v>1895</v>
      </c>
      <c r="H1160" s="116"/>
      <c r="I1160" s="116"/>
      <c r="L1160" s="170">
        <v>43713</v>
      </c>
      <c r="M1160" s="116">
        <v>630.60749999999996</v>
      </c>
      <c r="N1160" s="116">
        <v>633.75</v>
      </c>
      <c r="O1160" s="116">
        <v>624.00250000000005</v>
      </c>
      <c r="P1160" s="116">
        <v>624.00250000000005</v>
      </c>
      <c r="Q1160" s="116">
        <v>12612.15</v>
      </c>
      <c r="R1160">
        <v>52941</v>
      </c>
    </row>
    <row r="1161" spans="1:18" x14ac:dyDescent="0.25">
      <c r="A1161" s="170">
        <v>43714</v>
      </c>
      <c r="B1161" s="116">
        <v>635.74249999999995</v>
      </c>
      <c r="C1161" s="116">
        <v>628.61</v>
      </c>
      <c r="D1161" s="116">
        <v>617.75</v>
      </c>
      <c r="E1161" s="116">
        <v>617.75</v>
      </c>
      <c r="F1161" s="116">
        <v>12572.2</v>
      </c>
      <c r="G1161">
        <v>2879</v>
      </c>
      <c r="H1161" s="116"/>
      <c r="I1161" s="116"/>
      <c r="L1161" s="170">
        <v>43714</v>
      </c>
      <c r="M1161" s="116">
        <v>630.69749999999999</v>
      </c>
      <c r="N1161" s="116">
        <v>635.61</v>
      </c>
      <c r="O1161" s="116">
        <v>625.25</v>
      </c>
      <c r="P1161" s="116">
        <v>632.5</v>
      </c>
      <c r="Q1161" s="116">
        <v>12613.95</v>
      </c>
      <c r="R1161">
        <v>57818</v>
      </c>
    </row>
    <row r="1162" spans="1:18" x14ac:dyDescent="0.25">
      <c r="A1162" s="170">
        <v>43717</v>
      </c>
      <c r="B1162" s="116">
        <v>643.82500000000005</v>
      </c>
      <c r="C1162" s="116">
        <v>642.11500000000001</v>
      </c>
      <c r="D1162" s="116">
        <v>630</v>
      </c>
      <c r="E1162" s="116">
        <v>630</v>
      </c>
      <c r="F1162" s="116">
        <v>12842.3</v>
      </c>
      <c r="G1162">
        <v>1819</v>
      </c>
      <c r="H1162" s="116"/>
      <c r="I1162" s="116"/>
      <c r="L1162" s="170">
        <v>43717</v>
      </c>
      <c r="M1162" s="116">
        <v>641.8175</v>
      </c>
      <c r="N1162" s="116">
        <v>645</v>
      </c>
      <c r="O1162" s="116">
        <v>628.23500000000001</v>
      </c>
      <c r="P1162" s="116">
        <v>631.46500000000003</v>
      </c>
      <c r="Q1162" s="116">
        <v>12836.35</v>
      </c>
      <c r="R1162">
        <v>68341</v>
      </c>
    </row>
    <row r="1163" spans="1:18" x14ac:dyDescent="0.25">
      <c r="A1163" s="170">
        <v>43719</v>
      </c>
      <c r="B1163" s="116">
        <v>641.5</v>
      </c>
      <c r="C1163" s="116">
        <v>637.86</v>
      </c>
      <c r="D1163" s="116">
        <v>633.1875</v>
      </c>
      <c r="E1163" s="116">
        <v>641.5</v>
      </c>
      <c r="F1163" s="116">
        <v>12757.2</v>
      </c>
      <c r="G1163">
        <v>1393</v>
      </c>
      <c r="H1163" s="116"/>
      <c r="I1163" s="116"/>
      <c r="L1163" s="170">
        <v>43719</v>
      </c>
      <c r="M1163" s="116">
        <v>637.94749999999999</v>
      </c>
      <c r="N1163" s="116">
        <v>642.09749999999997</v>
      </c>
      <c r="O1163" s="116">
        <v>633.16750000000002</v>
      </c>
      <c r="P1163" s="116">
        <v>641.94749999999999</v>
      </c>
      <c r="Q1163" s="116">
        <v>12758.95</v>
      </c>
      <c r="R1163">
        <v>105665</v>
      </c>
    </row>
    <row r="1164" spans="1:18" x14ac:dyDescent="0.25">
      <c r="A1164" s="170">
        <v>43720</v>
      </c>
      <c r="B1164" s="116">
        <v>641.45000000000005</v>
      </c>
      <c r="C1164" s="116">
        <v>628.37249999999995</v>
      </c>
      <c r="D1164" s="116">
        <v>626.25</v>
      </c>
      <c r="E1164" s="116">
        <v>637.84</v>
      </c>
      <c r="F1164" s="116">
        <v>12567.45</v>
      </c>
      <c r="G1164">
        <v>2025</v>
      </c>
      <c r="H1164" s="116"/>
      <c r="I1164" s="116"/>
      <c r="L1164" s="170">
        <v>43720</v>
      </c>
      <c r="M1164" s="116">
        <v>627.84500000000003</v>
      </c>
      <c r="N1164" s="116">
        <v>641.80999999999995</v>
      </c>
      <c r="O1164" s="116">
        <v>626.01499999999999</v>
      </c>
      <c r="P1164" s="116">
        <v>638.82249999999999</v>
      </c>
      <c r="Q1164" s="116">
        <v>12556.9</v>
      </c>
      <c r="R1164">
        <v>73503</v>
      </c>
    </row>
    <row r="1165" spans="1:18" x14ac:dyDescent="0.25">
      <c r="A1165" s="170">
        <v>43721</v>
      </c>
      <c r="B1165" s="116">
        <v>635.84500000000003</v>
      </c>
      <c r="C1165" s="116">
        <v>634.8175</v>
      </c>
      <c r="D1165" s="116">
        <v>625.5</v>
      </c>
      <c r="E1165" s="116">
        <v>632.9</v>
      </c>
      <c r="F1165" s="116">
        <v>12696.35</v>
      </c>
      <c r="G1165">
        <v>6041</v>
      </c>
      <c r="H1165" s="116"/>
      <c r="I1165" s="116"/>
      <c r="L1165" s="170">
        <v>43721</v>
      </c>
      <c r="M1165" s="116">
        <v>634.46500000000003</v>
      </c>
      <c r="N1165" s="116">
        <v>635.95000000000005</v>
      </c>
      <c r="O1165" s="116">
        <v>625.47500000000002</v>
      </c>
      <c r="P1165" s="116">
        <v>628.5</v>
      </c>
      <c r="Q1165" s="116">
        <v>12689.3</v>
      </c>
      <c r="R1165">
        <v>56507</v>
      </c>
    </row>
    <row r="1166" spans="1:18" x14ac:dyDescent="0.25">
      <c r="A1166" s="170">
        <v>43724</v>
      </c>
      <c r="B1166" s="116">
        <v>643.245</v>
      </c>
      <c r="C1166" s="116">
        <v>642.17250000000001</v>
      </c>
      <c r="D1166" s="116">
        <v>630.82500000000005</v>
      </c>
      <c r="E1166" s="116">
        <v>634.5</v>
      </c>
      <c r="F1166" s="116">
        <v>12843.45</v>
      </c>
      <c r="G1166">
        <v>1633</v>
      </c>
      <c r="H1166" s="116"/>
      <c r="I1166" s="116"/>
      <c r="L1166" s="170">
        <v>43724</v>
      </c>
      <c r="M1166" s="116">
        <v>642.04750000000001</v>
      </c>
      <c r="N1166" s="116">
        <v>643.49749999999995</v>
      </c>
      <c r="O1166" s="116">
        <v>625.59500000000003</v>
      </c>
      <c r="P1166" s="116">
        <v>625.59500000000003</v>
      </c>
      <c r="Q1166" s="116">
        <v>12840.95</v>
      </c>
      <c r="R1166">
        <v>48505</v>
      </c>
    </row>
    <row r="1167" spans="1:18" x14ac:dyDescent="0.25">
      <c r="A1167" s="170">
        <v>43725</v>
      </c>
      <c r="B1167" s="116">
        <v>642.375</v>
      </c>
      <c r="C1167" s="116">
        <v>638.15250000000003</v>
      </c>
      <c r="D1167" s="116">
        <v>635.45749999999998</v>
      </c>
      <c r="E1167" s="116">
        <v>640</v>
      </c>
      <c r="F1167" s="116">
        <v>12763.05</v>
      </c>
      <c r="G1167">
        <v>1948</v>
      </c>
      <c r="H1167" s="116"/>
      <c r="I1167" s="116"/>
      <c r="L1167" s="170">
        <v>43725</v>
      </c>
      <c r="M1167" s="116">
        <v>638.21249999999998</v>
      </c>
      <c r="N1167" s="116">
        <v>639.5</v>
      </c>
      <c r="O1167" s="116">
        <v>635.30250000000001</v>
      </c>
      <c r="P1167" s="116">
        <v>638.00250000000005</v>
      </c>
      <c r="Q1167" s="116">
        <v>12764.25</v>
      </c>
      <c r="R1167">
        <v>70472</v>
      </c>
    </row>
    <row r="1168" spans="1:18" x14ac:dyDescent="0.25">
      <c r="A1168" s="170">
        <v>43726</v>
      </c>
      <c r="B1168" s="116">
        <v>644.77250000000004</v>
      </c>
      <c r="C1168" s="116">
        <v>643.51750000000004</v>
      </c>
      <c r="D1168" s="116">
        <v>632.5</v>
      </c>
      <c r="E1168" s="116">
        <v>639.27499999999998</v>
      </c>
      <c r="F1168" s="116">
        <v>12870.35</v>
      </c>
      <c r="G1168">
        <v>1157</v>
      </c>
      <c r="H1168" s="116"/>
      <c r="I1168" s="116"/>
      <c r="L1168" s="170">
        <v>43726</v>
      </c>
      <c r="M1168" s="116">
        <v>643.45000000000005</v>
      </c>
      <c r="N1168" s="116">
        <v>644.49749999999995</v>
      </c>
      <c r="O1168" s="116">
        <v>632.5</v>
      </c>
      <c r="P1168" s="116">
        <v>642.20000000000005</v>
      </c>
      <c r="Q1168" s="116">
        <v>12869</v>
      </c>
      <c r="R1168">
        <v>44518</v>
      </c>
    </row>
    <row r="1169" spans="1:18" x14ac:dyDescent="0.25">
      <c r="A1169" s="170">
        <v>43727</v>
      </c>
      <c r="B1169" s="116">
        <v>644.4</v>
      </c>
      <c r="C1169" s="116">
        <v>634.97249999999997</v>
      </c>
      <c r="D1169" s="116">
        <v>631.73749999999995</v>
      </c>
      <c r="E1169" s="116">
        <v>641.1</v>
      </c>
      <c r="F1169" s="116">
        <v>12699.45</v>
      </c>
      <c r="G1169">
        <v>1776</v>
      </c>
      <c r="H1169" s="116"/>
      <c r="I1169" s="116"/>
      <c r="L1169" s="170">
        <v>43727</v>
      </c>
      <c r="M1169" s="116">
        <v>634.745</v>
      </c>
      <c r="N1169" s="116">
        <v>644.4</v>
      </c>
      <c r="O1169" s="116">
        <v>631.75</v>
      </c>
      <c r="P1169" s="116">
        <v>637.00250000000005</v>
      </c>
      <c r="Q1169" s="116">
        <v>12694.9</v>
      </c>
      <c r="R1169">
        <v>77719</v>
      </c>
    </row>
    <row r="1170" spans="1:18" x14ac:dyDescent="0.25">
      <c r="A1170" s="170">
        <v>43728</v>
      </c>
      <c r="B1170" s="116">
        <v>681</v>
      </c>
      <c r="C1170" s="116">
        <v>675.11749999999995</v>
      </c>
      <c r="D1170" s="116">
        <v>627.07249999999999</v>
      </c>
      <c r="E1170" s="116">
        <v>634.69500000000005</v>
      </c>
      <c r="F1170" s="116">
        <v>13502.35</v>
      </c>
      <c r="G1170">
        <v>11183</v>
      </c>
      <c r="H1170" s="116"/>
      <c r="I1170" s="116"/>
      <c r="L1170" s="170">
        <v>43728</v>
      </c>
      <c r="M1170" s="116">
        <v>674.97</v>
      </c>
      <c r="N1170" s="116">
        <v>681.47249999999997</v>
      </c>
      <c r="O1170" s="116">
        <v>626.54999999999995</v>
      </c>
      <c r="P1170" s="116">
        <v>637.25</v>
      </c>
      <c r="Q1170" s="116">
        <v>13499.4</v>
      </c>
      <c r="R1170">
        <v>284070</v>
      </c>
    </row>
    <row r="1171" spans="1:18" x14ac:dyDescent="0.25">
      <c r="A1171" s="170">
        <v>43731</v>
      </c>
      <c r="B1171" s="116">
        <v>715</v>
      </c>
      <c r="C1171" s="116">
        <v>683.49249999999995</v>
      </c>
      <c r="D1171" s="116">
        <v>670</v>
      </c>
      <c r="E1171" s="116">
        <v>676.6</v>
      </c>
      <c r="F1171" s="116">
        <v>13669.85</v>
      </c>
      <c r="G1171">
        <v>8594</v>
      </c>
      <c r="H1171" s="116"/>
      <c r="I1171" s="116"/>
      <c r="L1171" s="170">
        <v>43731</v>
      </c>
      <c r="M1171" s="116">
        <v>685.66</v>
      </c>
      <c r="N1171" s="116">
        <v>705.86</v>
      </c>
      <c r="O1171" s="116">
        <v>680.09249999999997</v>
      </c>
      <c r="P1171" s="116">
        <v>685</v>
      </c>
      <c r="Q1171" s="116">
        <v>13713.2</v>
      </c>
      <c r="R1171">
        <v>138605</v>
      </c>
    </row>
    <row r="1172" spans="1:18" x14ac:dyDescent="0.25">
      <c r="A1172" s="170">
        <v>43732</v>
      </c>
      <c r="B1172" s="116">
        <v>685.5</v>
      </c>
      <c r="C1172" s="116">
        <v>671.53750000000002</v>
      </c>
      <c r="D1172" s="116">
        <v>666.25</v>
      </c>
      <c r="E1172" s="116">
        <v>685.5</v>
      </c>
      <c r="F1172" s="116">
        <v>13430.75</v>
      </c>
      <c r="G1172">
        <v>2684</v>
      </c>
      <c r="H1172" s="116"/>
      <c r="I1172" s="116"/>
      <c r="L1172" s="170">
        <v>43732</v>
      </c>
      <c r="M1172" s="116">
        <v>671.53499999999997</v>
      </c>
      <c r="N1172" s="116">
        <v>690</v>
      </c>
      <c r="O1172" s="116">
        <v>665.50750000000005</v>
      </c>
      <c r="P1172" s="116">
        <v>686</v>
      </c>
      <c r="Q1172" s="116">
        <v>13430.7</v>
      </c>
      <c r="R1172">
        <v>116332</v>
      </c>
    </row>
    <row r="1173" spans="1:18" x14ac:dyDescent="0.25">
      <c r="A1173" s="170">
        <v>43733</v>
      </c>
      <c r="B1173" s="116">
        <v>675.19749999999999</v>
      </c>
      <c r="C1173" s="116">
        <v>673.17250000000001</v>
      </c>
      <c r="D1173" s="116">
        <v>665.75250000000005</v>
      </c>
      <c r="E1173" s="116">
        <v>671.5</v>
      </c>
      <c r="F1173" s="116">
        <v>13463.45</v>
      </c>
      <c r="G1173">
        <v>1765</v>
      </c>
      <c r="H1173" s="116"/>
      <c r="I1173" s="116"/>
      <c r="L1173" s="170">
        <v>43733</v>
      </c>
      <c r="M1173" s="116">
        <v>672.92499999999995</v>
      </c>
      <c r="N1173" s="116">
        <v>678.65</v>
      </c>
      <c r="O1173" s="116">
        <v>665.255</v>
      </c>
      <c r="P1173" s="116">
        <v>671.2</v>
      </c>
      <c r="Q1173" s="116">
        <v>13458.5</v>
      </c>
      <c r="R1173">
        <v>83246</v>
      </c>
    </row>
    <row r="1174" spans="1:18" x14ac:dyDescent="0.25">
      <c r="A1174" s="170">
        <v>43734</v>
      </c>
      <c r="B1174" s="116">
        <v>706.41250000000002</v>
      </c>
      <c r="C1174" s="116">
        <v>697.255</v>
      </c>
      <c r="D1174" s="116">
        <v>677.5</v>
      </c>
      <c r="E1174" s="116">
        <v>678.15</v>
      </c>
      <c r="F1174" s="116">
        <v>13945.1</v>
      </c>
      <c r="G1174">
        <v>7359</v>
      </c>
      <c r="H1174" s="116"/>
      <c r="I1174" s="116"/>
      <c r="L1174" s="170">
        <v>43734</v>
      </c>
      <c r="M1174" s="116">
        <v>696.73</v>
      </c>
      <c r="N1174" s="116">
        <v>707.2</v>
      </c>
      <c r="O1174" s="116">
        <v>676.25250000000005</v>
      </c>
      <c r="P1174" s="116">
        <v>677.25</v>
      </c>
      <c r="Q1174" s="116">
        <v>13934.6</v>
      </c>
      <c r="R1174">
        <v>897253</v>
      </c>
    </row>
    <row r="1175" spans="1:18" x14ac:dyDescent="0.25">
      <c r="A1175" s="170">
        <v>43735</v>
      </c>
      <c r="B1175" s="116">
        <v>694.88499999999999</v>
      </c>
      <c r="C1175" s="116">
        <v>687.09249999999997</v>
      </c>
      <c r="D1175" s="116">
        <v>680</v>
      </c>
      <c r="E1175" s="116">
        <v>690.00750000000005</v>
      </c>
      <c r="F1175" s="116">
        <v>13741.85</v>
      </c>
      <c r="G1175">
        <v>4695</v>
      </c>
      <c r="H1175" s="116"/>
      <c r="I1175" s="116"/>
      <c r="L1175" s="170">
        <v>43735</v>
      </c>
      <c r="M1175" s="116">
        <v>687.04499999999996</v>
      </c>
      <c r="N1175" s="116">
        <v>694.90750000000003</v>
      </c>
      <c r="O1175" s="116">
        <v>680</v>
      </c>
      <c r="P1175" s="116">
        <v>692</v>
      </c>
      <c r="Q1175" s="116">
        <v>13740.9</v>
      </c>
      <c r="R1175">
        <v>110119</v>
      </c>
    </row>
    <row r="1176" spans="1:18" x14ac:dyDescent="0.25">
      <c r="A1176" s="170">
        <v>43738</v>
      </c>
      <c r="B1176" s="116">
        <v>699.5</v>
      </c>
      <c r="C1176" s="116">
        <v>695.625</v>
      </c>
      <c r="D1176" s="116">
        <v>684.15</v>
      </c>
      <c r="E1176" s="116">
        <v>687.09249999999997</v>
      </c>
      <c r="F1176" s="116">
        <v>13912.5</v>
      </c>
      <c r="G1176">
        <v>1624</v>
      </c>
      <c r="H1176" s="116"/>
      <c r="I1176" s="116"/>
      <c r="L1176" s="170">
        <v>43738</v>
      </c>
      <c r="M1176" s="116">
        <v>694.48249999999996</v>
      </c>
      <c r="N1176" s="116">
        <v>699.6</v>
      </c>
      <c r="O1176" s="116">
        <v>684</v>
      </c>
      <c r="P1176" s="116">
        <v>687.005</v>
      </c>
      <c r="Q1176" s="116">
        <v>13889.65</v>
      </c>
      <c r="R1176">
        <v>96499</v>
      </c>
    </row>
    <row r="1177" spans="1:18" x14ac:dyDescent="0.25">
      <c r="A1177" s="170">
        <v>43739</v>
      </c>
      <c r="B1177" s="116">
        <v>696.94749999999999</v>
      </c>
      <c r="C1177" s="116">
        <v>683.87750000000005</v>
      </c>
      <c r="D1177" s="116">
        <v>681.48500000000001</v>
      </c>
      <c r="E1177" s="116">
        <v>696.94749999999999</v>
      </c>
      <c r="F1177" s="116">
        <v>13677.55</v>
      </c>
      <c r="G1177">
        <v>2278</v>
      </c>
      <c r="H1177" s="116"/>
      <c r="I1177" s="116"/>
      <c r="L1177" s="170">
        <v>43739</v>
      </c>
      <c r="M1177" s="116">
        <v>684.07749999999999</v>
      </c>
      <c r="N1177" s="116">
        <v>697.34749999999997</v>
      </c>
      <c r="O1177" s="116">
        <v>682.495</v>
      </c>
      <c r="P1177" s="116">
        <v>694.45</v>
      </c>
      <c r="Q1177" s="116">
        <v>13681.55</v>
      </c>
      <c r="R1177">
        <v>83545</v>
      </c>
    </row>
    <row r="1178" spans="1:18" x14ac:dyDescent="0.25">
      <c r="A1178" s="170">
        <v>43741</v>
      </c>
      <c r="B1178" s="116">
        <v>686.98249999999996</v>
      </c>
      <c r="C1178" s="116">
        <v>685.54499999999996</v>
      </c>
      <c r="D1178" s="116">
        <v>678.95</v>
      </c>
      <c r="E1178" s="116">
        <v>684.95</v>
      </c>
      <c r="F1178" s="116">
        <v>13710.9</v>
      </c>
      <c r="G1178">
        <v>1047</v>
      </c>
      <c r="H1178" s="116"/>
      <c r="I1178" s="116"/>
      <c r="L1178" s="170">
        <v>43741</v>
      </c>
      <c r="M1178" s="116">
        <v>685.49249999999995</v>
      </c>
      <c r="N1178" s="116">
        <v>687.48</v>
      </c>
      <c r="O1178" s="116">
        <v>678.30250000000001</v>
      </c>
      <c r="P1178" s="116">
        <v>684</v>
      </c>
      <c r="Q1178" s="116">
        <v>13709.85</v>
      </c>
      <c r="R1178">
        <v>40894</v>
      </c>
    </row>
    <row r="1179" spans="1:18" x14ac:dyDescent="0.25">
      <c r="A1179" s="170">
        <v>43742</v>
      </c>
      <c r="B1179" s="116">
        <v>688.93</v>
      </c>
      <c r="C1179" s="116">
        <v>672.77250000000004</v>
      </c>
      <c r="D1179" s="116">
        <v>666.90750000000003</v>
      </c>
      <c r="E1179" s="116">
        <v>685.5</v>
      </c>
      <c r="F1179" s="116">
        <v>13455.45</v>
      </c>
      <c r="G1179">
        <v>2132</v>
      </c>
      <c r="H1179" s="116"/>
      <c r="I1179" s="116"/>
      <c r="L1179" s="170">
        <v>43742</v>
      </c>
      <c r="M1179" s="116">
        <v>672.05</v>
      </c>
      <c r="N1179" s="116">
        <v>689.6</v>
      </c>
      <c r="O1179" s="116">
        <v>666.79499999999996</v>
      </c>
      <c r="P1179" s="116">
        <v>689.6</v>
      </c>
      <c r="Q1179" s="116">
        <v>13441</v>
      </c>
      <c r="R1179">
        <v>91909</v>
      </c>
    </row>
    <row r="1180" spans="1:18" x14ac:dyDescent="0.25">
      <c r="A1180" s="170">
        <v>43745</v>
      </c>
      <c r="B1180" s="116">
        <v>684.54750000000001</v>
      </c>
      <c r="C1180" s="116">
        <v>679.99749999999995</v>
      </c>
      <c r="D1180" s="116">
        <v>673.2</v>
      </c>
      <c r="E1180" s="116">
        <v>676.1</v>
      </c>
      <c r="F1180" s="116">
        <v>13599.95</v>
      </c>
      <c r="G1180">
        <v>2051</v>
      </c>
      <c r="H1180" s="116"/>
      <c r="I1180" s="116"/>
      <c r="L1180" s="170">
        <v>43745</v>
      </c>
      <c r="M1180" s="116">
        <v>680.16750000000002</v>
      </c>
      <c r="N1180" s="116">
        <v>684.9</v>
      </c>
      <c r="O1180" s="116">
        <v>673</v>
      </c>
      <c r="P1180" s="116">
        <v>675.41</v>
      </c>
      <c r="Q1180" s="116">
        <v>13603.35</v>
      </c>
      <c r="R1180">
        <v>42763</v>
      </c>
    </row>
    <row r="1181" spans="1:18" x14ac:dyDescent="0.25">
      <c r="A1181" s="170">
        <v>43747</v>
      </c>
      <c r="B1181" s="116">
        <v>695.42</v>
      </c>
      <c r="C1181" s="116">
        <v>693.77499999999998</v>
      </c>
      <c r="D1181" s="116">
        <v>680</v>
      </c>
      <c r="E1181" s="116">
        <v>682.5</v>
      </c>
      <c r="F1181" s="116">
        <v>13875.5</v>
      </c>
      <c r="G1181">
        <v>2222</v>
      </c>
      <c r="H1181" s="116"/>
      <c r="I1181" s="116"/>
      <c r="L1181" s="170">
        <v>43747</v>
      </c>
      <c r="M1181" s="116">
        <v>692.91499999999996</v>
      </c>
      <c r="N1181" s="116">
        <v>695.5</v>
      </c>
      <c r="O1181" s="116">
        <v>675.50250000000005</v>
      </c>
      <c r="P1181" s="116">
        <v>682.25</v>
      </c>
      <c r="Q1181" s="116">
        <v>13858.3</v>
      </c>
      <c r="R1181">
        <v>93577</v>
      </c>
    </row>
    <row r="1182" spans="1:18" x14ac:dyDescent="0.25">
      <c r="A1182" s="170">
        <v>43748</v>
      </c>
      <c r="B1182" s="116">
        <v>693.3</v>
      </c>
      <c r="C1182" s="116">
        <v>691.99249999999995</v>
      </c>
      <c r="D1182" s="116">
        <v>685</v>
      </c>
      <c r="E1182" s="116">
        <v>690.65750000000003</v>
      </c>
      <c r="F1182" s="116">
        <v>13839.85</v>
      </c>
      <c r="G1182">
        <v>1554</v>
      </c>
      <c r="H1182" s="116"/>
      <c r="I1182" s="116"/>
      <c r="L1182" s="170">
        <v>43748</v>
      </c>
      <c r="M1182" s="116">
        <v>690.99249999999995</v>
      </c>
      <c r="N1182" s="116">
        <v>692.85</v>
      </c>
      <c r="O1182" s="116">
        <v>684</v>
      </c>
      <c r="P1182" s="116">
        <v>692.85</v>
      </c>
      <c r="Q1182" s="116">
        <v>13819.85</v>
      </c>
      <c r="R1182">
        <v>27905</v>
      </c>
    </row>
    <row r="1183" spans="1:18" x14ac:dyDescent="0.25">
      <c r="A1183" s="170">
        <v>43749</v>
      </c>
      <c r="B1183" s="116">
        <v>703</v>
      </c>
      <c r="C1183" s="116">
        <v>701.93</v>
      </c>
      <c r="D1183" s="116">
        <v>692</v>
      </c>
      <c r="E1183" s="116">
        <v>692</v>
      </c>
      <c r="F1183" s="116">
        <v>14038.6</v>
      </c>
      <c r="G1183">
        <v>3041</v>
      </c>
      <c r="H1183" s="116"/>
      <c r="I1183" s="116"/>
      <c r="L1183" s="170">
        <v>43749</v>
      </c>
      <c r="M1183" s="116">
        <v>701.62</v>
      </c>
      <c r="N1183" s="116">
        <v>703.75</v>
      </c>
      <c r="O1183" s="116">
        <v>690.99249999999995</v>
      </c>
      <c r="P1183" s="116">
        <v>690.99249999999995</v>
      </c>
      <c r="Q1183" s="116">
        <v>14032.4</v>
      </c>
      <c r="R1183">
        <v>61075</v>
      </c>
    </row>
    <row r="1184" spans="1:18" x14ac:dyDescent="0.25">
      <c r="A1184" s="170">
        <v>43752</v>
      </c>
      <c r="B1184" s="116">
        <v>710.73749999999995</v>
      </c>
      <c r="C1184" s="116">
        <v>708.70500000000004</v>
      </c>
      <c r="D1184" s="116">
        <v>702</v>
      </c>
      <c r="E1184" s="116">
        <v>705</v>
      </c>
      <c r="F1184" s="116">
        <v>14174.1</v>
      </c>
      <c r="G1184">
        <v>2260</v>
      </c>
      <c r="H1184" s="116"/>
      <c r="I1184" s="116"/>
      <c r="L1184" s="170">
        <v>43752</v>
      </c>
      <c r="M1184" s="116">
        <v>708.45</v>
      </c>
      <c r="N1184" s="116">
        <v>710.75</v>
      </c>
      <c r="O1184" s="116">
        <v>697.5</v>
      </c>
      <c r="P1184" s="116">
        <v>706.75</v>
      </c>
      <c r="Q1184" s="116">
        <v>14169</v>
      </c>
      <c r="R1184">
        <v>70672</v>
      </c>
    </row>
    <row r="1185" spans="1:18" x14ac:dyDescent="0.25">
      <c r="A1185" s="170">
        <v>43753</v>
      </c>
      <c r="B1185" s="116">
        <v>709.9</v>
      </c>
      <c r="C1185" s="116">
        <v>704.03250000000003</v>
      </c>
      <c r="D1185" s="116">
        <v>685.58</v>
      </c>
      <c r="E1185" s="116">
        <v>708.75</v>
      </c>
      <c r="F1185" s="116">
        <v>14080.65</v>
      </c>
      <c r="G1185">
        <v>4001</v>
      </c>
      <c r="H1185" s="116"/>
      <c r="I1185" s="116"/>
      <c r="L1185" s="170">
        <v>43753</v>
      </c>
      <c r="M1185" s="116">
        <v>704.34</v>
      </c>
      <c r="N1185" s="116">
        <v>710.25</v>
      </c>
      <c r="O1185" s="116">
        <v>701.79750000000001</v>
      </c>
      <c r="P1185" s="116">
        <v>707.60500000000002</v>
      </c>
      <c r="Q1185" s="116">
        <v>14086.8</v>
      </c>
      <c r="R1185">
        <v>97808</v>
      </c>
    </row>
    <row r="1186" spans="1:18" x14ac:dyDescent="0.25">
      <c r="A1186" s="170">
        <v>43754</v>
      </c>
      <c r="B1186" s="116">
        <v>720.5</v>
      </c>
      <c r="C1186" s="116">
        <v>717.43</v>
      </c>
      <c r="D1186" s="116">
        <v>704.4</v>
      </c>
      <c r="E1186" s="116">
        <v>704.4</v>
      </c>
      <c r="F1186" s="116">
        <v>14348.6</v>
      </c>
      <c r="G1186">
        <v>2281</v>
      </c>
      <c r="H1186" s="116"/>
      <c r="I1186" s="116"/>
      <c r="L1186" s="170">
        <v>43754</v>
      </c>
      <c r="M1186" s="116">
        <v>717.57500000000005</v>
      </c>
      <c r="N1186" s="116">
        <v>720.17750000000001</v>
      </c>
      <c r="O1186" s="116">
        <v>704</v>
      </c>
      <c r="P1186" s="116">
        <v>704.995</v>
      </c>
      <c r="Q1186" s="116">
        <v>14351.5</v>
      </c>
      <c r="R1186">
        <v>67279</v>
      </c>
    </row>
    <row r="1187" spans="1:18" x14ac:dyDescent="0.25">
      <c r="A1187" s="170">
        <v>43755</v>
      </c>
      <c r="B1187" s="116">
        <v>730.33</v>
      </c>
      <c r="C1187" s="116">
        <v>725.63750000000005</v>
      </c>
      <c r="D1187" s="116">
        <v>708.04</v>
      </c>
      <c r="E1187" s="116">
        <v>720.75</v>
      </c>
      <c r="F1187" s="116">
        <v>14512.75</v>
      </c>
      <c r="G1187">
        <v>8340</v>
      </c>
      <c r="H1187" s="116"/>
      <c r="I1187" s="116"/>
      <c r="L1187" s="170">
        <v>43755</v>
      </c>
      <c r="M1187" s="116">
        <v>725.84249999999997</v>
      </c>
      <c r="N1187" s="116">
        <v>731.51750000000004</v>
      </c>
      <c r="O1187" s="116">
        <v>708</v>
      </c>
      <c r="P1187" s="116">
        <v>719.15</v>
      </c>
      <c r="Q1187" s="116">
        <v>14516.85</v>
      </c>
      <c r="R1187">
        <v>114493</v>
      </c>
    </row>
    <row r="1188" spans="1:18" x14ac:dyDescent="0.25">
      <c r="A1188" s="170">
        <v>43756</v>
      </c>
      <c r="B1188" s="116">
        <v>746.08</v>
      </c>
      <c r="C1188" s="116">
        <v>741.91499999999996</v>
      </c>
      <c r="D1188" s="116">
        <v>719.61749999999995</v>
      </c>
      <c r="E1188" s="116">
        <v>725.5</v>
      </c>
      <c r="F1188" s="116">
        <v>14838.3</v>
      </c>
      <c r="G1188">
        <v>3148</v>
      </c>
      <c r="H1188" s="116"/>
      <c r="I1188" s="116"/>
      <c r="L1188" s="170">
        <v>43756</v>
      </c>
      <c r="M1188" s="116">
        <v>741.77250000000004</v>
      </c>
      <c r="N1188" s="116">
        <v>747.16750000000002</v>
      </c>
      <c r="O1188" s="116">
        <v>720.16499999999996</v>
      </c>
      <c r="P1188" s="116">
        <v>725.95500000000004</v>
      </c>
      <c r="Q1188" s="116">
        <v>14835.45</v>
      </c>
      <c r="R1188">
        <v>121565</v>
      </c>
    </row>
    <row r="1189" spans="1:18" x14ac:dyDescent="0.25">
      <c r="A1189" s="170">
        <v>43760</v>
      </c>
      <c r="B1189" s="116">
        <v>755.65</v>
      </c>
      <c r="C1189" s="116">
        <v>751.95500000000004</v>
      </c>
      <c r="D1189" s="116">
        <v>742</v>
      </c>
      <c r="E1189" s="116">
        <v>746.05</v>
      </c>
      <c r="F1189" s="116">
        <v>15039.1</v>
      </c>
      <c r="G1189">
        <v>7240</v>
      </c>
      <c r="H1189" s="116"/>
      <c r="I1189" s="116"/>
      <c r="L1189" s="170">
        <v>43760</v>
      </c>
      <c r="M1189" s="116">
        <v>751</v>
      </c>
      <c r="N1189" s="116">
        <v>755.54750000000001</v>
      </c>
      <c r="O1189" s="116">
        <v>741.8</v>
      </c>
      <c r="P1189" s="116">
        <v>744.4</v>
      </c>
      <c r="Q1189" s="116">
        <v>15020</v>
      </c>
      <c r="R1189">
        <v>138011</v>
      </c>
    </row>
    <row r="1190" spans="1:18" x14ac:dyDescent="0.25">
      <c r="A1190" s="170">
        <v>43761</v>
      </c>
      <c r="B1190" s="116">
        <v>756</v>
      </c>
      <c r="C1190" s="116">
        <v>749.11749999999995</v>
      </c>
      <c r="D1190" s="116">
        <v>746.60749999999996</v>
      </c>
      <c r="E1190" s="116">
        <v>754.95</v>
      </c>
      <c r="F1190" s="116">
        <v>14982.35</v>
      </c>
      <c r="G1190">
        <v>2339</v>
      </c>
      <c r="H1190" s="116"/>
      <c r="I1190" s="116"/>
      <c r="L1190" s="170">
        <v>43761</v>
      </c>
      <c r="M1190" s="116">
        <v>749.15</v>
      </c>
      <c r="N1190" s="116">
        <v>756.29250000000002</v>
      </c>
      <c r="O1190" s="116">
        <v>745.8125</v>
      </c>
      <c r="P1190" s="116">
        <v>754.55</v>
      </c>
      <c r="Q1190" s="116">
        <v>14983</v>
      </c>
      <c r="R1190">
        <v>58986</v>
      </c>
    </row>
    <row r="1191" spans="1:18" x14ac:dyDescent="0.25">
      <c r="A1191" s="170">
        <v>43762</v>
      </c>
      <c r="B1191" s="116">
        <v>751.1</v>
      </c>
      <c r="C1191" s="116">
        <v>733.86</v>
      </c>
      <c r="D1191" s="116">
        <v>731.3</v>
      </c>
      <c r="E1191" s="116">
        <v>751.1</v>
      </c>
      <c r="F1191" s="116">
        <v>14677.2</v>
      </c>
      <c r="G1191">
        <v>2253</v>
      </c>
      <c r="H1191" s="116"/>
      <c r="I1191" s="116"/>
      <c r="L1191" s="170">
        <v>43762</v>
      </c>
      <c r="M1191" s="116">
        <v>733.3</v>
      </c>
      <c r="N1191" s="116">
        <v>752.4</v>
      </c>
      <c r="O1191" s="116">
        <v>731.29250000000002</v>
      </c>
      <c r="P1191" s="116">
        <v>750.95</v>
      </c>
      <c r="Q1191" s="116">
        <v>14666</v>
      </c>
      <c r="R1191">
        <v>114813</v>
      </c>
    </row>
    <row r="1192" spans="1:18" x14ac:dyDescent="0.25">
      <c r="A1192" s="170">
        <v>43763</v>
      </c>
      <c r="B1192" s="116">
        <v>744.89750000000004</v>
      </c>
      <c r="C1192" s="116">
        <v>739.74249999999995</v>
      </c>
      <c r="D1192" s="116">
        <v>723.6</v>
      </c>
      <c r="E1192" s="116">
        <v>737.3</v>
      </c>
      <c r="F1192" s="116">
        <v>14794.85</v>
      </c>
      <c r="G1192">
        <v>5325</v>
      </c>
      <c r="H1192" s="116"/>
      <c r="I1192" s="116"/>
      <c r="L1192" s="170">
        <v>43763</v>
      </c>
      <c r="M1192" s="116">
        <v>740.16750000000002</v>
      </c>
      <c r="N1192" s="116">
        <v>745</v>
      </c>
      <c r="O1192" s="116">
        <v>723.0675</v>
      </c>
      <c r="P1192" s="116">
        <v>738.95</v>
      </c>
      <c r="Q1192" s="116">
        <v>14803.35</v>
      </c>
      <c r="R1192">
        <v>131479</v>
      </c>
    </row>
    <row r="1193" spans="1:18" x14ac:dyDescent="0.25">
      <c r="A1193" s="170">
        <v>43765</v>
      </c>
      <c r="B1193" s="116">
        <v>746.5</v>
      </c>
      <c r="C1193" s="116">
        <v>740.41499999999996</v>
      </c>
      <c r="D1193" s="116">
        <v>738.94749999999999</v>
      </c>
      <c r="E1193" s="116">
        <v>743.74749999999995</v>
      </c>
      <c r="F1193" s="116">
        <v>14808.3</v>
      </c>
      <c r="G1193">
        <v>813</v>
      </c>
      <c r="H1193" s="116"/>
      <c r="I1193" s="116"/>
      <c r="L1193" s="170">
        <v>43765</v>
      </c>
      <c r="M1193" s="116">
        <v>740.67</v>
      </c>
      <c r="N1193" s="116">
        <v>747.47500000000002</v>
      </c>
      <c r="O1193" s="116">
        <v>738.91499999999996</v>
      </c>
      <c r="P1193" s="116">
        <v>746.75</v>
      </c>
      <c r="Q1193" s="116">
        <v>14813.4</v>
      </c>
      <c r="R1193">
        <v>11278</v>
      </c>
    </row>
    <row r="1194" spans="1:18" x14ac:dyDescent="0.25">
      <c r="A1194" s="170">
        <v>43767</v>
      </c>
      <c r="B1194" s="116">
        <v>745.55</v>
      </c>
      <c r="C1194" s="116">
        <v>733.76</v>
      </c>
      <c r="D1194" s="116">
        <v>725.46</v>
      </c>
      <c r="E1194" s="116">
        <v>745.55</v>
      </c>
      <c r="F1194" s="116">
        <v>14675.2</v>
      </c>
      <c r="G1194">
        <v>7471</v>
      </c>
      <c r="H1194" s="116"/>
      <c r="I1194" s="116"/>
      <c r="L1194" s="170">
        <v>43767</v>
      </c>
      <c r="M1194" s="116">
        <v>734.98749999999995</v>
      </c>
      <c r="N1194" s="116">
        <v>743.4</v>
      </c>
      <c r="O1194" s="116">
        <v>725.5</v>
      </c>
      <c r="P1194" s="116">
        <v>743.4</v>
      </c>
      <c r="Q1194" s="116">
        <v>14699.75</v>
      </c>
      <c r="R1194">
        <v>99038</v>
      </c>
    </row>
    <row r="1195" spans="1:18" x14ac:dyDescent="0.25">
      <c r="A1195" s="170">
        <v>43768</v>
      </c>
      <c r="B1195" s="116">
        <v>749.95</v>
      </c>
      <c r="C1195" s="116">
        <v>747.93</v>
      </c>
      <c r="D1195" s="116">
        <v>738.25</v>
      </c>
      <c r="E1195" s="116">
        <v>738.25</v>
      </c>
      <c r="F1195" s="116">
        <v>14958.6</v>
      </c>
      <c r="G1195">
        <v>2084</v>
      </c>
      <c r="H1195" s="116"/>
      <c r="I1195" s="116"/>
      <c r="L1195" s="170">
        <v>43768</v>
      </c>
      <c r="M1195" s="116">
        <v>748.39</v>
      </c>
      <c r="N1195" s="116">
        <v>749.94500000000005</v>
      </c>
      <c r="O1195" s="116">
        <v>737.51499999999999</v>
      </c>
      <c r="P1195" s="116">
        <v>744.35</v>
      </c>
      <c r="Q1195" s="116">
        <v>14967.8</v>
      </c>
      <c r="R1195">
        <v>58061</v>
      </c>
    </row>
    <row r="1196" spans="1:18" x14ac:dyDescent="0.25">
      <c r="A1196" s="170">
        <v>43769</v>
      </c>
      <c r="B1196" s="116">
        <v>757.5</v>
      </c>
      <c r="C1196" s="116">
        <v>748.07</v>
      </c>
      <c r="D1196" s="116">
        <v>739.90499999999997</v>
      </c>
      <c r="E1196" s="116">
        <v>751.75</v>
      </c>
      <c r="F1196" s="116">
        <v>14961.4</v>
      </c>
      <c r="G1196">
        <v>2179</v>
      </c>
      <c r="H1196" s="116"/>
      <c r="I1196" s="116"/>
      <c r="L1196" s="170">
        <v>43769</v>
      </c>
      <c r="M1196" s="116">
        <v>747.35</v>
      </c>
      <c r="N1196" s="116">
        <v>757.34500000000003</v>
      </c>
      <c r="O1196" s="116">
        <v>739.1925</v>
      </c>
      <c r="P1196" s="116">
        <v>748.50250000000005</v>
      </c>
      <c r="Q1196" s="116">
        <v>14947</v>
      </c>
      <c r="R1196">
        <v>80261</v>
      </c>
    </row>
    <row r="1197" spans="1:18" x14ac:dyDescent="0.25">
      <c r="A1197" s="170">
        <v>43770</v>
      </c>
      <c r="B1197" s="116">
        <v>753.4425</v>
      </c>
      <c r="C1197" s="116">
        <v>748.21500000000003</v>
      </c>
      <c r="D1197" s="116">
        <v>744.59749999999997</v>
      </c>
      <c r="E1197" s="116">
        <v>748.25</v>
      </c>
      <c r="F1197" s="116">
        <v>14964.3</v>
      </c>
      <c r="G1197">
        <v>814</v>
      </c>
      <c r="H1197" s="116"/>
      <c r="I1197" s="116"/>
      <c r="L1197" s="170">
        <v>43770</v>
      </c>
      <c r="M1197" s="116">
        <v>747.99</v>
      </c>
      <c r="N1197" s="116">
        <v>753.48</v>
      </c>
      <c r="O1197" s="116">
        <v>742.51499999999999</v>
      </c>
      <c r="P1197" s="116">
        <v>747.35</v>
      </c>
      <c r="Q1197" s="116">
        <v>14959.8</v>
      </c>
      <c r="R1197">
        <v>49392</v>
      </c>
    </row>
    <row r="1198" spans="1:18" x14ac:dyDescent="0.25">
      <c r="A1198" s="170">
        <v>43773</v>
      </c>
      <c r="B1198" s="116">
        <v>753.9</v>
      </c>
      <c r="C1198" s="116">
        <v>740.85249999999996</v>
      </c>
      <c r="D1198" s="116">
        <v>740</v>
      </c>
      <c r="E1198" s="116">
        <v>751.1</v>
      </c>
      <c r="F1198" s="116">
        <v>14817.05</v>
      </c>
      <c r="G1198">
        <v>805</v>
      </c>
      <c r="H1198" s="116"/>
      <c r="I1198" s="116"/>
      <c r="L1198" s="170">
        <v>43773</v>
      </c>
      <c r="M1198" s="116">
        <v>740.66750000000002</v>
      </c>
      <c r="N1198" s="116">
        <v>754.58500000000004</v>
      </c>
      <c r="O1198" s="116">
        <v>740.05499999999995</v>
      </c>
      <c r="P1198" s="116">
        <v>749.42</v>
      </c>
      <c r="Q1198" s="116">
        <v>14813.35</v>
      </c>
      <c r="R1198">
        <v>39581</v>
      </c>
    </row>
    <row r="1199" spans="1:18" x14ac:dyDescent="0.25">
      <c r="A1199" s="170">
        <v>43774</v>
      </c>
      <c r="B1199" s="116">
        <v>742.96749999999997</v>
      </c>
      <c r="C1199" s="116">
        <v>732.51750000000004</v>
      </c>
      <c r="D1199" s="116">
        <v>730.3</v>
      </c>
      <c r="E1199" s="116">
        <v>741.77499999999998</v>
      </c>
      <c r="F1199" s="116">
        <v>14650.35</v>
      </c>
      <c r="G1199">
        <v>1745</v>
      </c>
      <c r="H1199" s="116"/>
      <c r="I1199" s="116"/>
      <c r="L1199" s="170">
        <v>43774</v>
      </c>
      <c r="M1199" s="116">
        <v>732.51</v>
      </c>
      <c r="N1199" s="116">
        <v>744.25</v>
      </c>
      <c r="O1199" s="116">
        <v>730.27</v>
      </c>
      <c r="P1199" s="116">
        <v>742</v>
      </c>
      <c r="Q1199" s="116">
        <v>14650.2</v>
      </c>
      <c r="R1199">
        <v>83265</v>
      </c>
    </row>
    <row r="1200" spans="1:18" x14ac:dyDescent="0.25">
      <c r="A1200" s="170">
        <v>43775</v>
      </c>
      <c r="B1200" s="116">
        <v>740.54</v>
      </c>
      <c r="C1200" s="116">
        <v>732.58500000000004</v>
      </c>
      <c r="D1200" s="116">
        <v>729.75</v>
      </c>
      <c r="E1200" s="116">
        <v>734</v>
      </c>
      <c r="F1200" s="116">
        <v>14651.7</v>
      </c>
      <c r="G1200">
        <v>2279</v>
      </c>
      <c r="H1200" s="116"/>
      <c r="I1200" s="116"/>
      <c r="L1200" s="170">
        <v>43775</v>
      </c>
      <c r="M1200" s="116">
        <v>732.48249999999996</v>
      </c>
      <c r="N1200" s="116">
        <v>741.05</v>
      </c>
      <c r="O1200" s="116">
        <v>729.4325</v>
      </c>
      <c r="P1200" s="116">
        <v>733.75</v>
      </c>
      <c r="Q1200" s="116">
        <v>14649.65</v>
      </c>
      <c r="R1200">
        <v>78659</v>
      </c>
    </row>
    <row r="1201" spans="1:18" x14ac:dyDescent="0.25">
      <c r="A1201" s="170">
        <v>43776</v>
      </c>
      <c r="B1201" s="116">
        <v>739.2</v>
      </c>
      <c r="C1201" s="116">
        <v>735.98</v>
      </c>
      <c r="D1201" s="116">
        <v>727.9</v>
      </c>
      <c r="E1201" s="116">
        <v>734.41</v>
      </c>
      <c r="F1201" s="116">
        <v>14719.6</v>
      </c>
      <c r="G1201">
        <v>3754</v>
      </c>
      <c r="H1201" s="116"/>
      <c r="I1201" s="116"/>
      <c r="L1201" s="170">
        <v>43776</v>
      </c>
      <c r="M1201" s="116">
        <v>735.5625</v>
      </c>
      <c r="N1201" s="116">
        <v>739.50250000000005</v>
      </c>
      <c r="O1201" s="116">
        <v>727.55</v>
      </c>
      <c r="P1201" s="116">
        <v>735.5</v>
      </c>
      <c r="Q1201" s="116">
        <v>14711.25</v>
      </c>
      <c r="R1201">
        <v>47438</v>
      </c>
    </row>
    <row r="1202" spans="1:18" x14ac:dyDescent="0.25">
      <c r="A1202" s="170">
        <v>43777</v>
      </c>
      <c r="B1202" s="116">
        <v>741.95</v>
      </c>
      <c r="C1202" s="116">
        <v>723.73249999999996</v>
      </c>
      <c r="D1202" s="116">
        <v>719.95249999999999</v>
      </c>
      <c r="E1202" s="116">
        <v>735.7</v>
      </c>
      <c r="F1202" s="116">
        <v>14474.65</v>
      </c>
      <c r="G1202">
        <v>2747</v>
      </c>
      <c r="H1202" s="116"/>
      <c r="I1202" s="116"/>
      <c r="L1202" s="170">
        <v>43777</v>
      </c>
      <c r="M1202" s="116">
        <v>723.56500000000005</v>
      </c>
      <c r="N1202" s="116">
        <v>742.5</v>
      </c>
      <c r="O1202" s="116">
        <v>718.7</v>
      </c>
      <c r="P1202" s="116">
        <v>737.5</v>
      </c>
      <c r="Q1202" s="116">
        <v>14471.3</v>
      </c>
      <c r="R1202">
        <v>82029</v>
      </c>
    </row>
    <row r="1203" spans="1:18" x14ac:dyDescent="0.25">
      <c r="A1203" s="170">
        <v>43780</v>
      </c>
      <c r="B1203" s="116">
        <v>728.96</v>
      </c>
      <c r="C1203" s="116">
        <v>705.375</v>
      </c>
      <c r="D1203" s="116">
        <v>702.5</v>
      </c>
      <c r="E1203" s="116">
        <v>725</v>
      </c>
      <c r="F1203" s="116">
        <v>14107.5</v>
      </c>
      <c r="G1203">
        <v>3808</v>
      </c>
      <c r="H1203" s="116"/>
      <c r="I1203" s="116"/>
      <c r="L1203" s="170">
        <v>43780</v>
      </c>
      <c r="M1203" s="116">
        <v>705.42250000000001</v>
      </c>
      <c r="N1203" s="116">
        <v>729.995</v>
      </c>
      <c r="O1203" s="116">
        <v>702.55499999999995</v>
      </c>
      <c r="P1203" s="116">
        <v>724.5</v>
      </c>
      <c r="Q1203" s="116">
        <v>14108.45</v>
      </c>
      <c r="R1203">
        <v>145341</v>
      </c>
    </row>
    <row r="1204" spans="1:18" x14ac:dyDescent="0.25">
      <c r="A1204" s="170">
        <v>43782</v>
      </c>
      <c r="B1204" s="116">
        <v>716.43499999999995</v>
      </c>
      <c r="C1204" s="116">
        <v>711.73749999999995</v>
      </c>
      <c r="D1204" s="116">
        <v>703.19</v>
      </c>
      <c r="E1204" s="116">
        <v>706.4</v>
      </c>
      <c r="F1204" s="116">
        <v>14234.75</v>
      </c>
      <c r="G1204">
        <v>2811</v>
      </c>
      <c r="H1204" s="116"/>
      <c r="I1204" s="116"/>
      <c r="L1204" s="170">
        <v>43782</v>
      </c>
      <c r="M1204" s="116">
        <v>711.66250000000002</v>
      </c>
      <c r="N1204" s="116">
        <v>716.48</v>
      </c>
      <c r="O1204" s="116">
        <v>703.51250000000005</v>
      </c>
      <c r="P1204" s="116">
        <v>705.42250000000001</v>
      </c>
      <c r="Q1204" s="116">
        <v>14233.25</v>
      </c>
      <c r="R1204">
        <v>66651</v>
      </c>
    </row>
    <row r="1205" spans="1:18" x14ac:dyDescent="0.25">
      <c r="A1205" s="170">
        <v>43783</v>
      </c>
      <c r="B1205" s="116">
        <v>714.02750000000003</v>
      </c>
      <c r="C1205" s="116">
        <v>711.87</v>
      </c>
      <c r="D1205" s="116">
        <v>705.06500000000005</v>
      </c>
      <c r="E1205" s="116">
        <v>713.09249999999997</v>
      </c>
      <c r="F1205" s="116">
        <v>14237.4</v>
      </c>
      <c r="G1205">
        <v>1271</v>
      </c>
      <c r="H1205" s="116"/>
      <c r="I1205" s="116"/>
      <c r="L1205" s="170">
        <v>43783</v>
      </c>
      <c r="M1205" s="116">
        <v>711.5675</v>
      </c>
      <c r="N1205" s="116">
        <v>715.04750000000001</v>
      </c>
      <c r="O1205" s="116">
        <v>705</v>
      </c>
      <c r="P1205" s="116">
        <v>712.5</v>
      </c>
      <c r="Q1205" s="116">
        <v>14231.35</v>
      </c>
      <c r="R1205">
        <v>60476</v>
      </c>
    </row>
    <row r="1206" spans="1:18" x14ac:dyDescent="0.25">
      <c r="A1206" s="170">
        <v>43784</v>
      </c>
      <c r="B1206" s="116">
        <v>721.73500000000001</v>
      </c>
      <c r="C1206" s="116">
        <v>714.86</v>
      </c>
      <c r="D1206" s="116">
        <v>708.3075</v>
      </c>
      <c r="E1206" s="116">
        <v>710.05250000000001</v>
      </c>
      <c r="F1206" s="116">
        <v>14297.2</v>
      </c>
      <c r="G1206">
        <v>4022</v>
      </c>
      <c r="H1206" s="116"/>
      <c r="I1206" s="116"/>
      <c r="L1206" s="170">
        <v>43784</v>
      </c>
      <c r="M1206" s="116">
        <v>714.77750000000003</v>
      </c>
      <c r="N1206" s="116">
        <v>721.85</v>
      </c>
      <c r="O1206" s="116">
        <v>707.65250000000003</v>
      </c>
      <c r="P1206" s="116">
        <v>713.09249999999997</v>
      </c>
      <c r="Q1206" s="116">
        <v>14295.55</v>
      </c>
      <c r="R1206">
        <v>75837</v>
      </c>
    </row>
    <row r="1207" spans="1:18" x14ac:dyDescent="0.25">
      <c r="A1207" s="170">
        <v>43787</v>
      </c>
      <c r="B1207" s="116">
        <v>716.04</v>
      </c>
      <c r="C1207" s="116">
        <v>704.09500000000003</v>
      </c>
      <c r="D1207" s="116">
        <v>702.70249999999999</v>
      </c>
      <c r="E1207" s="116">
        <v>716.04</v>
      </c>
      <c r="F1207" s="116">
        <v>14081.9</v>
      </c>
      <c r="G1207">
        <v>5696</v>
      </c>
      <c r="H1207" s="116"/>
      <c r="I1207" s="116"/>
      <c r="L1207" s="170">
        <v>43787</v>
      </c>
      <c r="M1207" s="116">
        <v>704.27750000000003</v>
      </c>
      <c r="N1207" s="116">
        <v>717.495</v>
      </c>
      <c r="O1207" s="116">
        <v>702.95249999999999</v>
      </c>
      <c r="P1207" s="116">
        <v>717.495</v>
      </c>
      <c r="Q1207" s="116">
        <v>14085.55</v>
      </c>
      <c r="R1207">
        <v>64978</v>
      </c>
    </row>
    <row r="1208" spans="1:18" x14ac:dyDescent="0.25">
      <c r="A1208" s="170">
        <v>43788</v>
      </c>
      <c r="B1208" s="116">
        <v>709.93499999999995</v>
      </c>
      <c r="C1208" s="116">
        <v>705.36249999999995</v>
      </c>
      <c r="D1208" s="116">
        <v>701.08</v>
      </c>
      <c r="E1208" s="116">
        <v>707.75</v>
      </c>
      <c r="F1208" s="116">
        <v>14107.25</v>
      </c>
      <c r="G1208">
        <v>1138</v>
      </c>
      <c r="H1208" s="116"/>
      <c r="I1208" s="116"/>
      <c r="L1208" s="170">
        <v>43788</v>
      </c>
      <c r="M1208" s="116">
        <v>705.85500000000002</v>
      </c>
      <c r="N1208" s="116">
        <v>710.59500000000003</v>
      </c>
      <c r="O1208" s="116">
        <v>700.48</v>
      </c>
      <c r="P1208" s="116">
        <v>705.5</v>
      </c>
      <c r="Q1208" s="116">
        <v>14117.1</v>
      </c>
      <c r="R1208">
        <v>44787</v>
      </c>
    </row>
    <row r="1209" spans="1:18" x14ac:dyDescent="0.25">
      <c r="A1209" s="170">
        <v>43789</v>
      </c>
      <c r="B1209" s="116">
        <v>714.39499999999998</v>
      </c>
      <c r="C1209" s="116">
        <v>711.33749999999998</v>
      </c>
      <c r="D1209" s="116">
        <v>699.5</v>
      </c>
      <c r="E1209" s="116">
        <v>705.55</v>
      </c>
      <c r="F1209" s="116">
        <v>14226.75</v>
      </c>
      <c r="G1209">
        <v>5108</v>
      </c>
      <c r="H1209" s="116"/>
      <c r="I1209" s="116"/>
      <c r="L1209" s="170">
        <v>43789</v>
      </c>
      <c r="M1209" s="116">
        <v>711.4325</v>
      </c>
      <c r="N1209" s="116">
        <v>714.45</v>
      </c>
      <c r="O1209" s="116">
        <v>699.125</v>
      </c>
      <c r="P1209" s="116">
        <v>705.85</v>
      </c>
      <c r="Q1209" s="116">
        <v>14228.65</v>
      </c>
      <c r="R1209">
        <v>79418</v>
      </c>
    </row>
    <row r="1210" spans="1:18" x14ac:dyDescent="0.25">
      <c r="A1210" s="170">
        <v>43790</v>
      </c>
      <c r="B1210" s="116">
        <v>713.56</v>
      </c>
      <c r="C1210" s="116">
        <v>708.38</v>
      </c>
      <c r="D1210" s="116">
        <v>706.45249999999999</v>
      </c>
      <c r="E1210" s="116">
        <v>711.5</v>
      </c>
      <c r="F1210" s="116">
        <v>14167.6</v>
      </c>
      <c r="G1210">
        <v>1252</v>
      </c>
      <c r="H1210" s="116"/>
      <c r="I1210" s="116"/>
      <c r="L1210" s="170">
        <v>43790</v>
      </c>
      <c r="M1210" s="116">
        <v>708.97249999999997</v>
      </c>
      <c r="N1210" s="116">
        <v>714.00750000000005</v>
      </c>
      <c r="O1210" s="116">
        <v>706.05499999999995</v>
      </c>
      <c r="P1210" s="116">
        <v>712</v>
      </c>
      <c r="Q1210" s="116">
        <v>14179.45</v>
      </c>
      <c r="R1210">
        <v>40484</v>
      </c>
    </row>
    <row r="1211" spans="1:18" x14ac:dyDescent="0.25">
      <c r="A1211" s="170">
        <v>43791</v>
      </c>
      <c r="B1211" s="116">
        <v>714.57</v>
      </c>
      <c r="C1211" s="116">
        <v>708.53250000000003</v>
      </c>
      <c r="D1211" s="116">
        <v>705.4</v>
      </c>
      <c r="E1211" s="116">
        <v>712.60249999999996</v>
      </c>
      <c r="F1211" s="116">
        <v>14170.65</v>
      </c>
      <c r="G1211">
        <v>803</v>
      </c>
      <c r="H1211" s="116"/>
      <c r="I1211" s="116"/>
      <c r="L1211" s="170">
        <v>43791</v>
      </c>
      <c r="M1211" s="116">
        <v>708.57500000000005</v>
      </c>
      <c r="N1211" s="116">
        <v>715.04750000000001</v>
      </c>
      <c r="O1211" s="116">
        <v>705.1</v>
      </c>
      <c r="P1211" s="116">
        <v>709.5</v>
      </c>
      <c r="Q1211" s="116">
        <v>14171.5</v>
      </c>
      <c r="R1211">
        <v>43132</v>
      </c>
    </row>
    <row r="1212" spans="1:18" x14ac:dyDescent="0.25">
      <c r="A1212" s="170">
        <v>43794</v>
      </c>
      <c r="B1212" s="116">
        <v>725.75</v>
      </c>
      <c r="C1212" s="116">
        <v>724.45749999999998</v>
      </c>
      <c r="D1212" s="116">
        <v>709</v>
      </c>
      <c r="E1212" s="116">
        <v>713.45</v>
      </c>
      <c r="F1212" s="116">
        <v>14489.15</v>
      </c>
      <c r="G1212">
        <v>1364</v>
      </c>
      <c r="H1212" s="116"/>
      <c r="I1212" s="116"/>
      <c r="L1212" s="170">
        <v>43794</v>
      </c>
      <c r="M1212" s="116">
        <v>724.34</v>
      </c>
      <c r="N1212" s="116">
        <v>729</v>
      </c>
      <c r="O1212" s="116">
        <v>707.75</v>
      </c>
      <c r="P1212" s="116">
        <v>712.40750000000003</v>
      </c>
      <c r="Q1212" s="116">
        <v>14486.8</v>
      </c>
      <c r="R1212">
        <v>74577</v>
      </c>
    </row>
    <row r="1213" spans="1:18" x14ac:dyDescent="0.25">
      <c r="A1213" s="170">
        <v>43795</v>
      </c>
      <c r="B1213" s="116">
        <v>729.95</v>
      </c>
      <c r="C1213" s="116">
        <v>726.57749999999999</v>
      </c>
      <c r="D1213" s="116">
        <v>712.04750000000001</v>
      </c>
      <c r="E1213" s="116">
        <v>724.35</v>
      </c>
      <c r="F1213" s="116">
        <v>14531.55</v>
      </c>
      <c r="G1213">
        <v>1772</v>
      </c>
      <c r="H1213" s="116"/>
      <c r="I1213" s="116"/>
      <c r="L1213" s="170">
        <v>43795</v>
      </c>
      <c r="M1213" s="116">
        <v>726.22</v>
      </c>
      <c r="N1213" s="116">
        <v>730</v>
      </c>
      <c r="O1213" s="116">
        <v>711.27250000000004</v>
      </c>
      <c r="P1213" s="116">
        <v>719.9425</v>
      </c>
      <c r="Q1213" s="116">
        <v>14524.4</v>
      </c>
      <c r="R1213">
        <v>199248</v>
      </c>
    </row>
    <row r="1214" spans="1:18" x14ac:dyDescent="0.25">
      <c r="A1214" s="170">
        <v>43796</v>
      </c>
      <c r="B1214" s="116">
        <v>733.45</v>
      </c>
      <c r="C1214" s="116">
        <v>729.28250000000003</v>
      </c>
      <c r="D1214" s="116">
        <v>725.69500000000005</v>
      </c>
      <c r="E1214" s="116">
        <v>727.5</v>
      </c>
      <c r="F1214" s="116">
        <v>14585.65</v>
      </c>
      <c r="G1214">
        <v>1546</v>
      </c>
      <c r="H1214" s="116"/>
      <c r="I1214" s="116"/>
      <c r="L1214" s="170">
        <v>43796</v>
      </c>
      <c r="M1214" s="116">
        <v>728.13499999999999</v>
      </c>
      <c r="N1214" s="116">
        <v>735</v>
      </c>
      <c r="O1214" s="116">
        <v>711.34249999999997</v>
      </c>
      <c r="P1214" s="116">
        <v>728</v>
      </c>
      <c r="Q1214" s="116">
        <v>14562.7</v>
      </c>
      <c r="R1214">
        <v>71919</v>
      </c>
    </row>
    <row r="1215" spans="1:18" x14ac:dyDescent="0.25">
      <c r="A1215" s="170">
        <v>43797</v>
      </c>
      <c r="B1215" s="116">
        <v>735</v>
      </c>
      <c r="C1215" s="116">
        <v>733.15499999999997</v>
      </c>
      <c r="D1215" s="116">
        <v>728.69749999999999</v>
      </c>
      <c r="E1215" s="116">
        <v>730</v>
      </c>
      <c r="F1215" s="116">
        <v>14663.1</v>
      </c>
      <c r="G1215">
        <v>10055</v>
      </c>
      <c r="H1215" s="116"/>
      <c r="I1215" s="116"/>
      <c r="L1215" s="170">
        <v>43797</v>
      </c>
      <c r="M1215" s="116">
        <v>732.97749999999996</v>
      </c>
      <c r="N1215" s="116">
        <v>735</v>
      </c>
      <c r="O1215" s="116">
        <v>728.7</v>
      </c>
      <c r="P1215" s="116">
        <v>731.77499999999998</v>
      </c>
      <c r="Q1215" s="116">
        <v>14659.55</v>
      </c>
      <c r="R1215">
        <v>45678</v>
      </c>
    </row>
    <row r="1216" spans="1:18" x14ac:dyDescent="0.25">
      <c r="A1216" s="170">
        <v>43798</v>
      </c>
      <c r="B1216" s="116">
        <v>734</v>
      </c>
      <c r="C1216" s="116">
        <v>722.79750000000001</v>
      </c>
      <c r="D1216" s="116">
        <v>720.75</v>
      </c>
      <c r="E1216" s="116">
        <v>733</v>
      </c>
      <c r="F1216" s="116">
        <v>14455.95</v>
      </c>
      <c r="G1216">
        <v>10105</v>
      </c>
      <c r="H1216" s="116"/>
      <c r="I1216" s="116"/>
      <c r="L1216" s="170">
        <v>43798</v>
      </c>
      <c r="M1216" s="116">
        <v>722.69749999999999</v>
      </c>
      <c r="N1216" s="116">
        <v>734.95</v>
      </c>
      <c r="O1216" s="116">
        <v>720.55</v>
      </c>
      <c r="P1216" s="116">
        <v>734.95</v>
      </c>
      <c r="Q1216" s="116">
        <v>14453.95</v>
      </c>
      <c r="R1216">
        <v>46873</v>
      </c>
    </row>
    <row r="1217" spans="1:18" x14ac:dyDescent="0.25">
      <c r="A1217" s="170">
        <v>43801</v>
      </c>
      <c r="B1217" s="116">
        <v>731.27</v>
      </c>
      <c r="C1217" s="116">
        <v>727.64499999999998</v>
      </c>
      <c r="D1217" s="116">
        <v>714.95</v>
      </c>
      <c r="E1217" s="116">
        <v>723</v>
      </c>
      <c r="F1217" s="116">
        <v>14552.9</v>
      </c>
      <c r="G1217">
        <v>1495</v>
      </c>
      <c r="H1217" s="116"/>
      <c r="I1217" s="116"/>
      <c r="L1217" s="170">
        <v>43801</v>
      </c>
      <c r="M1217" s="116">
        <v>727.88250000000005</v>
      </c>
      <c r="N1217" s="116">
        <v>731.56500000000005</v>
      </c>
      <c r="O1217" s="116">
        <v>714.29499999999996</v>
      </c>
      <c r="P1217" s="116">
        <v>722.69749999999999</v>
      </c>
      <c r="Q1217" s="116">
        <v>14557.65</v>
      </c>
      <c r="R1217">
        <v>74954</v>
      </c>
    </row>
    <row r="1218" spans="1:18" x14ac:dyDescent="0.25">
      <c r="A1218" s="170">
        <v>43802</v>
      </c>
      <c r="B1218" s="116">
        <v>728.15499999999997</v>
      </c>
      <c r="C1218" s="116">
        <v>716.875</v>
      </c>
      <c r="D1218" s="116">
        <v>715.00750000000005</v>
      </c>
      <c r="E1218" s="116">
        <v>728.15499999999997</v>
      </c>
      <c r="F1218" s="116">
        <v>14337.5</v>
      </c>
      <c r="G1218">
        <v>1602</v>
      </c>
      <c r="H1218" s="116"/>
      <c r="I1218" s="116"/>
      <c r="L1218" s="170">
        <v>43802</v>
      </c>
      <c r="M1218" s="116">
        <v>717.67499999999995</v>
      </c>
      <c r="N1218" s="116">
        <v>727.66499999999996</v>
      </c>
      <c r="O1218" s="116">
        <v>715.29</v>
      </c>
      <c r="P1218" s="116">
        <v>727.66499999999996</v>
      </c>
      <c r="Q1218" s="116">
        <v>14353.5</v>
      </c>
      <c r="R1218">
        <v>54872</v>
      </c>
    </row>
    <row r="1219" spans="1:18" x14ac:dyDescent="0.25">
      <c r="A1219" s="170">
        <v>43803</v>
      </c>
      <c r="B1219" s="116">
        <v>718.09500000000003</v>
      </c>
      <c r="C1219" s="116">
        <v>715.01</v>
      </c>
      <c r="D1219" s="116">
        <v>710.0625</v>
      </c>
      <c r="E1219" s="116">
        <v>716.24</v>
      </c>
      <c r="F1219" s="116">
        <v>14300.2</v>
      </c>
      <c r="G1219">
        <v>769</v>
      </c>
      <c r="H1219" s="116"/>
      <c r="I1219" s="116"/>
      <c r="L1219" s="170">
        <v>43803</v>
      </c>
      <c r="M1219" s="116">
        <v>715.3125</v>
      </c>
      <c r="N1219" s="116">
        <v>718.75</v>
      </c>
      <c r="O1219" s="116">
        <v>710.05</v>
      </c>
      <c r="P1219" s="116">
        <v>716.5</v>
      </c>
      <c r="Q1219" s="116">
        <v>14306.25</v>
      </c>
      <c r="R1219">
        <v>55888</v>
      </c>
    </row>
    <row r="1220" spans="1:18" x14ac:dyDescent="0.25">
      <c r="A1220" s="170">
        <v>43804</v>
      </c>
      <c r="B1220" s="116">
        <v>720.54750000000001</v>
      </c>
      <c r="C1220" s="116">
        <v>714.11749999999995</v>
      </c>
      <c r="D1220" s="116">
        <v>711.47500000000002</v>
      </c>
      <c r="E1220" s="116">
        <v>720.03750000000002</v>
      </c>
      <c r="F1220" s="116">
        <v>14282.35</v>
      </c>
      <c r="G1220">
        <v>661</v>
      </c>
      <c r="H1220" s="116"/>
      <c r="I1220" s="116"/>
      <c r="L1220" s="170">
        <v>43804</v>
      </c>
      <c r="M1220" s="116">
        <v>714.48249999999996</v>
      </c>
      <c r="N1220" s="116">
        <v>719.78250000000003</v>
      </c>
      <c r="O1220" s="116">
        <v>711</v>
      </c>
      <c r="P1220" s="116">
        <v>719.78250000000003</v>
      </c>
      <c r="Q1220" s="116">
        <v>14289.65</v>
      </c>
      <c r="R1220">
        <v>79335</v>
      </c>
    </row>
    <row r="1221" spans="1:18" x14ac:dyDescent="0.25">
      <c r="A1221" s="170">
        <v>43805</v>
      </c>
      <c r="B1221" s="116">
        <v>715.36</v>
      </c>
      <c r="C1221" s="116">
        <v>707.97500000000002</v>
      </c>
      <c r="D1221" s="116">
        <v>707.5</v>
      </c>
      <c r="E1221" s="116">
        <v>714.79750000000001</v>
      </c>
      <c r="F1221" s="116">
        <v>14159.5</v>
      </c>
      <c r="G1221">
        <v>562</v>
      </c>
      <c r="H1221" s="116"/>
      <c r="I1221" s="116"/>
      <c r="L1221" s="170">
        <v>43805</v>
      </c>
      <c r="M1221" s="116">
        <v>708.31500000000005</v>
      </c>
      <c r="N1221" s="116">
        <v>716.21749999999997</v>
      </c>
      <c r="O1221" s="116">
        <v>707.45</v>
      </c>
      <c r="P1221" s="116">
        <v>715.05</v>
      </c>
      <c r="Q1221" s="116">
        <v>14166.3</v>
      </c>
      <c r="R1221">
        <v>58487</v>
      </c>
    </row>
    <row r="1222" spans="1:18" x14ac:dyDescent="0.25">
      <c r="A1222" s="170">
        <v>43808</v>
      </c>
      <c r="B1222" s="116">
        <v>713.35749999999996</v>
      </c>
      <c r="C1222" s="116">
        <v>711.86749999999995</v>
      </c>
      <c r="D1222" s="116">
        <v>700.40250000000003</v>
      </c>
      <c r="E1222" s="116">
        <v>707.97500000000002</v>
      </c>
      <c r="F1222" s="116">
        <v>14237.35</v>
      </c>
      <c r="G1222">
        <v>852</v>
      </c>
      <c r="H1222" s="116"/>
      <c r="I1222" s="116"/>
      <c r="L1222" s="170">
        <v>43808</v>
      </c>
      <c r="M1222" s="116">
        <v>711.625</v>
      </c>
      <c r="N1222" s="116">
        <v>713.45</v>
      </c>
      <c r="O1222" s="116">
        <v>700.25</v>
      </c>
      <c r="P1222" s="116">
        <v>711.5</v>
      </c>
      <c r="Q1222" s="116">
        <v>14232.5</v>
      </c>
      <c r="R1222">
        <v>97712</v>
      </c>
    </row>
    <row r="1223" spans="1:18" x14ac:dyDescent="0.25">
      <c r="A1223" s="170">
        <v>43809</v>
      </c>
      <c r="B1223" s="116">
        <v>712.03499999999997</v>
      </c>
      <c r="C1223" s="116">
        <v>704.81500000000005</v>
      </c>
      <c r="D1223" s="116">
        <v>702</v>
      </c>
      <c r="E1223" s="116">
        <v>710.55</v>
      </c>
      <c r="F1223" s="116">
        <v>14096.3</v>
      </c>
      <c r="G1223">
        <v>4810</v>
      </c>
      <c r="H1223" s="116"/>
      <c r="I1223" s="116"/>
      <c r="L1223" s="170">
        <v>43809</v>
      </c>
      <c r="M1223" s="116">
        <v>704.58500000000004</v>
      </c>
      <c r="N1223" s="116">
        <v>712.14750000000004</v>
      </c>
      <c r="O1223" s="116">
        <v>701.58500000000004</v>
      </c>
      <c r="P1223" s="116">
        <v>711.2</v>
      </c>
      <c r="Q1223" s="116">
        <v>14091.7</v>
      </c>
      <c r="R1223">
        <v>61800</v>
      </c>
    </row>
    <row r="1224" spans="1:18" x14ac:dyDescent="0.25">
      <c r="A1224" s="170">
        <v>43810</v>
      </c>
      <c r="B1224" s="116">
        <v>707.75</v>
      </c>
      <c r="C1224" s="116">
        <v>703.40750000000003</v>
      </c>
      <c r="D1224" s="116">
        <v>701</v>
      </c>
      <c r="E1224" s="116">
        <v>705.15250000000003</v>
      </c>
      <c r="F1224" s="116">
        <v>14068.15</v>
      </c>
      <c r="G1224">
        <v>10662</v>
      </c>
      <c r="H1224" s="116"/>
      <c r="I1224" s="116"/>
      <c r="L1224" s="170">
        <v>43810</v>
      </c>
      <c r="M1224" s="116">
        <v>703.3</v>
      </c>
      <c r="N1224" s="116">
        <v>707.8</v>
      </c>
      <c r="O1224" s="116">
        <v>700.5</v>
      </c>
      <c r="P1224" s="116">
        <v>705.45</v>
      </c>
      <c r="Q1224" s="116">
        <v>14066</v>
      </c>
      <c r="R1224">
        <v>48306</v>
      </c>
    </row>
    <row r="1225" spans="1:18" x14ac:dyDescent="0.25">
      <c r="A1225" s="170">
        <v>43811</v>
      </c>
      <c r="B1225" s="116">
        <v>711.00250000000005</v>
      </c>
      <c r="C1225" s="116">
        <v>708.48</v>
      </c>
      <c r="D1225" s="116">
        <v>704.09749999999997</v>
      </c>
      <c r="E1225" s="116">
        <v>705.70500000000004</v>
      </c>
      <c r="F1225" s="116">
        <v>14169.6</v>
      </c>
      <c r="G1225">
        <v>928</v>
      </c>
      <c r="H1225" s="116"/>
      <c r="I1225" s="116"/>
      <c r="L1225" s="170">
        <v>43811</v>
      </c>
      <c r="M1225" s="116">
        <v>707.74749999999995</v>
      </c>
      <c r="N1225" s="116">
        <v>711.63499999999999</v>
      </c>
      <c r="O1225" s="116">
        <v>703.85500000000002</v>
      </c>
      <c r="P1225" s="116">
        <v>703.85500000000002</v>
      </c>
      <c r="Q1225" s="116">
        <v>14154.95</v>
      </c>
      <c r="R1225">
        <v>66841</v>
      </c>
    </row>
    <row r="1226" spans="1:18" x14ac:dyDescent="0.25">
      <c r="A1226" s="170">
        <v>43812</v>
      </c>
      <c r="B1226" s="116">
        <v>718.64250000000004</v>
      </c>
      <c r="C1226" s="116">
        <v>715.69</v>
      </c>
      <c r="D1226" s="116">
        <v>700.75</v>
      </c>
      <c r="E1226" s="116">
        <v>712.2</v>
      </c>
      <c r="F1226" s="116">
        <v>14313.8</v>
      </c>
      <c r="G1226">
        <v>1445</v>
      </c>
      <c r="H1226" s="116"/>
      <c r="I1226" s="116"/>
      <c r="L1226" s="170">
        <v>43812</v>
      </c>
      <c r="M1226" s="116">
        <v>715.08</v>
      </c>
      <c r="N1226" s="116">
        <v>719.47500000000002</v>
      </c>
      <c r="O1226" s="116">
        <v>700.55</v>
      </c>
      <c r="P1226" s="116">
        <v>709.5</v>
      </c>
      <c r="Q1226" s="116">
        <v>14301.6</v>
      </c>
      <c r="R1226">
        <v>156050</v>
      </c>
    </row>
    <row r="1227" spans="1:18" x14ac:dyDescent="0.25">
      <c r="A1227" s="170">
        <v>43815</v>
      </c>
      <c r="B1227" s="116">
        <v>721.1</v>
      </c>
      <c r="C1227" s="116">
        <v>707.65499999999997</v>
      </c>
      <c r="D1227" s="116">
        <v>706.68</v>
      </c>
      <c r="E1227" s="116">
        <v>715.25</v>
      </c>
      <c r="F1227" s="116">
        <v>14153.1</v>
      </c>
      <c r="G1227">
        <v>1168</v>
      </c>
      <c r="H1227" s="116"/>
      <c r="I1227" s="116"/>
      <c r="L1227" s="170">
        <v>43815</v>
      </c>
      <c r="M1227" s="116">
        <v>707.58249999999998</v>
      </c>
      <c r="N1227" s="116">
        <v>721.53</v>
      </c>
      <c r="O1227" s="116">
        <v>706.85</v>
      </c>
      <c r="P1227" s="116">
        <v>713</v>
      </c>
      <c r="Q1227" s="116">
        <v>14151.65</v>
      </c>
      <c r="R1227">
        <v>67072</v>
      </c>
    </row>
    <row r="1228" spans="1:18" x14ac:dyDescent="0.25">
      <c r="A1228" s="170">
        <v>43816</v>
      </c>
      <c r="B1228" s="116">
        <v>711.63</v>
      </c>
      <c r="C1228" s="116">
        <v>707.22500000000002</v>
      </c>
      <c r="D1228" s="116">
        <v>704.4</v>
      </c>
      <c r="E1228" s="116">
        <v>707.53</v>
      </c>
      <c r="F1228" s="116">
        <v>14144.5</v>
      </c>
      <c r="G1228">
        <v>1037</v>
      </c>
      <c r="H1228" s="116"/>
      <c r="I1228" s="116"/>
      <c r="L1228" s="170">
        <v>43816</v>
      </c>
      <c r="M1228" s="116">
        <v>707.45749999999998</v>
      </c>
      <c r="N1228" s="116">
        <v>712.35500000000002</v>
      </c>
      <c r="O1228" s="116">
        <v>704.05</v>
      </c>
      <c r="P1228" s="116">
        <v>710.745</v>
      </c>
      <c r="Q1228" s="116">
        <v>14149.15</v>
      </c>
      <c r="R1228">
        <v>81425</v>
      </c>
    </row>
    <row r="1229" spans="1:18" x14ac:dyDescent="0.25">
      <c r="A1229" s="170">
        <v>43817</v>
      </c>
      <c r="B1229" s="116">
        <v>713.95</v>
      </c>
      <c r="C1229" s="116">
        <v>710.79499999999996</v>
      </c>
      <c r="D1229" s="116">
        <v>702.71749999999997</v>
      </c>
      <c r="E1229" s="116">
        <v>707.96500000000003</v>
      </c>
      <c r="F1229" s="116">
        <v>14215.9</v>
      </c>
      <c r="G1229">
        <v>1617</v>
      </c>
      <c r="H1229" s="116"/>
      <c r="I1229" s="116"/>
      <c r="L1229" s="170">
        <v>43817</v>
      </c>
      <c r="M1229" s="116">
        <v>709.55499999999995</v>
      </c>
      <c r="N1229" s="116">
        <v>714</v>
      </c>
      <c r="O1229" s="116">
        <v>702.77</v>
      </c>
      <c r="P1229" s="116">
        <v>710</v>
      </c>
      <c r="Q1229" s="116">
        <v>14191.1</v>
      </c>
      <c r="R1229">
        <v>93716</v>
      </c>
    </row>
    <row r="1230" spans="1:18" x14ac:dyDescent="0.25">
      <c r="A1230" s="170">
        <v>43818</v>
      </c>
      <c r="B1230" s="116">
        <v>714.99249999999995</v>
      </c>
      <c r="C1230" s="116">
        <v>714.07</v>
      </c>
      <c r="D1230" s="116">
        <v>705</v>
      </c>
      <c r="E1230" s="116">
        <v>710.7</v>
      </c>
      <c r="F1230" s="116">
        <v>14281.4</v>
      </c>
      <c r="G1230">
        <v>962</v>
      </c>
      <c r="H1230" s="116"/>
      <c r="I1230" s="116"/>
      <c r="L1230" s="170">
        <v>43818</v>
      </c>
      <c r="M1230" s="116">
        <v>714.27</v>
      </c>
      <c r="N1230" s="116">
        <v>714.95</v>
      </c>
      <c r="O1230" s="116">
        <v>705</v>
      </c>
      <c r="P1230" s="116">
        <v>709.6</v>
      </c>
      <c r="Q1230" s="116">
        <v>14285.4</v>
      </c>
      <c r="R1230">
        <v>68692</v>
      </c>
    </row>
    <row r="1231" spans="1:18" x14ac:dyDescent="0.25">
      <c r="A1231" s="170">
        <v>43819</v>
      </c>
      <c r="B1231" s="116">
        <v>748.99249999999995</v>
      </c>
      <c r="C1231" s="116">
        <v>741.66</v>
      </c>
      <c r="D1231" s="116">
        <v>712.2</v>
      </c>
      <c r="E1231" s="116">
        <v>712.2</v>
      </c>
      <c r="F1231" s="116">
        <v>14833.2</v>
      </c>
      <c r="G1231">
        <v>5258</v>
      </c>
      <c r="H1231" s="116"/>
      <c r="I1231" s="116"/>
      <c r="L1231" s="170">
        <v>43819</v>
      </c>
      <c r="M1231" s="116">
        <v>742.91250000000002</v>
      </c>
      <c r="N1231" s="116">
        <v>748.9</v>
      </c>
      <c r="O1231" s="116">
        <v>711.10249999999996</v>
      </c>
      <c r="P1231" s="116">
        <v>713</v>
      </c>
      <c r="Q1231" s="116">
        <v>14858.25</v>
      </c>
      <c r="R1231">
        <v>423033</v>
      </c>
    </row>
    <row r="1232" spans="1:18" x14ac:dyDescent="0.25">
      <c r="A1232" s="170">
        <v>43822</v>
      </c>
      <c r="B1232" s="116">
        <v>749.7</v>
      </c>
      <c r="C1232" s="116">
        <v>726.35500000000002</v>
      </c>
      <c r="D1232" s="116">
        <v>724.50750000000005</v>
      </c>
      <c r="E1232" s="116">
        <v>744.95</v>
      </c>
      <c r="F1232" s="116">
        <v>14527.1</v>
      </c>
      <c r="G1232">
        <v>2826</v>
      </c>
      <c r="H1232" s="116"/>
      <c r="I1232" s="116"/>
      <c r="L1232" s="170">
        <v>43822</v>
      </c>
      <c r="M1232" s="116">
        <v>726.625</v>
      </c>
      <c r="N1232" s="116">
        <v>749.66750000000002</v>
      </c>
      <c r="O1232" s="116">
        <v>724.5</v>
      </c>
      <c r="P1232" s="116">
        <v>739.3</v>
      </c>
      <c r="Q1232" s="116">
        <v>14532.5</v>
      </c>
      <c r="R1232">
        <v>125031</v>
      </c>
    </row>
    <row r="1233" spans="1:18" x14ac:dyDescent="0.25">
      <c r="A1233" s="170">
        <v>43823</v>
      </c>
      <c r="B1233" s="116">
        <v>730.48249999999996</v>
      </c>
      <c r="C1233" s="116">
        <v>729.34500000000003</v>
      </c>
      <c r="D1233" s="116">
        <v>724.5</v>
      </c>
      <c r="E1233" s="116">
        <v>727.5</v>
      </c>
      <c r="F1233" s="116">
        <v>14586.9</v>
      </c>
      <c r="G1233">
        <v>1563</v>
      </c>
      <c r="H1233" s="116"/>
      <c r="I1233" s="116"/>
      <c r="L1233" s="170">
        <v>43823</v>
      </c>
      <c r="M1233" s="116">
        <v>729.3</v>
      </c>
      <c r="N1233" s="116">
        <v>731.16250000000002</v>
      </c>
      <c r="O1233" s="116">
        <v>723.09249999999997</v>
      </c>
      <c r="P1233" s="116">
        <v>729</v>
      </c>
      <c r="Q1233" s="116">
        <v>14586</v>
      </c>
      <c r="R1233">
        <v>39686</v>
      </c>
    </row>
    <row r="1234" spans="1:18" x14ac:dyDescent="0.25">
      <c r="A1234" s="170">
        <v>43825</v>
      </c>
      <c r="B1234" s="116">
        <v>735</v>
      </c>
      <c r="C1234" s="116">
        <v>729.97249999999997</v>
      </c>
      <c r="D1234" s="116">
        <v>727.5</v>
      </c>
      <c r="E1234" s="116">
        <v>729.1</v>
      </c>
      <c r="F1234" s="116">
        <v>14599.45</v>
      </c>
      <c r="G1234">
        <v>973</v>
      </c>
      <c r="H1234" s="116"/>
      <c r="I1234" s="116"/>
      <c r="L1234" s="170">
        <v>43825</v>
      </c>
      <c r="M1234" s="116">
        <v>729.96249999999998</v>
      </c>
      <c r="N1234" s="116">
        <v>735.75</v>
      </c>
      <c r="O1234" s="116">
        <v>728</v>
      </c>
      <c r="P1234" s="116">
        <v>730</v>
      </c>
      <c r="Q1234" s="116">
        <v>14599.25</v>
      </c>
      <c r="R1234">
        <v>45924</v>
      </c>
    </row>
    <row r="1235" spans="1:18" x14ac:dyDescent="0.25">
      <c r="A1235" s="170">
        <v>43826</v>
      </c>
      <c r="B1235" s="116">
        <v>734</v>
      </c>
      <c r="C1235" s="116">
        <v>732.58749999999998</v>
      </c>
      <c r="D1235" s="116">
        <v>729.17</v>
      </c>
      <c r="E1235" s="116">
        <v>729.97249999999997</v>
      </c>
      <c r="F1235" s="116">
        <v>14651.75</v>
      </c>
      <c r="G1235">
        <v>535</v>
      </c>
      <c r="H1235" s="116"/>
      <c r="I1235" s="116"/>
      <c r="L1235" s="170">
        <v>43826</v>
      </c>
      <c r="M1235" s="116">
        <v>733.20749999999998</v>
      </c>
      <c r="N1235" s="116">
        <v>734.48249999999996</v>
      </c>
      <c r="O1235" s="116">
        <v>728.72500000000002</v>
      </c>
      <c r="P1235" s="116">
        <v>732.44</v>
      </c>
      <c r="Q1235" s="116">
        <v>14664.15</v>
      </c>
      <c r="R1235">
        <v>29385</v>
      </c>
    </row>
    <row r="1236" spans="1:18" x14ac:dyDescent="0.25">
      <c r="A1236" s="170">
        <v>43829</v>
      </c>
      <c r="B1236" s="116">
        <v>745.125</v>
      </c>
      <c r="C1236" s="116">
        <v>743.36</v>
      </c>
      <c r="D1236" s="116">
        <v>731</v>
      </c>
      <c r="E1236" s="116">
        <v>732.61</v>
      </c>
      <c r="F1236" s="116">
        <v>14867.2</v>
      </c>
      <c r="G1236">
        <v>1453</v>
      </c>
      <c r="H1236" s="116"/>
      <c r="I1236" s="116"/>
      <c r="L1236" s="170">
        <v>43829</v>
      </c>
      <c r="M1236" s="116">
        <v>742.59500000000003</v>
      </c>
      <c r="N1236" s="116">
        <v>745</v>
      </c>
      <c r="O1236" s="116">
        <v>730.005</v>
      </c>
      <c r="P1236" s="116">
        <v>733.995</v>
      </c>
      <c r="Q1236" s="116">
        <v>14851.9</v>
      </c>
      <c r="R1236">
        <v>87720</v>
      </c>
    </row>
    <row r="1237" spans="1:18" x14ac:dyDescent="0.25">
      <c r="A1237" s="170">
        <v>43830</v>
      </c>
      <c r="B1237" s="116">
        <v>745.85</v>
      </c>
      <c r="C1237" s="116">
        <v>739.49749999999995</v>
      </c>
      <c r="D1237" s="116">
        <v>735.05499999999995</v>
      </c>
      <c r="E1237" s="116">
        <v>744.5</v>
      </c>
      <c r="F1237" s="116">
        <v>14789.95</v>
      </c>
      <c r="G1237">
        <v>1016</v>
      </c>
      <c r="H1237" s="116"/>
      <c r="I1237" s="116"/>
      <c r="L1237" s="170">
        <v>43830</v>
      </c>
      <c r="M1237" s="116">
        <v>739.26750000000004</v>
      </c>
      <c r="N1237" s="116">
        <v>746.21500000000003</v>
      </c>
      <c r="O1237" s="116">
        <v>735.5</v>
      </c>
      <c r="P1237" s="116">
        <v>743.2</v>
      </c>
      <c r="Q1237" s="116">
        <v>14785.35</v>
      </c>
      <c r="R1237">
        <v>62765</v>
      </c>
    </row>
    <row r="1238" spans="1:18" x14ac:dyDescent="0.25">
      <c r="A1238" s="170">
        <v>43831</v>
      </c>
      <c r="B1238" s="116">
        <v>741.9</v>
      </c>
      <c r="C1238" s="116">
        <v>738.89499999999998</v>
      </c>
      <c r="D1238" s="116">
        <v>736</v>
      </c>
      <c r="E1238" s="116">
        <v>740.99749999999995</v>
      </c>
      <c r="F1238" s="116">
        <v>14777.9</v>
      </c>
      <c r="G1238">
        <v>646</v>
      </c>
      <c r="H1238" s="116"/>
      <c r="I1238" s="116"/>
      <c r="L1238" s="170">
        <v>43831</v>
      </c>
      <c r="M1238" s="116">
        <v>738.95249999999999</v>
      </c>
      <c r="N1238" s="116">
        <v>742.46749999999997</v>
      </c>
      <c r="O1238" s="116">
        <v>735.61249999999995</v>
      </c>
      <c r="P1238" s="116">
        <v>740.95</v>
      </c>
      <c r="Q1238" s="116">
        <v>14779.05</v>
      </c>
      <c r="R1238">
        <v>23859</v>
      </c>
    </row>
    <row r="1239" spans="1:18" x14ac:dyDescent="0.25">
      <c r="A1239" s="170">
        <v>43832</v>
      </c>
      <c r="B1239" s="116">
        <v>743.46249999999998</v>
      </c>
      <c r="C1239" s="116">
        <v>736.23749999999995</v>
      </c>
      <c r="D1239" s="116">
        <v>735</v>
      </c>
      <c r="E1239" s="116">
        <v>743.46249999999998</v>
      </c>
      <c r="F1239" s="116">
        <v>14724.75</v>
      </c>
      <c r="G1239">
        <v>1399</v>
      </c>
      <c r="H1239" s="116"/>
      <c r="I1239" s="116"/>
      <c r="L1239" s="170">
        <v>43832</v>
      </c>
      <c r="M1239" s="116">
        <v>736.46749999999997</v>
      </c>
      <c r="N1239" s="116">
        <v>742.64750000000004</v>
      </c>
      <c r="O1239" s="116">
        <v>734.35749999999996</v>
      </c>
      <c r="P1239" s="116">
        <v>742.44500000000005</v>
      </c>
      <c r="Q1239" s="116">
        <v>14729.35</v>
      </c>
      <c r="R1239">
        <v>46116</v>
      </c>
    </row>
    <row r="1240" spans="1:18" x14ac:dyDescent="0.25">
      <c r="A1240" s="170">
        <v>43833</v>
      </c>
      <c r="B1240" s="116">
        <v>737.8</v>
      </c>
      <c r="C1240" s="116">
        <v>729.84749999999997</v>
      </c>
      <c r="D1240" s="116">
        <v>726.30250000000001</v>
      </c>
      <c r="E1240" s="116">
        <v>737.8</v>
      </c>
      <c r="F1240" s="116">
        <v>14596.95</v>
      </c>
      <c r="G1240">
        <v>23054</v>
      </c>
      <c r="H1240" s="116"/>
      <c r="I1240" s="116"/>
      <c r="L1240" s="170">
        <v>43833</v>
      </c>
      <c r="M1240" s="116">
        <v>729.68</v>
      </c>
      <c r="N1240" s="116">
        <v>739.75</v>
      </c>
      <c r="O1240" s="116">
        <v>727.80499999999995</v>
      </c>
      <c r="P1240" s="116">
        <v>737.5</v>
      </c>
      <c r="Q1240" s="116">
        <v>14593.6</v>
      </c>
      <c r="R1240">
        <v>40000</v>
      </c>
    </row>
    <row r="1241" spans="1:18" x14ac:dyDescent="0.25">
      <c r="A1241" s="170">
        <v>43836</v>
      </c>
      <c r="B1241" s="116">
        <v>728.75</v>
      </c>
      <c r="C1241" s="116">
        <v>720.47249999999997</v>
      </c>
      <c r="D1241" s="116">
        <v>713.74249999999995</v>
      </c>
      <c r="E1241" s="116">
        <v>728.75</v>
      </c>
      <c r="F1241" s="116">
        <v>14409.45</v>
      </c>
      <c r="G1241">
        <v>3425</v>
      </c>
      <c r="H1241" s="116"/>
      <c r="I1241" s="116"/>
      <c r="L1241" s="170">
        <v>43836</v>
      </c>
      <c r="M1241" s="116">
        <v>720.83249999999998</v>
      </c>
      <c r="N1241" s="116">
        <v>727.1</v>
      </c>
      <c r="O1241" s="116">
        <v>713.75</v>
      </c>
      <c r="P1241" s="116">
        <v>727.1</v>
      </c>
      <c r="Q1241" s="116">
        <v>14416.65</v>
      </c>
      <c r="R1241">
        <v>65136</v>
      </c>
    </row>
    <row r="1242" spans="1:18" x14ac:dyDescent="0.25">
      <c r="A1242" s="170">
        <v>43837</v>
      </c>
      <c r="B1242" s="116">
        <v>726.38</v>
      </c>
      <c r="C1242" s="116">
        <v>714.49</v>
      </c>
      <c r="D1242" s="116">
        <v>712.75</v>
      </c>
      <c r="E1242" s="116">
        <v>724.85</v>
      </c>
      <c r="F1242" s="116">
        <v>14289.8</v>
      </c>
      <c r="G1242">
        <v>1818</v>
      </c>
      <c r="H1242" s="116"/>
      <c r="I1242" s="116"/>
      <c r="L1242" s="170">
        <v>43837</v>
      </c>
      <c r="M1242" s="116">
        <v>714.53750000000002</v>
      </c>
      <c r="N1242" s="116">
        <v>727.33749999999998</v>
      </c>
      <c r="O1242" s="116">
        <v>713.04250000000002</v>
      </c>
      <c r="P1242" s="116">
        <v>721.17750000000001</v>
      </c>
      <c r="Q1242" s="116">
        <v>14290.75</v>
      </c>
      <c r="R1242">
        <v>72237</v>
      </c>
    </row>
    <row r="1243" spans="1:18" x14ac:dyDescent="0.25">
      <c r="A1243" s="170">
        <v>43838</v>
      </c>
      <c r="B1243" s="116">
        <v>720.79750000000001</v>
      </c>
      <c r="C1243" s="116">
        <v>719.41250000000002</v>
      </c>
      <c r="D1243" s="116">
        <v>706.01</v>
      </c>
      <c r="E1243" s="116">
        <v>712.49749999999995</v>
      </c>
      <c r="F1243" s="116">
        <v>14388.25</v>
      </c>
      <c r="G1243">
        <v>1655</v>
      </c>
      <c r="H1243" s="116"/>
      <c r="I1243" s="116"/>
      <c r="L1243" s="170">
        <v>43838</v>
      </c>
      <c r="M1243" s="116">
        <v>719.5625</v>
      </c>
      <c r="N1243" s="116">
        <v>722.5</v>
      </c>
      <c r="O1243" s="116">
        <v>706.01750000000004</v>
      </c>
      <c r="P1243" s="116">
        <v>709.58</v>
      </c>
      <c r="Q1243" s="116">
        <v>14391.25</v>
      </c>
      <c r="R1243">
        <v>39488</v>
      </c>
    </row>
    <row r="1244" spans="1:18" x14ac:dyDescent="0.25">
      <c r="A1244" s="170">
        <v>43839</v>
      </c>
      <c r="B1244" s="116">
        <v>734</v>
      </c>
      <c r="C1244" s="116">
        <v>732.23500000000001</v>
      </c>
      <c r="D1244" s="116">
        <v>722.84</v>
      </c>
      <c r="E1244" s="116">
        <v>726.8</v>
      </c>
      <c r="F1244" s="116">
        <v>14644.7</v>
      </c>
      <c r="G1244">
        <v>2214</v>
      </c>
      <c r="H1244" s="116"/>
      <c r="I1244" s="116"/>
      <c r="L1244" s="170">
        <v>43839</v>
      </c>
      <c r="M1244" s="116">
        <v>732.17250000000001</v>
      </c>
      <c r="N1244" s="116">
        <v>733.75</v>
      </c>
      <c r="O1244" s="116">
        <v>722.5</v>
      </c>
      <c r="P1244" s="116">
        <v>724.75</v>
      </c>
      <c r="Q1244" s="116">
        <v>14643.45</v>
      </c>
      <c r="R1244">
        <v>55708</v>
      </c>
    </row>
    <row r="1245" spans="1:18" x14ac:dyDescent="0.25">
      <c r="A1245" s="170">
        <v>43840</v>
      </c>
      <c r="B1245" s="116">
        <v>735.66499999999996</v>
      </c>
      <c r="C1245" s="116">
        <v>734.26</v>
      </c>
      <c r="D1245" s="116">
        <v>729.4</v>
      </c>
      <c r="E1245" s="116">
        <v>734.5</v>
      </c>
      <c r="F1245" s="116">
        <v>14685.2</v>
      </c>
      <c r="G1245">
        <v>1080</v>
      </c>
      <c r="H1245" s="116"/>
      <c r="I1245" s="116"/>
      <c r="L1245" s="170">
        <v>43840</v>
      </c>
      <c r="M1245" s="116">
        <v>734.29250000000002</v>
      </c>
      <c r="N1245" s="116">
        <v>735.94500000000005</v>
      </c>
      <c r="O1245" s="116">
        <v>728.51250000000005</v>
      </c>
      <c r="P1245" s="116">
        <v>732.17250000000001</v>
      </c>
      <c r="Q1245" s="116">
        <v>14685.85</v>
      </c>
      <c r="R1245">
        <v>39274</v>
      </c>
    </row>
    <row r="1246" spans="1:18" x14ac:dyDescent="0.25">
      <c r="A1246" s="170">
        <v>43843</v>
      </c>
      <c r="B1246" s="116">
        <v>736.77250000000004</v>
      </c>
      <c r="C1246" s="116">
        <v>733.09500000000003</v>
      </c>
      <c r="D1246" s="116">
        <v>730.21500000000003</v>
      </c>
      <c r="E1246" s="116">
        <v>736.41499999999996</v>
      </c>
      <c r="F1246" s="116">
        <v>14661.9</v>
      </c>
      <c r="G1246">
        <v>747</v>
      </c>
      <c r="H1246" s="116"/>
      <c r="I1246" s="116"/>
      <c r="L1246" s="170">
        <v>43843</v>
      </c>
      <c r="M1246" s="116">
        <v>732.91250000000002</v>
      </c>
      <c r="N1246" s="116">
        <v>737.39499999999998</v>
      </c>
      <c r="O1246" s="116">
        <v>730.05</v>
      </c>
      <c r="P1246" s="116">
        <v>737.39499999999998</v>
      </c>
      <c r="Q1246" s="116">
        <v>14658.25</v>
      </c>
      <c r="R1246">
        <v>26990</v>
      </c>
    </row>
    <row r="1247" spans="1:18" x14ac:dyDescent="0.25">
      <c r="A1247" s="170">
        <v>43844</v>
      </c>
      <c r="B1247" s="116">
        <v>745</v>
      </c>
      <c r="C1247" s="116">
        <v>743.45249999999999</v>
      </c>
      <c r="D1247" s="116">
        <v>730.75</v>
      </c>
      <c r="E1247" s="116">
        <v>733.1</v>
      </c>
      <c r="F1247" s="116">
        <v>14869.05</v>
      </c>
      <c r="G1247">
        <v>1388</v>
      </c>
      <c r="H1247" s="116"/>
      <c r="I1247" s="116"/>
      <c r="L1247" s="170">
        <v>43844</v>
      </c>
      <c r="M1247" s="116">
        <v>743.43</v>
      </c>
      <c r="N1247" s="116">
        <v>744.75</v>
      </c>
      <c r="O1247" s="116">
        <v>730.35</v>
      </c>
      <c r="P1247" s="116">
        <v>732.89499999999998</v>
      </c>
      <c r="Q1247" s="116">
        <v>14868.6</v>
      </c>
      <c r="R1247">
        <v>50378</v>
      </c>
    </row>
    <row r="1248" spans="1:18" x14ac:dyDescent="0.25">
      <c r="A1248" s="170">
        <v>43845</v>
      </c>
      <c r="B1248" s="116">
        <v>747.5</v>
      </c>
      <c r="C1248" s="116">
        <v>743.38</v>
      </c>
      <c r="D1248" s="116">
        <v>736.92</v>
      </c>
      <c r="E1248" s="116">
        <v>743.4</v>
      </c>
      <c r="F1248" s="116">
        <v>14867.6</v>
      </c>
      <c r="G1248">
        <v>874</v>
      </c>
      <c r="H1248" s="116"/>
      <c r="I1248" s="116"/>
      <c r="L1248" s="170">
        <v>43845</v>
      </c>
      <c r="M1248" s="116">
        <v>743.01</v>
      </c>
      <c r="N1248" s="116">
        <v>747.5</v>
      </c>
      <c r="O1248" s="116">
        <v>735.9425</v>
      </c>
      <c r="P1248" s="116">
        <v>741.4</v>
      </c>
      <c r="Q1248" s="116">
        <v>14860.2</v>
      </c>
      <c r="R1248">
        <v>41468</v>
      </c>
    </row>
    <row r="1249" spans="1:18" x14ac:dyDescent="0.25">
      <c r="A1249" s="170">
        <v>43846</v>
      </c>
      <c r="B1249" s="116">
        <v>769.95</v>
      </c>
      <c r="C1249" s="116">
        <v>767.36249999999995</v>
      </c>
      <c r="D1249" s="116">
        <v>743</v>
      </c>
      <c r="E1249" s="116">
        <v>743.45</v>
      </c>
      <c r="F1249" s="116">
        <v>15347.25</v>
      </c>
      <c r="G1249">
        <v>5450</v>
      </c>
      <c r="H1249" s="116"/>
      <c r="I1249" s="116"/>
      <c r="L1249" s="170">
        <v>43846</v>
      </c>
      <c r="M1249" s="116">
        <v>767.745</v>
      </c>
      <c r="N1249" s="116">
        <v>769.9</v>
      </c>
      <c r="O1249" s="116">
        <v>742.40499999999997</v>
      </c>
      <c r="P1249" s="116">
        <v>742.55</v>
      </c>
      <c r="Q1249" s="116">
        <v>15354.9</v>
      </c>
      <c r="R1249">
        <v>203208</v>
      </c>
    </row>
    <row r="1250" spans="1:18" x14ac:dyDescent="0.25">
      <c r="A1250" s="170">
        <v>43847</v>
      </c>
      <c r="B1250" s="116">
        <v>779.95</v>
      </c>
      <c r="C1250" s="116">
        <v>772.0675</v>
      </c>
      <c r="D1250" s="116">
        <v>768.25</v>
      </c>
      <c r="E1250" s="116">
        <v>769.95</v>
      </c>
      <c r="F1250" s="116">
        <v>15441.35</v>
      </c>
      <c r="G1250">
        <v>2271</v>
      </c>
      <c r="H1250" s="116"/>
      <c r="I1250" s="116"/>
      <c r="L1250" s="170">
        <v>43847</v>
      </c>
      <c r="M1250" s="116">
        <v>771.97249999999997</v>
      </c>
      <c r="N1250" s="116">
        <v>780</v>
      </c>
      <c r="O1250" s="116">
        <v>767.9325</v>
      </c>
      <c r="P1250" s="116">
        <v>769.95</v>
      </c>
      <c r="Q1250" s="116">
        <v>15439.45</v>
      </c>
      <c r="R1250">
        <v>96399</v>
      </c>
    </row>
    <row r="1251" spans="1:18" x14ac:dyDescent="0.25">
      <c r="A1251" s="170">
        <v>43850</v>
      </c>
      <c r="B1251" s="116">
        <v>773.73500000000001</v>
      </c>
      <c r="C1251" s="116">
        <v>770.99</v>
      </c>
      <c r="D1251" s="116">
        <v>765.55</v>
      </c>
      <c r="E1251" s="116">
        <v>771.8</v>
      </c>
      <c r="F1251" s="116">
        <v>15419.8</v>
      </c>
      <c r="G1251">
        <v>1805</v>
      </c>
      <c r="H1251" s="116"/>
      <c r="I1251" s="116"/>
      <c r="L1251" s="170">
        <v>43850</v>
      </c>
      <c r="M1251" s="116">
        <v>770.86249999999995</v>
      </c>
      <c r="N1251" s="116">
        <v>773.97</v>
      </c>
      <c r="O1251" s="116">
        <v>761.50750000000005</v>
      </c>
      <c r="P1251" s="116">
        <v>761.50750000000005</v>
      </c>
      <c r="Q1251" s="116">
        <v>15417.25</v>
      </c>
      <c r="R1251">
        <v>68770</v>
      </c>
    </row>
    <row r="1252" spans="1:18" x14ac:dyDescent="0.25">
      <c r="A1252" s="170">
        <v>43851</v>
      </c>
      <c r="B1252" s="116">
        <v>775.005</v>
      </c>
      <c r="C1252" s="116">
        <v>764.01</v>
      </c>
      <c r="D1252" s="116">
        <v>762.65250000000003</v>
      </c>
      <c r="E1252" s="116">
        <v>771</v>
      </c>
      <c r="F1252" s="116">
        <v>15280.2</v>
      </c>
      <c r="G1252">
        <v>1306</v>
      </c>
      <c r="H1252" s="116"/>
      <c r="I1252" s="116"/>
      <c r="L1252" s="170">
        <v>43851</v>
      </c>
      <c r="M1252" s="116">
        <v>764.03750000000002</v>
      </c>
      <c r="N1252" s="116">
        <v>775.08</v>
      </c>
      <c r="O1252" s="116">
        <v>760</v>
      </c>
      <c r="P1252" s="116">
        <v>768.05250000000001</v>
      </c>
      <c r="Q1252" s="116">
        <v>15280.75</v>
      </c>
      <c r="R1252">
        <v>63258</v>
      </c>
    </row>
    <row r="1253" spans="1:18" x14ac:dyDescent="0.25">
      <c r="A1253" s="170">
        <v>43852</v>
      </c>
      <c r="B1253" s="116">
        <v>779.25250000000005</v>
      </c>
      <c r="C1253" s="116">
        <v>777.22</v>
      </c>
      <c r="D1253" s="116">
        <v>765.75</v>
      </c>
      <c r="E1253" s="116">
        <v>767.7</v>
      </c>
      <c r="F1253" s="116">
        <v>15544.4</v>
      </c>
      <c r="G1253">
        <v>1630</v>
      </c>
      <c r="H1253" s="116"/>
      <c r="I1253" s="116"/>
      <c r="L1253" s="170">
        <v>43852</v>
      </c>
      <c r="M1253" s="116">
        <v>777.43499999999995</v>
      </c>
      <c r="N1253" s="116">
        <v>779.25</v>
      </c>
      <c r="O1253" s="116">
        <v>765.05</v>
      </c>
      <c r="P1253" s="116">
        <v>768.45</v>
      </c>
      <c r="Q1253" s="116">
        <v>15548.7</v>
      </c>
      <c r="R1253">
        <v>55627</v>
      </c>
    </row>
    <row r="1254" spans="1:18" x14ac:dyDescent="0.25">
      <c r="A1254" s="170">
        <v>43853</v>
      </c>
      <c r="B1254" s="116">
        <v>781.02750000000003</v>
      </c>
      <c r="C1254" s="116">
        <v>777.73249999999996</v>
      </c>
      <c r="D1254" s="116">
        <v>773.25</v>
      </c>
      <c r="E1254" s="116">
        <v>773.85</v>
      </c>
      <c r="F1254" s="116">
        <v>15554.65</v>
      </c>
      <c r="G1254">
        <v>5700</v>
      </c>
      <c r="H1254" s="116"/>
      <c r="I1254" s="116"/>
      <c r="L1254" s="170">
        <v>43853</v>
      </c>
      <c r="M1254" s="116">
        <v>777.4425</v>
      </c>
      <c r="N1254" s="116">
        <v>781.25</v>
      </c>
      <c r="O1254" s="116">
        <v>772.75</v>
      </c>
      <c r="P1254" s="116">
        <v>775</v>
      </c>
      <c r="Q1254" s="116">
        <v>15548.85</v>
      </c>
      <c r="R1254">
        <v>42861</v>
      </c>
    </row>
    <row r="1255" spans="1:18" x14ac:dyDescent="0.25">
      <c r="A1255" s="170">
        <v>43854</v>
      </c>
      <c r="B1255" s="116">
        <v>792.75</v>
      </c>
      <c r="C1255" s="116">
        <v>787.52</v>
      </c>
      <c r="D1255" s="116">
        <v>775.95</v>
      </c>
      <c r="E1255" s="116">
        <v>776.65</v>
      </c>
      <c r="F1255" s="116">
        <v>15750.4</v>
      </c>
      <c r="G1255">
        <v>1455</v>
      </c>
      <c r="H1255" s="116"/>
      <c r="I1255" s="116"/>
      <c r="L1255" s="170">
        <v>43854</v>
      </c>
      <c r="M1255" s="116">
        <v>787.77499999999998</v>
      </c>
      <c r="N1255" s="116">
        <v>792.5</v>
      </c>
      <c r="O1255" s="116">
        <v>775.00750000000005</v>
      </c>
      <c r="P1255" s="116">
        <v>780</v>
      </c>
      <c r="Q1255" s="116">
        <v>15755.5</v>
      </c>
      <c r="R1255">
        <v>50632</v>
      </c>
    </row>
    <row r="1256" spans="1:18" x14ac:dyDescent="0.25">
      <c r="A1256" s="170">
        <v>43857</v>
      </c>
      <c r="B1256" s="116">
        <v>792.745</v>
      </c>
      <c r="C1256" s="116">
        <v>783.54</v>
      </c>
      <c r="D1256" s="116">
        <v>778.46500000000003</v>
      </c>
      <c r="E1256" s="116">
        <v>785.87249999999995</v>
      </c>
      <c r="F1256" s="116">
        <v>15670.8</v>
      </c>
      <c r="G1256">
        <v>1392</v>
      </c>
      <c r="H1256" s="116"/>
      <c r="I1256" s="116"/>
      <c r="L1256" s="170">
        <v>43857</v>
      </c>
      <c r="M1256" s="116">
        <v>783.30250000000001</v>
      </c>
      <c r="N1256" s="116">
        <v>792.25</v>
      </c>
      <c r="O1256" s="116">
        <v>777.99749999999995</v>
      </c>
      <c r="P1256" s="116">
        <v>785</v>
      </c>
      <c r="Q1256" s="116">
        <v>15666.05</v>
      </c>
      <c r="R1256">
        <v>31362</v>
      </c>
    </row>
    <row r="1257" spans="1:18" x14ac:dyDescent="0.25">
      <c r="A1257" s="170">
        <v>43858</v>
      </c>
      <c r="B1257" s="116">
        <v>784.79</v>
      </c>
      <c r="C1257" s="116">
        <v>770.67750000000001</v>
      </c>
      <c r="D1257" s="116">
        <v>769.04</v>
      </c>
      <c r="E1257" s="116">
        <v>784.1925</v>
      </c>
      <c r="F1257" s="116">
        <v>15413.55</v>
      </c>
      <c r="G1257">
        <v>1916</v>
      </c>
      <c r="H1257" s="116"/>
      <c r="I1257" s="116"/>
      <c r="L1257" s="170">
        <v>43858</v>
      </c>
      <c r="M1257" s="116">
        <v>770.83249999999998</v>
      </c>
      <c r="N1257" s="116">
        <v>785.5</v>
      </c>
      <c r="O1257" s="116">
        <v>768.34</v>
      </c>
      <c r="P1257" s="116">
        <v>783.2</v>
      </c>
      <c r="Q1257" s="116">
        <v>15416.65</v>
      </c>
      <c r="R1257">
        <v>53107</v>
      </c>
    </row>
    <row r="1258" spans="1:18" x14ac:dyDescent="0.25">
      <c r="A1258" s="170">
        <v>43859</v>
      </c>
      <c r="B1258" s="116">
        <v>795</v>
      </c>
      <c r="C1258" s="116">
        <v>793.49</v>
      </c>
      <c r="D1258" s="116">
        <v>772.2</v>
      </c>
      <c r="E1258" s="116">
        <v>777.35</v>
      </c>
      <c r="F1258" s="116">
        <v>15869.8</v>
      </c>
      <c r="G1258">
        <v>1619</v>
      </c>
      <c r="H1258" s="116"/>
      <c r="I1258" s="116"/>
      <c r="L1258" s="170">
        <v>43859</v>
      </c>
      <c r="M1258" s="116">
        <v>793.33749999999998</v>
      </c>
      <c r="N1258" s="116">
        <v>794.99749999999995</v>
      </c>
      <c r="O1258" s="116">
        <v>772</v>
      </c>
      <c r="P1258" s="116">
        <v>779.25</v>
      </c>
      <c r="Q1258" s="116">
        <v>15866.75</v>
      </c>
      <c r="R1258">
        <v>64251</v>
      </c>
    </row>
    <row r="1259" spans="1:18" x14ac:dyDescent="0.25">
      <c r="A1259" s="170">
        <v>43860</v>
      </c>
      <c r="B1259" s="116">
        <v>793.49749999999995</v>
      </c>
      <c r="C1259" s="116">
        <v>775.125</v>
      </c>
      <c r="D1259" s="116">
        <v>774.15</v>
      </c>
      <c r="E1259" s="116">
        <v>793.49749999999995</v>
      </c>
      <c r="F1259" s="116">
        <v>15502.5</v>
      </c>
      <c r="G1259">
        <v>1669</v>
      </c>
      <c r="H1259" s="116"/>
      <c r="I1259" s="116"/>
      <c r="L1259" s="170">
        <v>43860</v>
      </c>
      <c r="M1259" s="116">
        <v>776.04</v>
      </c>
      <c r="N1259" s="116">
        <v>790.54250000000002</v>
      </c>
      <c r="O1259" s="116">
        <v>773.5625</v>
      </c>
      <c r="P1259" s="116">
        <v>790.1</v>
      </c>
      <c r="Q1259" s="116">
        <v>15520.8</v>
      </c>
      <c r="R1259">
        <v>47252</v>
      </c>
    </row>
    <row r="1260" spans="1:18" x14ac:dyDescent="0.25">
      <c r="A1260" s="170">
        <v>43861</v>
      </c>
      <c r="B1260" s="116">
        <v>779.98749999999995</v>
      </c>
      <c r="C1260" s="116">
        <v>768.04250000000002</v>
      </c>
      <c r="D1260" s="116">
        <v>765.75</v>
      </c>
      <c r="E1260" s="116">
        <v>779.94500000000005</v>
      </c>
      <c r="F1260" s="116">
        <v>15360.85</v>
      </c>
      <c r="G1260">
        <v>1518</v>
      </c>
      <c r="H1260" s="116"/>
      <c r="I1260" s="116"/>
      <c r="L1260" s="170">
        <v>43861</v>
      </c>
      <c r="M1260" s="116">
        <v>767.97249999999997</v>
      </c>
      <c r="N1260" s="116">
        <v>781.86249999999995</v>
      </c>
      <c r="O1260" s="116">
        <v>765.51499999999999</v>
      </c>
      <c r="P1260" s="116">
        <v>778</v>
      </c>
      <c r="Q1260" s="116">
        <v>15359.45</v>
      </c>
      <c r="R1260">
        <v>59649</v>
      </c>
    </row>
    <row r="1261" spans="1:18" x14ac:dyDescent="0.25">
      <c r="A1261" s="170">
        <v>43862</v>
      </c>
      <c r="B1261" s="116">
        <v>781.79</v>
      </c>
      <c r="C1261" s="116">
        <v>771.29</v>
      </c>
      <c r="D1261" s="116">
        <v>759</v>
      </c>
      <c r="E1261" s="116">
        <v>767.75</v>
      </c>
      <c r="F1261" s="116">
        <v>15425.8</v>
      </c>
      <c r="G1261">
        <v>1634</v>
      </c>
      <c r="H1261" s="116"/>
      <c r="I1261" s="116"/>
      <c r="L1261" s="170">
        <v>43862</v>
      </c>
      <c r="M1261" s="116">
        <v>776.23749999999995</v>
      </c>
      <c r="N1261" s="116">
        <v>783.08749999999998</v>
      </c>
      <c r="O1261" s="116">
        <v>759.22</v>
      </c>
      <c r="P1261" s="116">
        <v>765</v>
      </c>
      <c r="Q1261" s="116">
        <v>15524.75</v>
      </c>
      <c r="R1261">
        <v>42181</v>
      </c>
    </row>
    <row r="1262" spans="1:18" x14ac:dyDescent="0.25">
      <c r="A1262" s="170">
        <v>43864</v>
      </c>
      <c r="B1262" s="116">
        <v>825.10749999999996</v>
      </c>
      <c r="C1262" s="116">
        <v>815.08249999999998</v>
      </c>
      <c r="D1262" s="116">
        <v>772.6</v>
      </c>
      <c r="E1262" s="116">
        <v>772.6</v>
      </c>
      <c r="F1262" s="116">
        <v>16301.65</v>
      </c>
      <c r="G1262">
        <v>17589</v>
      </c>
      <c r="H1262" s="116"/>
      <c r="I1262" s="116"/>
      <c r="L1262" s="170">
        <v>43864</v>
      </c>
      <c r="M1262" s="116">
        <v>815.05</v>
      </c>
      <c r="N1262" s="116">
        <v>825</v>
      </c>
      <c r="O1262" s="116">
        <v>776.5</v>
      </c>
      <c r="P1262" s="116">
        <v>779.45</v>
      </c>
      <c r="Q1262" s="116">
        <v>16301</v>
      </c>
      <c r="R1262">
        <v>203752</v>
      </c>
    </row>
    <row r="1263" spans="1:18" x14ac:dyDescent="0.25">
      <c r="A1263" s="170">
        <v>43865</v>
      </c>
      <c r="B1263" s="116">
        <v>825</v>
      </c>
      <c r="C1263" s="116">
        <v>822.65</v>
      </c>
      <c r="D1263" s="116">
        <v>806.8125</v>
      </c>
      <c r="E1263" s="116">
        <v>818.5</v>
      </c>
      <c r="F1263" s="116">
        <v>16453</v>
      </c>
      <c r="G1263">
        <v>2561</v>
      </c>
      <c r="H1263" s="116"/>
      <c r="I1263" s="116"/>
      <c r="L1263" s="170">
        <v>43865</v>
      </c>
      <c r="M1263" s="116">
        <v>822.78</v>
      </c>
      <c r="N1263" s="116">
        <v>825.39499999999998</v>
      </c>
      <c r="O1263" s="116">
        <v>806.35249999999996</v>
      </c>
      <c r="P1263" s="116">
        <v>820</v>
      </c>
      <c r="Q1263" s="116">
        <v>16455.599999999999</v>
      </c>
      <c r="R1263">
        <v>116416</v>
      </c>
    </row>
    <row r="1264" spans="1:18" x14ac:dyDescent="0.25">
      <c r="A1264" s="170">
        <v>43866</v>
      </c>
      <c r="B1264" s="116">
        <v>824.95</v>
      </c>
      <c r="C1264" s="116">
        <v>818.69749999999999</v>
      </c>
      <c r="D1264" s="116">
        <v>812.86</v>
      </c>
      <c r="E1264" s="116">
        <v>824.95</v>
      </c>
      <c r="F1264" s="116">
        <v>16373.95</v>
      </c>
      <c r="G1264">
        <v>2937</v>
      </c>
      <c r="H1264" s="116"/>
      <c r="I1264" s="116"/>
      <c r="L1264" s="170">
        <v>43866</v>
      </c>
      <c r="M1264" s="116">
        <v>819.24249999999995</v>
      </c>
      <c r="N1264" s="116">
        <v>824.09500000000003</v>
      </c>
      <c r="O1264" s="116">
        <v>812.80250000000001</v>
      </c>
      <c r="P1264" s="116">
        <v>823.8</v>
      </c>
      <c r="Q1264" s="116">
        <v>16384.849999999999</v>
      </c>
      <c r="R1264">
        <v>57511</v>
      </c>
    </row>
    <row r="1265" spans="1:18" x14ac:dyDescent="0.25">
      <c r="A1265" s="170">
        <v>43867</v>
      </c>
      <c r="B1265" s="116">
        <v>827.38</v>
      </c>
      <c r="C1265" s="116">
        <v>814.27499999999998</v>
      </c>
      <c r="D1265" s="116">
        <v>808.3</v>
      </c>
      <c r="E1265" s="116">
        <v>819.255</v>
      </c>
      <c r="F1265" s="116">
        <v>16285.5</v>
      </c>
      <c r="G1265">
        <v>2355</v>
      </c>
      <c r="H1265" s="116"/>
      <c r="I1265" s="116"/>
      <c r="L1265" s="170">
        <v>43867</v>
      </c>
      <c r="M1265" s="116">
        <v>814.24749999999995</v>
      </c>
      <c r="N1265" s="116">
        <v>827.47249999999997</v>
      </c>
      <c r="O1265" s="116">
        <v>807.89</v>
      </c>
      <c r="P1265" s="116">
        <v>819.95</v>
      </c>
      <c r="Q1265" s="116">
        <v>16284.95</v>
      </c>
      <c r="R1265">
        <v>74084</v>
      </c>
    </row>
    <row r="1266" spans="1:18" x14ac:dyDescent="0.25">
      <c r="A1266" s="170">
        <v>43868</v>
      </c>
      <c r="B1266" s="116">
        <v>819.13</v>
      </c>
      <c r="C1266" s="116">
        <v>815.29750000000001</v>
      </c>
      <c r="D1266" s="116">
        <v>810.09500000000003</v>
      </c>
      <c r="E1266" s="116">
        <v>814.4</v>
      </c>
      <c r="F1266" s="116">
        <v>16305.95</v>
      </c>
      <c r="G1266">
        <v>132010</v>
      </c>
      <c r="H1266" s="116"/>
      <c r="I1266" s="116"/>
      <c r="L1266" s="170">
        <v>43868</v>
      </c>
      <c r="M1266" s="116">
        <v>816.39</v>
      </c>
      <c r="N1266" s="116">
        <v>819.25</v>
      </c>
      <c r="O1266" s="116">
        <v>809.73</v>
      </c>
      <c r="P1266" s="116">
        <v>817</v>
      </c>
      <c r="Q1266" s="116">
        <v>16327.8</v>
      </c>
      <c r="R1266">
        <v>41407</v>
      </c>
    </row>
    <row r="1267" spans="1:18" x14ac:dyDescent="0.25">
      <c r="A1267" s="170">
        <v>43871</v>
      </c>
      <c r="B1267" s="116">
        <v>817.14750000000004</v>
      </c>
      <c r="C1267" s="116">
        <v>808.41</v>
      </c>
      <c r="D1267" s="116">
        <v>805.96500000000003</v>
      </c>
      <c r="E1267" s="116">
        <v>815.45</v>
      </c>
      <c r="F1267" s="116">
        <v>16168.2</v>
      </c>
      <c r="G1267">
        <v>1383</v>
      </c>
      <c r="H1267" s="116"/>
      <c r="I1267" s="116"/>
      <c r="L1267" s="170">
        <v>43871</v>
      </c>
      <c r="M1267" s="116">
        <v>808.61</v>
      </c>
      <c r="N1267" s="116">
        <v>818.65499999999997</v>
      </c>
      <c r="O1267" s="116">
        <v>805.6</v>
      </c>
      <c r="P1267" s="116">
        <v>815</v>
      </c>
      <c r="Q1267" s="116">
        <v>16172.2</v>
      </c>
      <c r="R1267">
        <v>61270</v>
      </c>
    </row>
    <row r="1268" spans="1:18" x14ac:dyDescent="0.25">
      <c r="A1268" s="170">
        <v>43872</v>
      </c>
      <c r="B1268" s="116">
        <v>815.92250000000001</v>
      </c>
      <c r="C1268" s="116">
        <v>799.75</v>
      </c>
      <c r="D1268" s="116">
        <v>798</v>
      </c>
      <c r="E1268" s="116">
        <v>814.9</v>
      </c>
      <c r="F1268" s="116">
        <v>15995</v>
      </c>
      <c r="G1268">
        <v>1341</v>
      </c>
      <c r="H1268" s="116"/>
      <c r="I1268" s="116"/>
      <c r="L1268" s="170">
        <v>43872</v>
      </c>
      <c r="M1268" s="116">
        <v>799.85749999999996</v>
      </c>
      <c r="N1268" s="116">
        <v>815.00250000000005</v>
      </c>
      <c r="O1268" s="116">
        <v>797.5</v>
      </c>
      <c r="P1268" s="116">
        <v>812</v>
      </c>
      <c r="Q1268" s="116">
        <v>15997.15</v>
      </c>
      <c r="R1268">
        <v>73350</v>
      </c>
    </row>
    <row r="1269" spans="1:18" x14ac:dyDescent="0.25">
      <c r="A1269" s="170">
        <v>43873</v>
      </c>
      <c r="B1269" s="116">
        <v>823.60749999999996</v>
      </c>
      <c r="C1269" s="116">
        <v>814.48749999999995</v>
      </c>
      <c r="D1269" s="116">
        <v>798.75</v>
      </c>
      <c r="E1269" s="116">
        <v>804.85</v>
      </c>
      <c r="F1269" s="116">
        <v>16289.75</v>
      </c>
      <c r="G1269">
        <v>3465</v>
      </c>
      <c r="H1269" s="116"/>
      <c r="I1269" s="116"/>
      <c r="L1269" s="170">
        <v>43873</v>
      </c>
      <c r="M1269" s="116">
        <v>814.88499999999999</v>
      </c>
      <c r="N1269" s="116">
        <v>823.63</v>
      </c>
      <c r="O1269" s="116">
        <v>798.42250000000001</v>
      </c>
      <c r="P1269" s="116">
        <v>801.3</v>
      </c>
      <c r="Q1269" s="116">
        <v>16297.7</v>
      </c>
      <c r="R1269">
        <v>129011</v>
      </c>
    </row>
    <row r="1270" spans="1:18" x14ac:dyDescent="0.25">
      <c r="A1270" s="170">
        <v>43874</v>
      </c>
      <c r="B1270" s="116">
        <v>822.75</v>
      </c>
      <c r="C1270" s="116">
        <v>820.89</v>
      </c>
      <c r="D1270" s="116">
        <v>814.5</v>
      </c>
      <c r="E1270" s="116">
        <v>817.5</v>
      </c>
      <c r="F1270" s="116">
        <v>16417.8</v>
      </c>
      <c r="G1270">
        <v>5551</v>
      </c>
      <c r="H1270" s="116"/>
      <c r="I1270" s="116"/>
      <c r="L1270" s="170">
        <v>43874</v>
      </c>
      <c r="M1270" s="116">
        <v>820.61</v>
      </c>
      <c r="N1270" s="116">
        <v>823.07500000000005</v>
      </c>
      <c r="O1270" s="116">
        <v>813.86749999999995</v>
      </c>
      <c r="P1270" s="116">
        <v>816.4</v>
      </c>
      <c r="Q1270" s="116">
        <v>16412.2</v>
      </c>
      <c r="R1270">
        <v>151228</v>
      </c>
    </row>
    <row r="1271" spans="1:18" x14ac:dyDescent="0.25">
      <c r="A1271" s="170">
        <v>43875</v>
      </c>
      <c r="B1271" s="116">
        <v>837.67250000000001</v>
      </c>
      <c r="C1271" s="116">
        <v>817.53750000000002</v>
      </c>
      <c r="D1271" s="116">
        <v>812.32500000000005</v>
      </c>
      <c r="E1271" s="116">
        <v>826</v>
      </c>
      <c r="F1271" s="116">
        <v>16350.75</v>
      </c>
      <c r="G1271">
        <v>5972</v>
      </c>
      <c r="H1271" s="116"/>
      <c r="I1271" s="116"/>
      <c r="L1271" s="170">
        <v>43875</v>
      </c>
      <c r="M1271" s="116">
        <v>817.82249999999999</v>
      </c>
      <c r="N1271" s="116">
        <v>839.12</v>
      </c>
      <c r="O1271" s="116">
        <v>812.5</v>
      </c>
      <c r="P1271" s="116">
        <v>825</v>
      </c>
      <c r="Q1271" s="116">
        <v>16356.45</v>
      </c>
      <c r="R1271">
        <v>165708</v>
      </c>
    </row>
    <row r="1272" spans="1:18" x14ac:dyDescent="0.25">
      <c r="A1272" s="170">
        <v>43878</v>
      </c>
      <c r="B1272" s="116">
        <v>831.58500000000004</v>
      </c>
      <c r="C1272" s="116">
        <v>828.74</v>
      </c>
      <c r="D1272" s="116">
        <v>818.51250000000005</v>
      </c>
      <c r="E1272" s="116">
        <v>820</v>
      </c>
      <c r="F1272" s="116">
        <v>16574.8</v>
      </c>
      <c r="G1272">
        <v>9955</v>
      </c>
      <c r="H1272" s="116"/>
      <c r="I1272" s="116"/>
      <c r="L1272" s="170">
        <v>43878</v>
      </c>
      <c r="M1272" s="116">
        <v>829.42250000000001</v>
      </c>
      <c r="N1272" s="116">
        <v>830.75</v>
      </c>
      <c r="O1272" s="116">
        <v>818.65</v>
      </c>
      <c r="P1272" s="116">
        <v>820.65</v>
      </c>
      <c r="Q1272" s="116">
        <v>16588.45</v>
      </c>
      <c r="R1272">
        <v>139788</v>
      </c>
    </row>
    <row r="1273" spans="1:18" x14ac:dyDescent="0.25">
      <c r="A1273" s="170">
        <v>43879</v>
      </c>
      <c r="B1273" s="116">
        <v>828.25</v>
      </c>
      <c r="C1273" s="116">
        <v>820.04</v>
      </c>
      <c r="D1273" s="116">
        <v>818.75</v>
      </c>
      <c r="E1273" s="116">
        <v>827.75</v>
      </c>
      <c r="F1273" s="116">
        <v>16400.8</v>
      </c>
      <c r="G1273">
        <v>2500</v>
      </c>
      <c r="H1273" s="116"/>
      <c r="I1273" s="116"/>
      <c r="L1273" s="170">
        <v>43879</v>
      </c>
      <c r="M1273" s="116">
        <v>820.1925</v>
      </c>
      <c r="N1273" s="116">
        <v>828.495</v>
      </c>
      <c r="O1273" s="116">
        <v>819.25250000000005</v>
      </c>
      <c r="P1273" s="116">
        <v>828.495</v>
      </c>
      <c r="Q1273" s="116">
        <v>16403.849999999999</v>
      </c>
      <c r="R1273">
        <v>90013</v>
      </c>
    </row>
    <row r="1274" spans="1:18" x14ac:dyDescent="0.25">
      <c r="A1274" s="170">
        <v>43880</v>
      </c>
      <c r="B1274" s="116">
        <v>841.97749999999996</v>
      </c>
      <c r="C1274" s="116">
        <v>838.79750000000001</v>
      </c>
      <c r="D1274" s="116">
        <v>824.46</v>
      </c>
      <c r="E1274" s="116">
        <v>825.3</v>
      </c>
      <c r="F1274" s="116">
        <v>16775.95</v>
      </c>
      <c r="G1274">
        <v>2958</v>
      </c>
      <c r="H1274" s="116"/>
      <c r="I1274" s="116"/>
      <c r="L1274" s="170">
        <v>43880</v>
      </c>
      <c r="M1274" s="116">
        <v>839.25250000000005</v>
      </c>
      <c r="N1274" s="116">
        <v>841.57500000000005</v>
      </c>
      <c r="O1274" s="116">
        <v>823.79</v>
      </c>
      <c r="P1274" s="116">
        <v>826.93</v>
      </c>
      <c r="Q1274" s="116">
        <v>16785.05</v>
      </c>
      <c r="R1274">
        <v>95000</v>
      </c>
    </row>
    <row r="1275" spans="1:18" x14ac:dyDescent="0.25">
      <c r="A1275" s="170">
        <v>43881</v>
      </c>
      <c r="B1275" s="116">
        <v>838.74249999999995</v>
      </c>
      <c r="C1275" s="116">
        <v>827.20500000000004</v>
      </c>
      <c r="D1275" s="116">
        <v>825.76499999999999</v>
      </c>
      <c r="E1275" s="116">
        <v>838.74249999999995</v>
      </c>
      <c r="F1275" s="116">
        <v>16544.099999999999</v>
      </c>
      <c r="G1275">
        <v>2556</v>
      </c>
      <c r="H1275" s="116"/>
      <c r="I1275" s="116"/>
      <c r="L1275" s="170">
        <v>43881</v>
      </c>
      <c r="M1275" s="116">
        <v>826.97500000000002</v>
      </c>
      <c r="N1275" s="116">
        <v>837</v>
      </c>
      <c r="O1275" s="116">
        <v>826.27</v>
      </c>
      <c r="P1275" s="116">
        <v>837</v>
      </c>
      <c r="Q1275" s="116">
        <v>16539.5</v>
      </c>
      <c r="R1275">
        <v>65732</v>
      </c>
    </row>
    <row r="1276" spans="1:18" x14ac:dyDescent="0.25">
      <c r="A1276" s="170">
        <v>43885</v>
      </c>
      <c r="B1276" s="116">
        <v>827.45</v>
      </c>
      <c r="C1276" s="116">
        <v>817.005</v>
      </c>
      <c r="D1276" s="116">
        <v>815.27250000000004</v>
      </c>
      <c r="E1276" s="116">
        <v>825</v>
      </c>
      <c r="F1276" s="116">
        <v>16340.1</v>
      </c>
      <c r="G1276">
        <v>2796</v>
      </c>
      <c r="H1276" s="116"/>
      <c r="I1276" s="116"/>
      <c r="L1276" s="170">
        <v>43885</v>
      </c>
      <c r="M1276" s="116">
        <v>816.86249999999995</v>
      </c>
      <c r="N1276" s="116">
        <v>828.83749999999998</v>
      </c>
      <c r="O1276" s="116">
        <v>815.85</v>
      </c>
      <c r="P1276" s="116">
        <v>824.95</v>
      </c>
      <c r="Q1276" s="116">
        <v>16337.25</v>
      </c>
      <c r="R1276">
        <v>66516</v>
      </c>
    </row>
    <row r="1277" spans="1:18" x14ac:dyDescent="0.25">
      <c r="A1277" s="170">
        <v>43886</v>
      </c>
      <c r="B1277" s="116">
        <v>826.62</v>
      </c>
      <c r="C1277" s="116">
        <v>818.32</v>
      </c>
      <c r="D1277" s="116">
        <v>815.6</v>
      </c>
      <c r="E1277" s="116">
        <v>817.06</v>
      </c>
      <c r="F1277" s="116">
        <v>16366.4</v>
      </c>
      <c r="G1277">
        <v>1273</v>
      </c>
      <c r="H1277" s="116"/>
      <c r="I1277" s="116"/>
      <c r="L1277" s="170">
        <v>43886</v>
      </c>
      <c r="M1277" s="116">
        <v>819.02499999999998</v>
      </c>
      <c r="N1277" s="116">
        <v>827.04250000000002</v>
      </c>
      <c r="O1277" s="116">
        <v>815.46749999999997</v>
      </c>
      <c r="P1277" s="116">
        <v>818.65</v>
      </c>
      <c r="Q1277" s="116">
        <v>16380.5</v>
      </c>
      <c r="R1277">
        <v>90916</v>
      </c>
    </row>
    <row r="1278" spans="1:18" x14ac:dyDescent="0.25">
      <c r="A1278" s="170">
        <v>43887</v>
      </c>
      <c r="B1278" s="116">
        <v>824.77750000000003</v>
      </c>
      <c r="C1278" s="116">
        <v>813.00250000000005</v>
      </c>
      <c r="D1278" s="116">
        <v>807.75</v>
      </c>
      <c r="E1278" s="116">
        <v>821.755</v>
      </c>
      <c r="F1278" s="116">
        <v>16260.05</v>
      </c>
      <c r="G1278">
        <v>2668</v>
      </c>
      <c r="H1278" s="116"/>
      <c r="I1278" s="116"/>
      <c r="L1278" s="170">
        <v>43887</v>
      </c>
      <c r="M1278" s="116">
        <v>812.00750000000005</v>
      </c>
      <c r="N1278" s="116">
        <v>827.25</v>
      </c>
      <c r="O1278" s="116">
        <v>807.50250000000005</v>
      </c>
      <c r="P1278" s="116">
        <v>827.25</v>
      </c>
      <c r="Q1278" s="116">
        <v>16240.15</v>
      </c>
      <c r="R1278">
        <v>116839</v>
      </c>
    </row>
    <row r="1279" spans="1:18" x14ac:dyDescent="0.25">
      <c r="A1279" s="170">
        <v>43888</v>
      </c>
      <c r="B1279" s="116">
        <v>817</v>
      </c>
      <c r="C1279" s="116">
        <v>813.07749999999999</v>
      </c>
      <c r="D1279" s="116">
        <v>802.5</v>
      </c>
      <c r="E1279" s="116">
        <v>816.6</v>
      </c>
      <c r="F1279" s="116">
        <v>16261.55</v>
      </c>
      <c r="G1279">
        <v>10973</v>
      </c>
      <c r="H1279" s="116"/>
      <c r="I1279" s="116"/>
      <c r="L1279" s="170">
        <v>43888</v>
      </c>
      <c r="M1279" s="116">
        <v>813.1875</v>
      </c>
      <c r="N1279" s="116">
        <v>817.04250000000002</v>
      </c>
      <c r="O1279" s="116">
        <v>802.875</v>
      </c>
      <c r="P1279" s="116">
        <v>815</v>
      </c>
      <c r="Q1279" s="116">
        <v>16263.75</v>
      </c>
      <c r="R1279">
        <v>90199</v>
      </c>
    </row>
    <row r="1280" spans="1:18" x14ac:dyDescent="0.25">
      <c r="A1280" s="170">
        <v>43889</v>
      </c>
      <c r="B1280" s="116">
        <v>805.95</v>
      </c>
      <c r="C1280" s="116">
        <v>788.52750000000003</v>
      </c>
      <c r="D1280" s="116">
        <v>784</v>
      </c>
      <c r="E1280" s="116">
        <v>805</v>
      </c>
      <c r="F1280" s="116">
        <v>15770.55</v>
      </c>
      <c r="G1280">
        <v>6051</v>
      </c>
      <c r="H1280" s="116"/>
      <c r="I1280" s="116"/>
      <c r="L1280" s="170">
        <v>43889</v>
      </c>
      <c r="M1280" s="116">
        <v>788.9425</v>
      </c>
      <c r="N1280" s="116">
        <v>806.45249999999999</v>
      </c>
      <c r="O1280" s="116">
        <v>784</v>
      </c>
      <c r="P1280" s="116">
        <v>802.1</v>
      </c>
      <c r="Q1280" s="116">
        <v>15778.85</v>
      </c>
      <c r="R1280">
        <v>140673</v>
      </c>
    </row>
    <row r="1281" spans="1:18" x14ac:dyDescent="0.25">
      <c r="A1281" s="170">
        <v>43892</v>
      </c>
      <c r="B1281" s="116">
        <v>815.8075</v>
      </c>
      <c r="C1281" s="116">
        <v>805.98749999999995</v>
      </c>
      <c r="D1281" s="116">
        <v>793.56</v>
      </c>
      <c r="E1281" s="116">
        <v>795</v>
      </c>
      <c r="F1281" s="116">
        <v>16119.75</v>
      </c>
      <c r="G1281">
        <v>5105</v>
      </c>
      <c r="H1281" s="116"/>
      <c r="I1281" s="116"/>
      <c r="L1281" s="170">
        <v>43892</v>
      </c>
      <c r="M1281" s="116">
        <v>805.49749999999995</v>
      </c>
      <c r="N1281" s="116">
        <v>815.75</v>
      </c>
      <c r="O1281" s="116">
        <v>795.05</v>
      </c>
      <c r="P1281" s="116">
        <v>797.5</v>
      </c>
      <c r="Q1281" s="116">
        <v>16109.95</v>
      </c>
      <c r="R1281">
        <v>117232</v>
      </c>
    </row>
    <row r="1282" spans="1:18" x14ac:dyDescent="0.25">
      <c r="A1282" s="170">
        <v>43893</v>
      </c>
      <c r="B1282" s="116">
        <v>824.74</v>
      </c>
      <c r="C1282" s="116">
        <v>817.71249999999998</v>
      </c>
      <c r="D1282" s="116">
        <v>807.93499999999995</v>
      </c>
      <c r="E1282" s="116">
        <v>809.5</v>
      </c>
      <c r="F1282" s="116">
        <v>16354.25</v>
      </c>
      <c r="G1282">
        <v>4981</v>
      </c>
      <c r="H1282" s="116"/>
      <c r="I1282" s="116"/>
      <c r="L1282" s="170">
        <v>43893</v>
      </c>
      <c r="M1282" s="116">
        <v>817.97</v>
      </c>
      <c r="N1282" s="116">
        <v>824.95</v>
      </c>
      <c r="O1282" s="116">
        <v>806.51250000000005</v>
      </c>
      <c r="P1282" s="116">
        <v>806.51250000000005</v>
      </c>
      <c r="Q1282" s="116">
        <v>16359.4</v>
      </c>
      <c r="R1282">
        <v>93372</v>
      </c>
    </row>
    <row r="1283" spans="1:18" x14ac:dyDescent="0.25">
      <c r="A1283" s="170">
        <v>43894</v>
      </c>
      <c r="B1283" s="116">
        <v>831.34500000000003</v>
      </c>
      <c r="C1283" s="116">
        <v>826.90250000000003</v>
      </c>
      <c r="D1283" s="116">
        <v>801.34249999999997</v>
      </c>
      <c r="E1283" s="116">
        <v>818</v>
      </c>
      <c r="F1283" s="116">
        <v>16538.05</v>
      </c>
      <c r="G1283">
        <v>2789</v>
      </c>
      <c r="H1283" s="116"/>
      <c r="I1283" s="116"/>
      <c r="L1283" s="170">
        <v>43894</v>
      </c>
      <c r="M1283" s="116">
        <v>827.07500000000005</v>
      </c>
      <c r="N1283" s="116">
        <v>831.625</v>
      </c>
      <c r="O1283" s="116">
        <v>801</v>
      </c>
      <c r="P1283" s="116">
        <v>819.85</v>
      </c>
      <c r="Q1283" s="116">
        <v>16541.5</v>
      </c>
      <c r="R1283">
        <v>111711</v>
      </c>
    </row>
    <row r="1284" spans="1:18" x14ac:dyDescent="0.25">
      <c r="A1284" s="170">
        <v>43895</v>
      </c>
      <c r="B1284" s="116">
        <v>841.7</v>
      </c>
      <c r="C1284" s="116">
        <v>828.41</v>
      </c>
      <c r="D1284" s="116">
        <v>824.22500000000002</v>
      </c>
      <c r="E1284" s="116">
        <v>828.35</v>
      </c>
      <c r="F1284" s="116">
        <v>16568.2</v>
      </c>
      <c r="G1284">
        <v>2476</v>
      </c>
      <c r="H1284" s="116"/>
      <c r="I1284" s="116"/>
      <c r="L1284" s="170">
        <v>43895</v>
      </c>
      <c r="M1284" s="116">
        <v>828.81500000000005</v>
      </c>
      <c r="N1284" s="116">
        <v>841.75750000000005</v>
      </c>
      <c r="O1284" s="116">
        <v>824.125</v>
      </c>
      <c r="P1284" s="116">
        <v>827.5</v>
      </c>
      <c r="Q1284" s="116">
        <v>16576.3</v>
      </c>
      <c r="R1284">
        <v>85090</v>
      </c>
    </row>
    <row r="1285" spans="1:18" x14ac:dyDescent="0.25">
      <c r="A1285" s="170">
        <v>43896</v>
      </c>
      <c r="B1285" s="116">
        <v>827.44749999999999</v>
      </c>
      <c r="C1285" s="116">
        <v>821.34500000000003</v>
      </c>
      <c r="D1285" s="116">
        <v>812.2</v>
      </c>
      <c r="E1285" s="116">
        <v>823.5</v>
      </c>
      <c r="F1285" s="116">
        <v>16426.900000000001</v>
      </c>
      <c r="G1285">
        <v>2458</v>
      </c>
      <c r="H1285" s="116"/>
      <c r="I1285" s="116"/>
      <c r="L1285" s="170">
        <v>43896</v>
      </c>
      <c r="M1285" s="116">
        <v>821.46500000000003</v>
      </c>
      <c r="N1285" s="116">
        <v>828.27750000000003</v>
      </c>
      <c r="O1285" s="116">
        <v>810.005</v>
      </c>
      <c r="P1285" s="116">
        <v>817.90499999999997</v>
      </c>
      <c r="Q1285" s="116">
        <v>16429.3</v>
      </c>
      <c r="R1285">
        <v>86212</v>
      </c>
    </row>
    <row r="1286" spans="1:18" x14ac:dyDescent="0.25">
      <c r="A1286" s="170">
        <v>43899</v>
      </c>
      <c r="B1286" s="116">
        <v>817.63499999999999</v>
      </c>
      <c r="C1286" s="116">
        <v>802.72</v>
      </c>
      <c r="D1286" s="116">
        <v>785.85</v>
      </c>
      <c r="E1286" s="116">
        <v>815.05</v>
      </c>
      <c r="F1286" s="116">
        <v>16054.4</v>
      </c>
      <c r="G1286">
        <v>4522</v>
      </c>
      <c r="H1286" s="116"/>
      <c r="I1286" s="116"/>
      <c r="L1286" s="170">
        <v>43899</v>
      </c>
      <c r="M1286" s="116">
        <v>801.5675</v>
      </c>
      <c r="N1286" s="116">
        <v>817.5</v>
      </c>
      <c r="O1286" s="116">
        <v>785.05499999999995</v>
      </c>
      <c r="P1286" s="116">
        <v>812.46500000000003</v>
      </c>
      <c r="Q1286" s="116">
        <v>16031.35</v>
      </c>
      <c r="R1286">
        <v>123684</v>
      </c>
    </row>
    <row r="1287" spans="1:18" x14ac:dyDescent="0.25">
      <c r="A1287" s="170">
        <v>43901</v>
      </c>
      <c r="B1287" s="116">
        <v>811.01499999999999</v>
      </c>
      <c r="C1287" s="116">
        <v>802.8075</v>
      </c>
      <c r="D1287" s="116">
        <v>789.255</v>
      </c>
      <c r="E1287" s="116">
        <v>802.5</v>
      </c>
      <c r="F1287" s="116">
        <v>16056.15</v>
      </c>
      <c r="G1287">
        <v>2168</v>
      </c>
      <c r="H1287" s="116"/>
      <c r="I1287" s="116"/>
      <c r="L1287" s="170">
        <v>43901</v>
      </c>
      <c r="M1287" s="116">
        <v>802.42750000000001</v>
      </c>
      <c r="N1287" s="116">
        <v>810</v>
      </c>
      <c r="O1287" s="116">
        <v>788.64</v>
      </c>
      <c r="P1287" s="116">
        <v>800.25750000000005</v>
      </c>
      <c r="Q1287" s="116">
        <v>16048.55</v>
      </c>
      <c r="R1287">
        <v>123732</v>
      </c>
    </row>
    <row r="1288" spans="1:18" x14ac:dyDescent="0.25">
      <c r="A1288" s="170">
        <v>43902</v>
      </c>
      <c r="B1288" s="116">
        <v>793.69</v>
      </c>
      <c r="C1288" s="116">
        <v>780.97</v>
      </c>
      <c r="D1288" s="116">
        <v>752.21749999999997</v>
      </c>
      <c r="E1288" s="116">
        <v>791.11249999999995</v>
      </c>
      <c r="F1288" s="116">
        <v>15619.4</v>
      </c>
      <c r="G1288">
        <v>7632</v>
      </c>
      <c r="H1288" s="116"/>
      <c r="I1288" s="116"/>
      <c r="L1288" s="170">
        <v>43902</v>
      </c>
      <c r="M1288" s="116">
        <v>778.27750000000003</v>
      </c>
      <c r="N1288" s="116">
        <v>794.13750000000005</v>
      </c>
      <c r="O1288" s="116">
        <v>752.25</v>
      </c>
      <c r="P1288" s="116">
        <v>793.47249999999997</v>
      </c>
      <c r="Q1288" s="116">
        <v>15565.55</v>
      </c>
      <c r="R1288">
        <v>222866</v>
      </c>
    </row>
    <row r="1289" spans="1:18" x14ac:dyDescent="0.25">
      <c r="A1289" s="170">
        <v>43903</v>
      </c>
      <c r="B1289" s="116">
        <v>784.13499999999999</v>
      </c>
      <c r="C1289" s="116">
        <v>748.79</v>
      </c>
      <c r="D1289" s="116">
        <v>705</v>
      </c>
      <c r="E1289" s="116">
        <v>780</v>
      </c>
      <c r="F1289" s="116">
        <v>14975.8</v>
      </c>
      <c r="G1289">
        <v>9688</v>
      </c>
      <c r="H1289" s="116"/>
      <c r="I1289" s="116"/>
      <c r="L1289" s="170">
        <v>43903</v>
      </c>
      <c r="M1289" s="116">
        <v>749.59</v>
      </c>
      <c r="N1289" s="116">
        <v>792.75</v>
      </c>
      <c r="O1289" s="116">
        <v>702.5</v>
      </c>
      <c r="P1289" s="116">
        <v>767.05</v>
      </c>
      <c r="Q1289" s="116">
        <v>14991.8</v>
      </c>
      <c r="R1289">
        <v>261670</v>
      </c>
    </row>
    <row r="1290" spans="1:18" x14ac:dyDescent="0.25">
      <c r="A1290" s="170">
        <v>43906</v>
      </c>
      <c r="B1290" s="116">
        <v>772.5</v>
      </c>
      <c r="C1290" s="116">
        <v>717.65499999999997</v>
      </c>
      <c r="D1290" s="116">
        <v>675</v>
      </c>
      <c r="E1290" s="116">
        <v>750</v>
      </c>
      <c r="F1290" s="116">
        <v>14353.1</v>
      </c>
      <c r="G1290">
        <v>8487</v>
      </c>
      <c r="H1290" s="116"/>
      <c r="I1290" s="116"/>
      <c r="L1290" s="170">
        <v>43906</v>
      </c>
      <c r="M1290" s="116">
        <v>719.86</v>
      </c>
      <c r="N1290" s="116">
        <v>746.55250000000001</v>
      </c>
      <c r="O1290" s="116">
        <v>674.63250000000005</v>
      </c>
      <c r="P1290" s="116">
        <v>740</v>
      </c>
      <c r="Q1290" s="116">
        <v>14397.2</v>
      </c>
      <c r="R1290">
        <v>221228</v>
      </c>
    </row>
    <row r="1291" spans="1:18" x14ac:dyDescent="0.25">
      <c r="A1291" s="170">
        <v>43907</v>
      </c>
      <c r="B1291" s="116">
        <v>742.45</v>
      </c>
      <c r="C1291" s="116">
        <v>727.07500000000005</v>
      </c>
      <c r="D1291" s="116">
        <v>713.5625</v>
      </c>
      <c r="E1291" s="116">
        <v>734.7</v>
      </c>
      <c r="F1291" s="116">
        <v>14541.5</v>
      </c>
      <c r="G1291">
        <v>6061</v>
      </c>
      <c r="H1291" s="116"/>
      <c r="I1291" s="116"/>
      <c r="L1291" s="170">
        <v>43907</v>
      </c>
      <c r="M1291" s="116">
        <v>727.05</v>
      </c>
      <c r="N1291" s="116">
        <v>738.85</v>
      </c>
      <c r="O1291" s="116">
        <v>712.5</v>
      </c>
      <c r="P1291" s="116">
        <v>725</v>
      </c>
      <c r="Q1291" s="116">
        <v>14541</v>
      </c>
      <c r="R1291">
        <v>176980</v>
      </c>
    </row>
    <row r="1292" spans="1:18" x14ac:dyDescent="0.25">
      <c r="A1292" s="170">
        <v>43908</v>
      </c>
      <c r="B1292" s="116">
        <v>730.32</v>
      </c>
      <c r="C1292" s="116">
        <v>675.67</v>
      </c>
      <c r="D1292" s="116">
        <v>669.53250000000003</v>
      </c>
      <c r="E1292" s="116">
        <v>727</v>
      </c>
      <c r="F1292" s="116">
        <v>13513.4</v>
      </c>
      <c r="G1292">
        <v>24933</v>
      </c>
      <c r="H1292" s="116"/>
      <c r="I1292" s="116"/>
      <c r="L1292" s="170">
        <v>43908</v>
      </c>
      <c r="M1292" s="116">
        <v>676.84</v>
      </c>
      <c r="N1292" s="116">
        <v>736.9</v>
      </c>
      <c r="O1292" s="116">
        <v>670</v>
      </c>
      <c r="P1292" s="116">
        <v>727.5</v>
      </c>
      <c r="Q1292" s="116">
        <v>13536.8</v>
      </c>
      <c r="R1292">
        <v>212942</v>
      </c>
    </row>
    <row r="1293" spans="1:18" x14ac:dyDescent="0.25">
      <c r="A1293" s="170">
        <v>43909</v>
      </c>
      <c r="B1293" s="116">
        <v>673.2</v>
      </c>
      <c r="C1293" s="116">
        <v>655.4325</v>
      </c>
      <c r="D1293" s="116">
        <v>629.44749999999999</v>
      </c>
      <c r="E1293" s="116">
        <v>670</v>
      </c>
      <c r="F1293" s="116">
        <v>13108.65</v>
      </c>
      <c r="G1293">
        <v>8600</v>
      </c>
      <c r="H1293" s="116"/>
      <c r="I1293" s="116"/>
      <c r="L1293" s="170">
        <v>43909</v>
      </c>
      <c r="M1293" s="116">
        <v>656.01499999999999</v>
      </c>
      <c r="N1293" s="116">
        <v>672.42</v>
      </c>
      <c r="O1293" s="116">
        <v>628.85249999999996</v>
      </c>
      <c r="P1293" s="116">
        <v>650.02499999999998</v>
      </c>
      <c r="Q1293" s="116">
        <v>13120.3</v>
      </c>
      <c r="R1293">
        <v>214710</v>
      </c>
    </row>
    <row r="1294" spans="1:18" x14ac:dyDescent="0.25">
      <c r="A1294" s="170">
        <v>43910</v>
      </c>
      <c r="B1294" s="116">
        <v>721.29750000000001</v>
      </c>
      <c r="C1294" s="116">
        <v>707.4425</v>
      </c>
      <c r="D1294" s="116">
        <v>660.31</v>
      </c>
      <c r="E1294" s="116">
        <v>671.5</v>
      </c>
      <c r="F1294" s="116">
        <v>14148.85</v>
      </c>
      <c r="G1294">
        <v>7765</v>
      </c>
      <c r="H1294" s="116"/>
      <c r="I1294" s="116"/>
      <c r="L1294" s="170">
        <v>43910</v>
      </c>
      <c r="M1294" s="116">
        <v>707.27499999999998</v>
      </c>
      <c r="N1294" s="116">
        <v>721.65499999999997</v>
      </c>
      <c r="O1294" s="116">
        <v>657.5</v>
      </c>
      <c r="P1294" s="116">
        <v>659.9</v>
      </c>
      <c r="Q1294" s="116">
        <v>14145.5</v>
      </c>
      <c r="R1294">
        <v>204925</v>
      </c>
    </row>
    <row r="1295" spans="1:18" x14ac:dyDescent="0.25">
      <c r="A1295" s="170">
        <v>43913</v>
      </c>
      <c r="B1295" s="116">
        <v>687.5</v>
      </c>
      <c r="C1295" s="116">
        <v>646.745</v>
      </c>
      <c r="D1295" s="116">
        <v>639</v>
      </c>
      <c r="E1295" s="116">
        <v>664.99749999999995</v>
      </c>
      <c r="F1295" s="116">
        <v>12934.9</v>
      </c>
      <c r="G1295">
        <v>8625</v>
      </c>
      <c r="H1295" s="116"/>
      <c r="I1295" s="116"/>
      <c r="L1295" s="170">
        <v>43913</v>
      </c>
      <c r="M1295" s="116">
        <v>647.23249999999996</v>
      </c>
      <c r="N1295" s="116">
        <v>699.99</v>
      </c>
      <c r="O1295" s="116">
        <v>637.50250000000005</v>
      </c>
      <c r="P1295" s="116">
        <v>637.52</v>
      </c>
      <c r="Q1295" s="116">
        <v>12944.65</v>
      </c>
      <c r="R1295">
        <v>195927</v>
      </c>
    </row>
    <row r="1296" spans="1:18" x14ac:dyDescent="0.25">
      <c r="A1296" s="170">
        <v>43914</v>
      </c>
      <c r="B1296" s="116">
        <v>703.75</v>
      </c>
      <c r="C1296" s="116">
        <v>677.77</v>
      </c>
      <c r="D1296" s="116">
        <v>642.5</v>
      </c>
      <c r="E1296" s="116">
        <v>660.5</v>
      </c>
      <c r="F1296" s="116">
        <v>13555.4</v>
      </c>
      <c r="G1296">
        <v>6306</v>
      </c>
      <c r="H1296" s="116"/>
      <c r="I1296" s="116"/>
      <c r="L1296" s="170">
        <v>43914</v>
      </c>
      <c r="M1296" s="116">
        <v>673.91750000000002</v>
      </c>
      <c r="N1296" s="116">
        <v>694.45</v>
      </c>
      <c r="O1296" s="116">
        <v>610</v>
      </c>
      <c r="P1296" s="116">
        <v>694.45</v>
      </c>
      <c r="Q1296" s="116">
        <v>13478.35</v>
      </c>
      <c r="R1296">
        <v>258686</v>
      </c>
    </row>
    <row r="1297" spans="1:18" x14ac:dyDescent="0.25">
      <c r="A1297" s="170">
        <v>43915</v>
      </c>
      <c r="B1297" s="116">
        <v>725</v>
      </c>
      <c r="C1297" s="116">
        <v>721.58500000000004</v>
      </c>
      <c r="D1297" s="116">
        <v>650</v>
      </c>
      <c r="E1297" s="116">
        <v>650</v>
      </c>
      <c r="F1297" s="116">
        <v>14431.7</v>
      </c>
      <c r="G1297">
        <v>4192</v>
      </c>
      <c r="H1297" s="116"/>
      <c r="I1297" s="116"/>
      <c r="L1297" s="170">
        <v>43915</v>
      </c>
      <c r="M1297" s="116">
        <v>722.20500000000004</v>
      </c>
      <c r="N1297" s="116">
        <v>726</v>
      </c>
      <c r="O1297" s="116">
        <v>640</v>
      </c>
      <c r="P1297" s="116">
        <v>640</v>
      </c>
      <c r="Q1297" s="116">
        <v>14444.1</v>
      </c>
      <c r="R1297">
        <v>198759</v>
      </c>
    </row>
    <row r="1298" spans="1:18" x14ac:dyDescent="0.25">
      <c r="A1298" s="170">
        <v>43916</v>
      </c>
      <c r="B1298" s="116">
        <v>782.12750000000005</v>
      </c>
      <c r="C1298" s="116">
        <v>751.78499999999997</v>
      </c>
      <c r="D1298" s="116">
        <v>702.97500000000002</v>
      </c>
      <c r="E1298" s="116">
        <v>744.5</v>
      </c>
      <c r="F1298" s="116">
        <v>15035.7</v>
      </c>
      <c r="G1298">
        <v>3829</v>
      </c>
      <c r="H1298" s="116"/>
      <c r="I1298" s="116"/>
      <c r="L1298" s="170">
        <v>43916</v>
      </c>
      <c r="M1298" s="116">
        <v>745.98249999999996</v>
      </c>
      <c r="N1298" s="116">
        <v>755</v>
      </c>
      <c r="O1298" s="116">
        <v>702.57749999999999</v>
      </c>
      <c r="P1298" s="116">
        <v>734.98500000000001</v>
      </c>
      <c r="Q1298" s="116">
        <v>14919.65</v>
      </c>
      <c r="R1298">
        <v>205344</v>
      </c>
    </row>
    <row r="1299" spans="1:18" x14ac:dyDescent="0.25">
      <c r="A1299" s="170">
        <v>43917</v>
      </c>
      <c r="B1299" s="116">
        <v>775.48749999999995</v>
      </c>
      <c r="C1299" s="116">
        <v>754.54750000000001</v>
      </c>
      <c r="D1299" s="116">
        <v>741.1925</v>
      </c>
      <c r="E1299" s="116">
        <v>775</v>
      </c>
      <c r="F1299" s="116">
        <v>15090.95</v>
      </c>
      <c r="G1299">
        <v>5481</v>
      </c>
      <c r="H1299" s="116"/>
      <c r="I1299" s="116"/>
      <c r="L1299" s="170">
        <v>43917</v>
      </c>
      <c r="M1299" s="116">
        <v>755.43</v>
      </c>
      <c r="N1299" s="116">
        <v>776.7</v>
      </c>
      <c r="O1299" s="116">
        <v>740</v>
      </c>
      <c r="P1299" s="116">
        <v>770</v>
      </c>
      <c r="Q1299" s="116">
        <v>15108.6</v>
      </c>
      <c r="R1299">
        <v>175247</v>
      </c>
    </row>
    <row r="1300" spans="1:18" x14ac:dyDescent="0.25">
      <c r="A1300" s="170">
        <v>43920</v>
      </c>
      <c r="B1300" s="116">
        <v>793.06500000000005</v>
      </c>
      <c r="C1300" s="116">
        <v>784.1925</v>
      </c>
      <c r="D1300" s="116">
        <v>737.78250000000003</v>
      </c>
      <c r="E1300" s="116">
        <v>755.5</v>
      </c>
      <c r="F1300" s="116">
        <v>15683.85</v>
      </c>
      <c r="G1300">
        <v>4156</v>
      </c>
      <c r="H1300" s="116"/>
      <c r="I1300" s="116"/>
      <c r="L1300" s="170">
        <v>43920</v>
      </c>
      <c r="M1300" s="116">
        <v>782.9325</v>
      </c>
      <c r="N1300" s="116">
        <v>794.5</v>
      </c>
      <c r="O1300" s="116">
        <v>734.38499999999999</v>
      </c>
      <c r="P1300" s="116">
        <v>749.5</v>
      </c>
      <c r="Q1300" s="116">
        <v>15658.65</v>
      </c>
      <c r="R1300">
        <v>201470</v>
      </c>
    </row>
    <row r="1301" spans="1:18" x14ac:dyDescent="0.25">
      <c r="A1301" s="170">
        <v>43921</v>
      </c>
      <c r="B1301" s="116">
        <v>821.03</v>
      </c>
      <c r="C1301" s="116">
        <v>815.12</v>
      </c>
      <c r="D1301" s="116">
        <v>786.32249999999999</v>
      </c>
      <c r="E1301" s="116">
        <v>792.5</v>
      </c>
      <c r="F1301" s="116">
        <v>16302.4</v>
      </c>
      <c r="G1301">
        <v>3007</v>
      </c>
      <c r="H1301" s="116"/>
      <c r="I1301" s="116"/>
      <c r="L1301" s="170">
        <v>43921</v>
      </c>
      <c r="M1301" s="116">
        <v>815.03</v>
      </c>
      <c r="N1301" s="116">
        <v>821.24749999999995</v>
      </c>
      <c r="O1301" s="116">
        <v>785.0625</v>
      </c>
      <c r="P1301" s="116">
        <v>792.45</v>
      </c>
      <c r="Q1301" s="116">
        <v>16300.6</v>
      </c>
      <c r="R1301">
        <v>183919</v>
      </c>
    </row>
    <row r="1302" spans="1:18" x14ac:dyDescent="0.25">
      <c r="A1302" s="170">
        <v>43922</v>
      </c>
      <c r="B1302" s="116">
        <v>822.9375</v>
      </c>
      <c r="C1302" s="116">
        <v>783.43499999999995</v>
      </c>
      <c r="D1302" s="116">
        <v>775.24249999999995</v>
      </c>
      <c r="E1302" s="116">
        <v>819</v>
      </c>
      <c r="F1302" s="116">
        <v>15668.7</v>
      </c>
      <c r="G1302">
        <v>2549</v>
      </c>
      <c r="H1302" s="116"/>
      <c r="I1302" s="116"/>
      <c r="L1302" s="170">
        <v>43922</v>
      </c>
      <c r="M1302" s="116">
        <v>782.72749999999996</v>
      </c>
      <c r="N1302" s="116">
        <v>822.8</v>
      </c>
      <c r="O1302" s="116">
        <v>775</v>
      </c>
      <c r="P1302" s="116">
        <v>815.01250000000005</v>
      </c>
      <c r="Q1302" s="116">
        <v>15654.55</v>
      </c>
      <c r="R1302">
        <v>127512</v>
      </c>
    </row>
    <row r="1303" spans="1:18" x14ac:dyDescent="0.25">
      <c r="A1303" s="170">
        <v>43924</v>
      </c>
      <c r="B1303" s="116">
        <v>793.09500000000003</v>
      </c>
      <c r="C1303" s="116">
        <v>757.54</v>
      </c>
      <c r="D1303" s="116">
        <v>749.45500000000004</v>
      </c>
      <c r="E1303" s="116">
        <v>785.3</v>
      </c>
      <c r="F1303" s="116">
        <v>15150.8</v>
      </c>
      <c r="G1303">
        <v>6830</v>
      </c>
      <c r="H1303" s="116"/>
      <c r="I1303" s="116"/>
      <c r="L1303" s="170">
        <v>43924</v>
      </c>
      <c r="M1303" s="116">
        <v>755.23249999999996</v>
      </c>
      <c r="N1303" s="116">
        <v>796.98500000000001</v>
      </c>
      <c r="O1303" s="116">
        <v>750.25</v>
      </c>
      <c r="P1303" s="116">
        <v>796.98500000000001</v>
      </c>
      <c r="Q1303" s="116">
        <v>15104.65</v>
      </c>
      <c r="R1303">
        <v>190780</v>
      </c>
    </row>
    <row r="1304" spans="1:18" x14ac:dyDescent="0.25">
      <c r="A1304" s="170">
        <v>43928</v>
      </c>
      <c r="B1304" s="116">
        <v>858.88750000000005</v>
      </c>
      <c r="C1304" s="116">
        <v>851.16499999999996</v>
      </c>
      <c r="D1304" s="116">
        <v>774.01750000000004</v>
      </c>
      <c r="E1304" s="116">
        <v>775</v>
      </c>
      <c r="F1304" s="116">
        <v>17023.3</v>
      </c>
      <c r="G1304">
        <v>8813</v>
      </c>
      <c r="H1304" s="116"/>
      <c r="I1304" s="116"/>
      <c r="L1304" s="170">
        <v>43928</v>
      </c>
      <c r="M1304" s="116">
        <v>851.9325</v>
      </c>
      <c r="N1304" s="116">
        <v>860</v>
      </c>
      <c r="O1304" s="116">
        <v>771.30250000000001</v>
      </c>
      <c r="P1304" s="116">
        <v>778.75</v>
      </c>
      <c r="Q1304" s="116">
        <v>17038.650000000001</v>
      </c>
      <c r="R1304">
        <v>246901</v>
      </c>
    </row>
    <row r="1305" spans="1:18" x14ac:dyDescent="0.25">
      <c r="A1305" s="170">
        <v>43929</v>
      </c>
      <c r="B1305" s="116">
        <v>876.02750000000003</v>
      </c>
      <c r="C1305" s="116">
        <v>842.41</v>
      </c>
      <c r="D1305" s="116">
        <v>828.79750000000001</v>
      </c>
      <c r="E1305" s="116">
        <v>849.9</v>
      </c>
      <c r="F1305" s="116">
        <v>16848.2</v>
      </c>
      <c r="G1305">
        <v>4200</v>
      </c>
      <c r="H1305" s="116"/>
      <c r="I1305" s="116"/>
      <c r="L1305" s="170">
        <v>43929</v>
      </c>
      <c r="M1305" s="116">
        <v>843.5625</v>
      </c>
      <c r="N1305" s="116">
        <v>877.20249999999999</v>
      </c>
      <c r="O1305" s="116">
        <v>827.77250000000004</v>
      </c>
      <c r="P1305" s="116">
        <v>832.5</v>
      </c>
      <c r="Q1305" s="116">
        <v>16871.25</v>
      </c>
      <c r="R1305">
        <v>248445</v>
      </c>
    </row>
    <row r="1306" spans="1:18" x14ac:dyDescent="0.25">
      <c r="A1306" s="170">
        <v>43930</v>
      </c>
      <c r="B1306" s="116">
        <v>875.95</v>
      </c>
      <c r="C1306" s="116">
        <v>842.19</v>
      </c>
      <c r="D1306" s="116">
        <v>829.78499999999997</v>
      </c>
      <c r="E1306" s="116">
        <v>866.3</v>
      </c>
      <c r="F1306" s="116">
        <v>16843.8</v>
      </c>
      <c r="G1306">
        <v>5835</v>
      </c>
      <c r="H1306" s="116"/>
      <c r="I1306" s="116"/>
      <c r="L1306" s="170">
        <v>43930</v>
      </c>
      <c r="M1306" s="116">
        <v>841.98500000000001</v>
      </c>
      <c r="N1306" s="116">
        <v>877.2</v>
      </c>
      <c r="O1306" s="116">
        <v>828.75</v>
      </c>
      <c r="P1306" s="116">
        <v>871.84749999999997</v>
      </c>
      <c r="Q1306" s="116">
        <v>16839.7</v>
      </c>
      <c r="R1306">
        <v>207510</v>
      </c>
    </row>
    <row r="1307" spans="1:18" x14ac:dyDescent="0.25">
      <c r="A1307" s="170">
        <v>43934</v>
      </c>
      <c r="B1307" s="116">
        <v>850</v>
      </c>
      <c r="C1307" s="116">
        <v>830.71249999999998</v>
      </c>
      <c r="D1307" s="116">
        <v>821.00250000000005</v>
      </c>
      <c r="E1307" s="116">
        <v>850</v>
      </c>
      <c r="F1307" s="116">
        <v>16614.25</v>
      </c>
      <c r="G1307">
        <v>2690</v>
      </c>
      <c r="H1307" s="116"/>
      <c r="I1307" s="116"/>
      <c r="L1307" s="170">
        <v>43934</v>
      </c>
      <c r="M1307" s="116">
        <v>829.99749999999995</v>
      </c>
      <c r="N1307" s="116">
        <v>848.7</v>
      </c>
      <c r="O1307" s="116">
        <v>816.50750000000005</v>
      </c>
      <c r="P1307" s="116">
        <v>842.25</v>
      </c>
      <c r="Q1307" s="116">
        <v>16599.95</v>
      </c>
      <c r="R1307">
        <v>83132</v>
      </c>
    </row>
    <row r="1308" spans="1:18" x14ac:dyDescent="0.25">
      <c r="A1308" s="170">
        <v>43936</v>
      </c>
      <c r="B1308" s="116">
        <v>869.19500000000005</v>
      </c>
      <c r="C1308" s="116">
        <v>866.16</v>
      </c>
      <c r="D1308" s="116">
        <v>832.95</v>
      </c>
      <c r="E1308" s="116">
        <v>832.95</v>
      </c>
      <c r="F1308" s="116">
        <v>17323.2</v>
      </c>
      <c r="G1308">
        <v>3319</v>
      </c>
      <c r="H1308" s="116"/>
      <c r="I1308" s="116"/>
      <c r="L1308" s="170">
        <v>43936</v>
      </c>
      <c r="M1308" s="116">
        <v>866.29499999999996</v>
      </c>
      <c r="N1308" s="116">
        <v>869.55</v>
      </c>
      <c r="O1308" s="116">
        <v>832.85500000000002</v>
      </c>
      <c r="P1308" s="116">
        <v>832.85500000000002</v>
      </c>
      <c r="Q1308" s="116">
        <v>17325.900000000001</v>
      </c>
      <c r="R1308">
        <v>155579</v>
      </c>
    </row>
    <row r="1309" spans="1:18" x14ac:dyDescent="0.25">
      <c r="A1309" s="170">
        <v>43937</v>
      </c>
      <c r="B1309" s="116">
        <v>899.95</v>
      </c>
      <c r="C1309" s="116">
        <v>894.24249999999995</v>
      </c>
      <c r="D1309" s="116">
        <v>856.47500000000002</v>
      </c>
      <c r="E1309" s="116">
        <v>866.01499999999999</v>
      </c>
      <c r="F1309" s="116">
        <v>17884.849999999999</v>
      </c>
      <c r="G1309">
        <v>4689</v>
      </c>
      <c r="H1309" s="116"/>
      <c r="I1309" s="116"/>
      <c r="L1309" s="170">
        <v>43937</v>
      </c>
      <c r="M1309" s="116">
        <v>894.76250000000005</v>
      </c>
      <c r="N1309" s="116">
        <v>900.08249999999998</v>
      </c>
      <c r="O1309" s="116">
        <v>852.60749999999996</v>
      </c>
      <c r="P1309" s="116">
        <v>866</v>
      </c>
      <c r="Q1309" s="116">
        <v>17895.25</v>
      </c>
      <c r="R1309">
        <v>225740</v>
      </c>
    </row>
    <row r="1310" spans="1:18" x14ac:dyDescent="0.25">
      <c r="A1310" s="170">
        <v>43938</v>
      </c>
      <c r="B1310" s="116">
        <v>915.05</v>
      </c>
      <c r="C1310" s="116">
        <v>866.10749999999996</v>
      </c>
      <c r="D1310" s="116">
        <v>861.5625</v>
      </c>
      <c r="E1310" s="116">
        <v>915.05</v>
      </c>
      <c r="F1310" s="116">
        <v>17322.150000000001</v>
      </c>
      <c r="G1310">
        <v>4499</v>
      </c>
      <c r="H1310" s="116"/>
      <c r="I1310" s="116"/>
      <c r="L1310" s="170">
        <v>43938</v>
      </c>
      <c r="M1310" s="116">
        <v>866.21500000000003</v>
      </c>
      <c r="N1310" s="116">
        <v>918.49749999999995</v>
      </c>
      <c r="O1310" s="116">
        <v>861.17</v>
      </c>
      <c r="P1310" s="116">
        <v>918.49749999999995</v>
      </c>
      <c r="Q1310" s="116">
        <v>17324.3</v>
      </c>
      <c r="R1310">
        <v>187271</v>
      </c>
    </row>
    <row r="1311" spans="1:18" x14ac:dyDescent="0.25">
      <c r="A1311" s="170">
        <v>43941</v>
      </c>
      <c r="B1311" s="116">
        <v>874.95</v>
      </c>
      <c r="C1311" s="116">
        <v>848.5575</v>
      </c>
      <c r="D1311" s="116">
        <v>845.72500000000002</v>
      </c>
      <c r="E1311" s="116">
        <v>874.95</v>
      </c>
      <c r="F1311" s="116">
        <v>16971.150000000001</v>
      </c>
      <c r="G1311">
        <v>3186</v>
      </c>
      <c r="H1311" s="116"/>
      <c r="I1311" s="116"/>
      <c r="L1311" s="170">
        <v>43941</v>
      </c>
      <c r="M1311" s="116">
        <v>848.82</v>
      </c>
      <c r="N1311" s="116">
        <v>874.49</v>
      </c>
      <c r="O1311" s="116">
        <v>846.5</v>
      </c>
      <c r="P1311" s="116">
        <v>874.49</v>
      </c>
      <c r="Q1311" s="116">
        <v>16976.400000000001</v>
      </c>
      <c r="R1311">
        <v>135197</v>
      </c>
    </row>
    <row r="1312" spans="1:18" x14ac:dyDescent="0.25">
      <c r="A1312" s="170">
        <v>43942</v>
      </c>
      <c r="B1312" s="116">
        <v>861.63499999999999</v>
      </c>
      <c r="C1312" s="116">
        <v>849.83249999999998</v>
      </c>
      <c r="D1312" s="116">
        <v>835.745</v>
      </c>
      <c r="E1312" s="116">
        <v>844.49749999999995</v>
      </c>
      <c r="F1312" s="116">
        <v>16996.650000000001</v>
      </c>
      <c r="G1312">
        <v>2313</v>
      </c>
      <c r="H1312" s="116"/>
      <c r="I1312" s="116"/>
      <c r="L1312" s="170">
        <v>43942</v>
      </c>
      <c r="M1312" s="116">
        <v>850.76750000000004</v>
      </c>
      <c r="N1312" s="116">
        <v>862</v>
      </c>
      <c r="O1312" s="116">
        <v>835</v>
      </c>
      <c r="P1312" s="116">
        <v>840</v>
      </c>
      <c r="Q1312" s="116">
        <v>17015.349999999999</v>
      </c>
      <c r="R1312">
        <v>133756</v>
      </c>
    </row>
    <row r="1313" spans="1:18" x14ac:dyDescent="0.25">
      <c r="A1313" s="170">
        <v>43943</v>
      </c>
      <c r="B1313" s="116">
        <v>884.11500000000001</v>
      </c>
      <c r="C1313" s="116">
        <v>881.9425</v>
      </c>
      <c r="D1313" s="116">
        <v>842.755</v>
      </c>
      <c r="E1313" s="116">
        <v>860</v>
      </c>
      <c r="F1313" s="116">
        <v>17638.849999999999</v>
      </c>
      <c r="G1313">
        <v>3878</v>
      </c>
      <c r="H1313" s="116"/>
      <c r="I1313" s="116"/>
      <c r="L1313" s="170">
        <v>43943</v>
      </c>
      <c r="M1313" s="116">
        <v>882.10249999999996</v>
      </c>
      <c r="N1313" s="116">
        <v>885</v>
      </c>
      <c r="O1313" s="116">
        <v>840.86</v>
      </c>
      <c r="P1313" s="116">
        <v>850.41750000000002</v>
      </c>
      <c r="Q1313" s="116">
        <v>17642.05</v>
      </c>
      <c r="R1313">
        <v>202241</v>
      </c>
    </row>
    <row r="1314" spans="1:18" x14ac:dyDescent="0.25">
      <c r="A1314" s="170">
        <v>43944</v>
      </c>
      <c r="B1314" s="116">
        <v>889.5</v>
      </c>
      <c r="C1314" s="116">
        <v>870.59749999999997</v>
      </c>
      <c r="D1314" s="116">
        <v>866.02499999999998</v>
      </c>
      <c r="E1314" s="116">
        <v>884.89750000000004</v>
      </c>
      <c r="F1314" s="116">
        <v>17411.95</v>
      </c>
      <c r="G1314">
        <v>2810</v>
      </c>
      <c r="H1314" s="116"/>
      <c r="I1314" s="116"/>
      <c r="L1314" s="170">
        <v>43944</v>
      </c>
      <c r="M1314" s="116">
        <v>871.80250000000001</v>
      </c>
      <c r="N1314" s="116">
        <v>890</v>
      </c>
      <c r="O1314" s="116">
        <v>865.3</v>
      </c>
      <c r="P1314" s="116">
        <v>879.99749999999995</v>
      </c>
      <c r="Q1314" s="116">
        <v>17436.05</v>
      </c>
      <c r="R1314">
        <v>187100</v>
      </c>
    </row>
    <row r="1315" spans="1:18" x14ac:dyDescent="0.25">
      <c r="A1315" s="170">
        <v>43945</v>
      </c>
      <c r="B1315" s="116">
        <v>890</v>
      </c>
      <c r="C1315" s="116">
        <v>868.88</v>
      </c>
      <c r="D1315" s="116">
        <v>866.39</v>
      </c>
      <c r="E1315" s="116">
        <v>867.76</v>
      </c>
      <c r="F1315" s="116">
        <v>17377.599999999999</v>
      </c>
      <c r="G1315">
        <v>2934</v>
      </c>
      <c r="H1315" s="116"/>
      <c r="I1315" s="116"/>
      <c r="L1315" s="170">
        <v>43945</v>
      </c>
      <c r="M1315" s="116">
        <v>870.30250000000001</v>
      </c>
      <c r="N1315" s="116">
        <v>890</v>
      </c>
      <c r="O1315" s="116">
        <v>865</v>
      </c>
      <c r="P1315" s="116">
        <v>865</v>
      </c>
      <c r="Q1315" s="116">
        <v>17406.05</v>
      </c>
      <c r="R1315">
        <v>145116</v>
      </c>
    </row>
    <row r="1316" spans="1:18" x14ac:dyDescent="0.25">
      <c r="A1316" s="170">
        <v>43948</v>
      </c>
      <c r="B1316" s="116">
        <v>900</v>
      </c>
      <c r="C1316" s="116">
        <v>897.68</v>
      </c>
      <c r="D1316" s="116">
        <v>870.05</v>
      </c>
      <c r="E1316" s="116">
        <v>870.05</v>
      </c>
      <c r="F1316" s="116">
        <v>17953.599999999999</v>
      </c>
      <c r="G1316">
        <v>2448</v>
      </c>
      <c r="H1316" s="116"/>
      <c r="I1316" s="116"/>
      <c r="L1316" s="170">
        <v>43948</v>
      </c>
      <c r="M1316" s="116">
        <v>897.54</v>
      </c>
      <c r="N1316" s="116">
        <v>900.75</v>
      </c>
      <c r="O1316" s="116">
        <v>871.25</v>
      </c>
      <c r="P1316" s="116">
        <v>879.25</v>
      </c>
      <c r="Q1316" s="116">
        <v>17950.8</v>
      </c>
      <c r="R1316">
        <v>121986</v>
      </c>
    </row>
    <row r="1317" spans="1:18" x14ac:dyDescent="0.25">
      <c r="A1317" s="170">
        <v>43949</v>
      </c>
      <c r="B1317" s="116">
        <v>900</v>
      </c>
      <c r="C1317" s="116">
        <v>878.35500000000002</v>
      </c>
      <c r="D1317" s="116">
        <v>875.5</v>
      </c>
      <c r="E1317" s="116">
        <v>898.495</v>
      </c>
      <c r="F1317" s="116">
        <v>17567.099999999999</v>
      </c>
      <c r="G1317">
        <v>3067</v>
      </c>
      <c r="H1317" s="116"/>
      <c r="I1317" s="116"/>
      <c r="L1317" s="170">
        <v>43949</v>
      </c>
      <c r="M1317" s="116">
        <v>878.48249999999996</v>
      </c>
      <c r="N1317" s="116">
        <v>901.14750000000004</v>
      </c>
      <c r="O1317" s="116">
        <v>875.05</v>
      </c>
      <c r="P1317" s="116">
        <v>898.82500000000005</v>
      </c>
      <c r="Q1317" s="116">
        <v>17569.650000000001</v>
      </c>
      <c r="R1317">
        <v>107549</v>
      </c>
    </row>
    <row r="1318" spans="1:18" x14ac:dyDescent="0.25">
      <c r="A1318" s="170">
        <v>43950</v>
      </c>
      <c r="B1318" s="116">
        <v>886.37</v>
      </c>
      <c r="C1318" s="116">
        <v>874.78499999999997</v>
      </c>
      <c r="D1318" s="116">
        <v>870.85</v>
      </c>
      <c r="E1318" s="116">
        <v>884.95</v>
      </c>
      <c r="F1318" s="116">
        <v>17495.7</v>
      </c>
      <c r="G1318">
        <v>2177</v>
      </c>
      <c r="H1318" s="116"/>
      <c r="I1318" s="116"/>
      <c r="L1318" s="170">
        <v>43950</v>
      </c>
      <c r="M1318" s="116">
        <v>874.48500000000001</v>
      </c>
      <c r="N1318" s="116">
        <v>887.4</v>
      </c>
      <c r="O1318" s="116">
        <v>870</v>
      </c>
      <c r="P1318" s="116">
        <v>887.4</v>
      </c>
      <c r="Q1318" s="116">
        <v>17489.7</v>
      </c>
      <c r="R1318">
        <v>105243</v>
      </c>
    </row>
    <row r="1319" spans="1:18" x14ac:dyDescent="0.25">
      <c r="A1319" s="170">
        <v>43951</v>
      </c>
      <c r="B1319" s="116">
        <v>899.95</v>
      </c>
      <c r="C1319" s="116">
        <v>895.30499999999995</v>
      </c>
      <c r="D1319" s="116">
        <v>878.71749999999997</v>
      </c>
      <c r="E1319" s="116">
        <v>880.55</v>
      </c>
      <c r="F1319" s="116">
        <v>17906.099999999999</v>
      </c>
      <c r="G1319">
        <v>3638</v>
      </c>
      <c r="H1319" s="116"/>
      <c r="I1319" s="116"/>
      <c r="L1319" s="170">
        <v>43951</v>
      </c>
      <c r="M1319" s="116">
        <v>896.23249999999996</v>
      </c>
      <c r="N1319" s="116">
        <v>900</v>
      </c>
      <c r="O1319" s="116">
        <v>875.6</v>
      </c>
      <c r="P1319" s="116">
        <v>885</v>
      </c>
      <c r="Q1319" s="116">
        <v>17924.650000000001</v>
      </c>
      <c r="R1319">
        <v>158370</v>
      </c>
    </row>
    <row r="1320" spans="1:18" x14ac:dyDescent="0.25">
      <c r="A1320" s="170">
        <v>43955</v>
      </c>
      <c r="B1320" s="116">
        <v>886.85249999999996</v>
      </c>
      <c r="C1320" s="116">
        <v>872.63750000000005</v>
      </c>
      <c r="D1320" s="116">
        <v>869</v>
      </c>
      <c r="E1320" s="116">
        <v>884.95</v>
      </c>
      <c r="F1320" s="116">
        <v>17452.75</v>
      </c>
      <c r="G1320">
        <v>2560</v>
      </c>
      <c r="H1320" s="116"/>
      <c r="I1320" s="116"/>
      <c r="L1320" s="170">
        <v>43955</v>
      </c>
      <c r="M1320" s="116">
        <v>872.82249999999999</v>
      </c>
      <c r="N1320" s="116">
        <v>886.40750000000003</v>
      </c>
      <c r="O1320" s="116">
        <v>868.00250000000005</v>
      </c>
      <c r="P1320" s="116">
        <v>871.02499999999998</v>
      </c>
      <c r="Q1320" s="116">
        <v>17456.45</v>
      </c>
      <c r="R1320">
        <v>118975</v>
      </c>
    </row>
    <row r="1321" spans="1:18" x14ac:dyDescent="0.25">
      <c r="A1321" s="170">
        <v>43956</v>
      </c>
      <c r="B1321" s="116">
        <v>880.5</v>
      </c>
      <c r="C1321" s="116">
        <v>871.00750000000005</v>
      </c>
      <c r="D1321" s="116">
        <v>855.40250000000003</v>
      </c>
      <c r="E1321" s="116">
        <v>876.75</v>
      </c>
      <c r="F1321" s="116">
        <v>17420.150000000001</v>
      </c>
      <c r="G1321">
        <v>3820</v>
      </c>
      <c r="H1321" s="116"/>
      <c r="I1321" s="116"/>
      <c r="L1321" s="170">
        <v>43956</v>
      </c>
      <c r="M1321" s="116">
        <v>871.07500000000005</v>
      </c>
      <c r="N1321" s="116">
        <v>881.84749999999997</v>
      </c>
      <c r="O1321" s="116">
        <v>855</v>
      </c>
      <c r="P1321" s="116">
        <v>878.55</v>
      </c>
      <c r="Q1321" s="116">
        <v>17421.5</v>
      </c>
      <c r="R1321">
        <v>130682</v>
      </c>
    </row>
    <row r="1322" spans="1:18" x14ac:dyDescent="0.25">
      <c r="A1322" s="170">
        <v>43957</v>
      </c>
      <c r="B1322" s="116">
        <v>880</v>
      </c>
      <c r="C1322" s="116">
        <v>865.52</v>
      </c>
      <c r="D1322" s="116">
        <v>863.745</v>
      </c>
      <c r="E1322" s="116">
        <v>872.04250000000002</v>
      </c>
      <c r="F1322" s="116">
        <v>17310.400000000001</v>
      </c>
      <c r="G1322">
        <v>1999</v>
      </c>
      <c r="H1322" s="116"/>
      <c r="I1322" s="116"/>
      <c r="L1322" s="170">
        <v>43957</v>
      </c>
      <c r="M1322" s="116">
        <v>865.46500000000003</v>
      </c>
      <c r="N1322" s="116">
        <v>880.85500000000002</v>
      </c>
      <c r="O1322" s="116">
        <v>863.5</v>
      </c>
      <c r="P1322" s="116">
        <v>871.07500000000005</v>
      </c>
      <c r="Q1322" s="116">
        <v>17309.3</v>
      </c>
      <c r="R1322">
        <v>135509</v>
      </c>
    </row>
    <row r="1323" spans="1:18" x14ac:dyDescent="0.25">
      <c r="A1323" s="170">
        <v>43958</v>
      </c>
      <c r="B1323" s="116">
        <v>865.5</v>
      </c>
      <c r="C1323" s="116">
        <v>856.64250000000004</v>
      </c>
      <c r="D1323" s="116">
        <v>845.1</v>
      </c>
      <c r="E1323" s="116">
        <v>865.5</v>
      </c>
      <c r="F1323" s="116">
        <v>17132.849999999999</v>
      </c>
      <c r="G1323">
        <v>4543</v>
      </c>
      <c r="H1323" s="116"/>
      <c r="I1323" s="116"/>
      <c r="L1323" s="170">
        <v>43958</v>
      </c>
      <c r="M1323" s="116">
        <v>857.12249999999995</v>
      </c>
      <c r="N1323" s="116">
        <v>864</v>
      </c>
      <c r="O1323" s="116">
        <v>841.26250000000005</v>
      </c>
      <c r="P1323" s="116">
        <v>860</v>
      </c>
      <c r="Q1323" s="116">
        <v>17142.45</v>
      </c>
      <c r="R1323">
        <v>209078</v>
      </c>
    </row>
    <row r="1324" spans="1:18" x14ac:dyDescent="0.25">
      <c r="A1324" s="170">
        <v>43959</v>
      </c>
      <c r="B1324" s="116">
        <v>891</v>
      </c>
      <c r="C1324" s="116">
        <v>889.90499999999997</v>
      </c>
      <c r="D1324" s="116">
        <v>863.4</v>
      </c>
      <c r="E1324" s="116">
        <v>866</v>
      </c>
      <c r="F1324" s="116">
        <v>17798.099999999999</v>
      </c>
      <c r="G1324">
        <v>3974</v>
      </c>
      <c r="H1324" s="116"/>
      <c r="I1324" s="116"/>
      <c r="L1324" s="170">
        <v>43959</v>
      </c>
      <c r="M1324" s="116">
        <v>890.14750000000004</v>
      </c>
      <c r="N1324" s="116">
        <v>891</v>
      </c>
      <c r="O1324" s="116">
        <v>860.07500000000005</v>
      </c>
      <c r="P1324" s="116">
        <v>867.5</v>
      </c>
      <c r="Q1324" s="116">
        <v>17802.95</v>
      </c>
      <c r="R1324">
        <v>179200</v>
      </c>
    </row>
    <row r="1325" spans="1:18" x14ac:dyDescent="0.25">
      <c r="A1325" s="170">
        <v>43962</v>
      </c>
      <c r="B1325" s="116">
        <v>895.77499999999998</v>
      </c>
      <c r="C1325" s="116">
        <v>878.36749999999995</v>
      </c>
      <c r="D1325" s="116">
        <v>875</v>
      </c>
      <c r="E1325" s="116">
        <v>888.5</v>
      </c>
      <c r="F1325" s="116">
        <v>17567.349999999999</v>
      </c>
      <c r="G1325">
        <v>4362</v>
      </c>
      <c r="H1325" s="116"/>
      <c r="I1325" s="116"/>
      <c r="L1325" s="170">
        <v>43962</v>
      </c>
      <c r="M1325" s="116">
        <v>878.10500000000002</v>
      </c>
      <c r="N1325" s="116">
        <v>896</v>
      </c>
      <c r="O1325" s="116">
        <v>874.5</v>
      </c>
      <c r="P1325" s="116">
        <v>888.5</v>
      </c>
      <c r="Q1325" s="116">
        <v>17562.099999999999</v>
      </c>
      <c r="R1325">
        <v>184032</v>
      </c>
    </row>
    <row r="1326" spans="1:18" x14ac:dyDescent="0.25">
      <c r="A1326" s="170">
        <v>43963</v>
      </c>
      <c r="B1326" s="116">
        <v>894.01</v>
      </c>
      <c r="C1326" s="116">
        <v>872.86249999999995</v>
      </c>
      <c r="D1326" s="116">
        <v>869.35500000000002</v>
      </c>
      <c r="E1326" s="116">
        <v>884</v>
      </c>
      <c r="F1326" s="116">
        <v>17457.25</v>
      </c>
      <c r="G1326">
        <v>3654</v>
      </c>
      <c r="H1326" s="116"/>
      <c r="I1326" s="116"/>
      <c r="L1326" s="170">
        <v>43963</v>
      </c>
      <c r="M1326" s="116">
        <v>873.09749999999997</v>
      </c>
      <c r="N1326" s="116">
        <v>888.85</v>
      </c>
      <c r="O1326" s="116">
        <v>869.25</v>
      </c>
      <c r="P1326" s="116">
        <v>880.45</v>
      </c>
      <c r="Q1326" s="116">
        <v>17461.95</v>
      </c>
      <c r="R1326">
        <v>238937</v>
      </c>
    </row>
    <row r="1327" spans="1:18" x14ac:dyDescent="0.25">
      <c r="A1327" s="170">
        <v>43964</v>
      </c>
      <c r="B1327" s="116">
        <v>895</v>
      </c>
      <c r="C1327" s="116">
        <v>825.93499999999995</v>
      </c>
      <c r="D1327" s="116">
        <v>820.3</v>
      </c>
      <c r="E1327" s="116">
        <v>895</v>
      </c>
      <c r="F1327" s="116">
        <v>16518.7</v>
      </c>
      <c r="G1327">
        <v>15933</v>
      </c>
      <c r="H1327" s="116"/>
      <c r="I1327" s="116"/>
      <c r="L1327" s="170">
        <v>43964</v>
      </c>
      <c r="M1327" s="116">
        <v>825.61749999999995</v>
      </c>
      <c r="N1327" s="116">
        <v>887.5</v>
      </c>
      <c r="O1327" s="116">
        <v>820</v>
      </c>
      <c r="P1327" s="116">
        <v>887.5</v>
      </c>
      <c r="Q1327" s="116">
        <v>16512.349999999999</v>
      </c>
      <c r="R1327">
        <v>562034</v>
      </c>
    </row>
    <row r="1328" spans="1:18" x14ac:dyDescent="0.25">
      <c r="A1328" s="170">
        <v>43965</v>
      </c>
      <c r="B1328" s="116">
        <v>842.5</v>
      </c>
      <c r="C1328" s="116">
        <v>812.41750000000002</v>
      </c>
      <c r="D1328" s="116">
        <v>810.10500000000002</v>
      </c>
      <c r="E1328" s="116">
        <v>830</v>
      </c>
      <c r="F1328" s="116">
        <v>16248.35</v>
      </c>
      <c r="G1328">
        <v>13273</v>
      </c>
      <c r="H1328" s="116"/>
      <c r="I1328" s="116"/>
      <c r="L1328" s="170">
        <v>43965</v>
      </c>
      <c r="M1328" s="116">
        <v>812.125</v>
      </c>
      <c r="N1328" s="116">
        <v>842.5</v>
      </c>
      <c r="O1328" s="116">
        <v>810.05</v>
      </c>
      <c r="P1328" s="116">
        <v>830</v>
      </c>
      <c r="Q1328" s="116">
        <v>16242.5</v>
      </c>
      <c r="R1328">
        <v>410272</v>
      </c>
    </row>
    <row r="1329" spans="1:18" x14ac:dyDescent="0.25">
      <c r="A1329" s="170">
        <v>43966</v>
      </c>
      <c r="B1329" s="116">
        <v>828.49749999999995</v>
      </c>
      <c r="C1329" s="116">
        <v>821.03250000000003</v>
      </c>
      <c r="D1329" s="116">
        <v>810</v>
      </c>
      <c r="E1329" s="116">
        <v>827.75</v>
      </c>
      <c r="F1329" s="116">
        <v>16420.650000000001</v>
      </c>
      <c r="G1329">
        <v>13768</v>
      </c>
      <c r="H1329" s="116"/>
      <c r="I1329" s="116"/>
      <c r="L1329" s="170">
        <v>43966</v>
      </c>
      <c r="M1329" s="116">
        <v>822.19</v>
      </c>
      <c r="N1329" s="116">
        <v>827.5</v>
      </c>
      <c r="O1329" s="116">
        <v>810.09749999999997</v>
      </c>
      <c r="P1329" s="116">
        <v>825</v>
      </c>
      <c r="Q1329" s="116">
        <v>16443.8</v>
      </c>
      <c r="R1329">
        <v>271603</v>
      </c>
    </row>
    <row r="1330" spans="1:18" x14ac:dyDescent="0.25">
      <c r="A1330" s="170">
        <v>43969</v>
      </c>
      <c r="B1330" s="116">
        <v>823.49249999999995</v>
      </c>
      <c r="C1330" s="116">
        <v>812.01</v>
      </c>
      <c r="D1330" s="116">
        <v>809.1</v>
      </c>
      <c r="E1330" s="116">
        <v>823.49249999999995</v>
      </c>
      <c r="F1330" s="116">
        <v>16240.2</v>
      </c>
      <c r="G1330">
        <v>2210</v>
      </c>
      <c r="H1330" s="116"/>
      <c r="I1330" s="116"/>
      <c r="L1330" s="170">
        <v>43969</v>
      </c>
      <c r="M1330" s="116">
        <v>812.01750000000004</v>
      </c>
      <c r="N1330" s="116">
        <v>828.75</v>
      </c>
      <c r="O1330" s="116">
        <v>808.11</v>
      </c>
      <c r="P1330" s="116">
        <v>822.05</v>
      </c>
      <c r="Q1330" s="116">
        <v>16240.35</v>
      </c>
      <c r="R1330">
        <v>167962</v>
      </c>
    </row>
    <row r="1331" spans="1:18" x14ac:dyDescent="0.25">
      <c r="A1331" s="170">
        <v>43970</v>
      </c>
      <c r="B1331" s="116">
        <v>820</v>
      </c>
      <c r="C1331" s="116">
        <v>807.6825</v>
      </c>
      <c r="D1331" s="116">
        <v>806.04499999999996</v>
      </c>
      <c r="E1331" s="116">
        <v>812.55</v>
      </c>
      <c r="F1331" s="116">
        <v>16153.65</v>
      </c>
      <c r="G1331">
        <v>2761</v>
      </c>
      <c r="H1331" s="116"/>
      <c r="I1331" s="116"/>
      <c r="L1331" s="170">
        <v>43970</v>
      </c>
      <c r="M1331" s="116">
        <v>807.51499999999999</v>
      </c>
      <c r="N1331" s="116">
        <v>820.79</v>
      </c>
      <c r="O1331" s="116">
        <v>805.4325</v>
      </c>
      <c r="P1331" s="116">
        <v>814.01</v>
      </c>
      <c r="Q1331" s="116">
        <v>16150.3</v>
      </c>
      <c r="R1331">
        <v>118144</v>
      </c>
    </row>
    <row r="1332" spans="1:18" x14ac:dyDescent="0.25">
      <c r="A1332" s="170">
        <v>43971</v>
      </c>
      <c r="B1332" s="116">
        <v>829.6</v>
      </c>
      <c r="C1332" s="116">
        <v>815.01</v>
      </c>
      <c r="D1332" s="116">
        <v>807.6825</v>
      </c>
      <c r="E1332" s="116">
        <v>807.6825</v>
      </c>
      <c r="F1332" s="116">
        <v>16300.2</v>
      </c>
      <c r="G1332">
        <v>4196</v>
      </c>
      <c r="H1332" s="116"/>
      <c r="I1332" s="116"/>
      <c r="L1332" s="170">
        <v>43971</v>
      </c>
      <c r="M1332" s="116">
        <v>815.17</v>
      </c>
      <c r="N1332" s="116">
        <v>829.74749999999995</v>
      </c>
      <c r="O1332" s="116">
        <v>807.55</v>
      </c>
      <c r="P1332" s="116">
        <v>812.05</v>
      </c>
      <c r="Q1332" s="116">
        <v>16303.4</v>
      </c>
      <c r="R1332">
        <v>179539</v>
      </c>
    </row>
    <row r="1333" spans="1:18" x14ac:dyDescent="0.25">
      <c r="A1333" s="170">
        <v>43972</v>
      </c>
      <c r="B1333" s="116">
        <v>825</v>
      </c>
      <c r="C1333" s="116">
        <v>814.4325</v>
      </c>
      <c r="D1333" s="116">
        <v>813.32249999999999</v>
      </c>
      <c r="E1333" s="116">
        <v>819.64250000000004</v>
      </c>
      <c r="F1333" s="116">
        <v>16288.65</v>
      </c>
      <c r="G1333">
        <v>3006</v>
      </c>
      <c r="H1333" s="116"/>
      <c r="I1333" s="116"/>
      <c r="L1333" s="170">
        <v>43972</v>
      </c>
      <c r="M1333" s="116">
        <v>814.77250000000004</v>
      </c>
      <c r="N1333" s="116">
        <v>825.25</v>
      </c>
      <c r="O1333" s="116">
        <v>813.25</v>
      </c>
      <c r="P1333" s="116">
        <v>816.5</v>
      </c>
      <c r="Q1333" s="116">
        <v>16295.45</v>
      </c>
      <c r="R1333">
        <v>121080</v>
      </c>
    </row>
    <row r="1334" spans="1:18" x14ac:dyDescent="0.25">
      <c r="A1334" s="170">
        <v>43973</v>
      </c>
      <c r="B1334" s="116">
        <v>819</v>
      </c>
      <c r="C1334" s="116">
        <v>810.97249999999997</v>
      </c>
      <c r="D1334" s="116">
        <v>807.5</v>
      </c>
      <c r="E1334" s="116">
        <v>814</v>
      </c>
      <c r="F1334" s="116">
        <v>16219.45</v>
      </c>
      <c r="G1334">
        <v>3243</v>
      </c>
      <c r="H1334" s="116"/>
      <c r="I1334" s="116"/>
      <c r="L1334" s="170">
        <v>43973</v>
      </c>
      <c r="M1334" s="116">
        <v>810.75750000000005</v>
      </c>
      <c r="N1334" s="116">
        <v>819.84</v>
      </c>
      <c r="O1334" s="116">
        <v>807.5</v>
      </c>
      <c r="P1334" s="116">
        <v>814.8</v>
      </c>
      <c r="Q1334" s="116">
        <v>16215.15</v>
      </c>
      <c r="R1334">
        <v>118300</v>
      </c>
    </row>
    <row r="1335" spans="1:18" x14ac:dyDescent="0.25">
      <c r="A1335" s="170">
        <v>43977</v>
      </c>
      <c r="B1335" s="116">
        <v>837</v>
      </c>
      <c r="C1335" s="116">
        <v>834.09</v>
      </c>
      <c r="D1335" s="116">
        <v>811</v>
      </c>
      <c r="E1335" s="116">
        <v>811</v>
      </c>
      <c r="F1335" s="116">
        <v>16681.8</v>
      </c>
      <c r="G1335">
        <v>4058</v>
      </c>
      <c r="H1335" s="116"/>
      <c r="I1335" s="116"/>
      <c r="L1335" s="170">
        <v>43977</v>
      </c>
      <c r="M1335" s="116">
        <v>832.75750000000005</v>
      </c>
      <c r="N1335" s="116">
        <v>837.5</v>
      </c>
      <c r="O1335" s="116">
        <v>816.22</v>
      </c>
      <c r="P1335" s="116">
        <v>819</v>
      </c>
      <c r="Q1335" s="116">
        <v>16655.150000000001</v>
      </c>
      <c r="R1335">
        <v>198692</v>
      </c>
    </row>
    <row r="1336" spans="1:18" x14ac:dyDescent="0.25">
      <c r="A1336" s="170">
        <v>43978</v>
      </c>
      <c r="B1336" s="116">
        <v>840.5</v>
      </c>
      <c r="C1336" s="116">
        <v>836.77</v>
      </c>
      <c r="D1336" s="116">
        <v>824.85749999999996</v>
      </c>
      <c r="E1336" s="116">
        <v>836.54250000000002</v>
      </c>
      <c r="F1336" s="116">
        <v>16735.400000000001</v>
      </c>
      <c r="G1336">
        <v>8865</v>
      </c>
      <c r="H1336" s="116"/>
      <c r="I1336" s="116"/>
      <c r="L1336" s="170">
        <v>43978</v>
      </c>
      <c r="M1336" s="116">
        <v>835.82500000000005</v>
      </c>
      <c r="N1336" s="116">
        <v>841</v>
      </c>
      <c r="O1336" s="116">
        <v>824.35500000000002</v>
      </c>
      <c r="P1336" s="116">
        <v>835</v>
      </c>
      <c r="Q1336" s="116">
        <v>16716.5</v>
      </c>
      <c r="R1336">
        <v>167533</v>
      </c>
    </row>
    <row r="1337" spans="1:18" x14ac:dyDescent="0.25">
      <c r="A1337" s="170">
        <v>43979</v>
      </c>
      <c r="B1337" s="116">
        <v>851</v>
      </c>
      <c r="C1337" s="116">
        <v>849.16750000000002</v>
      </c>
      <c r="D1337" s="116">
        <v>834.41250000000002</v>
      </c>
      <c r="E1337" s="116">
        <v>835.8</v>
      </c>
      <c r="F1337" s="116">
        <v>16983.349999999999</v>
      </c>
      <c r="G1337">
        <v>11888</v>
      </c>
      <c r="H1337" s="116"/>
      <c r="I1337" s="116"/>
      <c r="L1337" s="170">
        <v>43979</v>
      </c>
      <c r="M1337" s="116">
        <v>849.45749999999998</v>
      </c>
      <c r="N1337" s="116">
        <v>851.5</v>
      </c>
      <c r="O1337" s="116">
        <v>834</v>
      </c>
      <c r="P1337" s="116">
        <v>835.82500000000005</v>
      </c>
      <c r="Q1337" s="116">
        <v>16989.150000000001</v>
      </c>
      <c r="R1337">
        <v>176289</v>
      </c>
    </row>
    <row r="1338" spans="1:18" x14ac:dyDescent="0.25">
      <c r="A1338" s="170">
        <v>43980</v>
      </c>
      <c r="B1338" s="116">
        <v>879.995</v>
      </c>
      <c r="C1338" s="116">
        <v>876.6925</v>
      </c>
      <c r="D1338" s="116">
        <v>842.32500000000005</v>
      </c>
      <c r="E1338" s="116">
        <v>849.45</v>
      </c>
      <c r="F1338" s="116">
        <v>17533.849999999999</v>
      </c>
      <c r="G1338">
        <v>4658</v>
      </c>
      <c r="H1338" s="116"/>
      <c r="I1338" s="116"/>
      <c r="L1338" s="170">
        <v>43980</v>
      </c>
      <c r="M1338" s="116">
        <v>877.04</v>
      </c>
      <c r="N1338" s="116">
        <v>880</v>
      </c>
      <c r="O1338" s="116">
        <v>839.22749999999996</v>
      </c>
      <c r="P1338" s="116">
        <v>847.5</v>
      </c>
      <c r="Q1338" s="116">
        <v>17540.8</v>
      </c>
      <c r="R1338">
        <v>244466</v>
      </c>
    </row>
    <row r="1339" spans="1:18" x14ac:dyDescent="0.25">
      <c r="A1339" s="170">
        <v>43983</v>
      </c>
      <c r="B1339" s="116">
        <v>887.49749999999995</v>
      </c>
      <c r="C1339" s="116">
        <v>859.22</v>
      </c>
      <c r="D1339" s="116">
        <v>855</v>
      </c>
      <c r="E1339" s="116">
        <v>879.75</v>
      </c>
      <c r="F1339" s="116">
        <v>17184.400000000001</v>
      </c>
      <c r="G1339">
        <v>5159</v>
      </c>
      <c r="H1339" s="116"/>
      <c r="I1339" s="116"/>
      <c r="L1339" s="170">
        <v>43983</v>
      </c>
      <c r="M1339" s="116">
        <v>859.17250000000001</v>
      </c>
      <c r="N1339" s="116">
        <v>887.45</v>
      </c>
      <c r="O1339" s="116">
        <v>855.55</v>
      </c>
      <c r="P1339" s="116">
        <v>877.04</v>
      </c>
      <c r="Q1339" s="116">
        <v>17183.45</v>
      </c>
      <c r="R1339">
        <v>175301</v>
      </c>
    </row>
    <row r="1340" spans="1:18" x14ac:dyDescent="0.25">
      <c r="A1340" s="170">
        <v>43984</v>
      </c>
      <c r="B1340" s="116">
        <v>871.6</v>
      </c>
      <c r="C1340" s="116">
        <v>851.04499999999996</v>
      </c>
      <c r="D1340" s="116">
        <v>849</v>
      </c>
      <c r="E1340" s="116">
        <v>871.6</v>
      </c>
      <c r="F1340" s="116">
        <v>17020.900000000001</v>
      </c>
      <c r="G1340">
        <v>4493</v>
      </c>
      <c r="H1340" s="116"/>
      <c r="I1340" s="116"/>
      <c r="L1340" s="170">
        <v>43984</v>
      </c>
      <c r="M1340" s="116">
        <v>850.72249999999997</v>
      </c>
      <c r="N1340" s="116">
        <v>873.85</v>
      </c>
      <c r="O1340" s="116">
        <v>848.6</v>
      </c>
      <c r="P1340" s="116">
        <v>873.85</v>
      </c>
      <c r="Q1340" s="116">
        <v>17014.45</v>
      </c>
      <c r="R1340">
        <v>132201</v>
      </c>
    </row>
    <row r="1341" spans="1:18" x14ac:dyDescent="0.25">
      <c r="A1341" s="170">
        <v>43985</v>
      </c>
      <c r="B1341" s="116">
        <v>875.5</v>
      </c>
      <c r="C1341" s="116">
        <v>871.27</v>
      </c>
      <c r="D1341" s="116">
        <v>858.1925</v>
      </c>
      <c r="E1341" s="116">
        <v>861.5</v>
      </c>
      <c r="F1341" s="116">
        <v>17425.400000000001</v>
      </c>
      <c r="G1341">
        <v>3421</v>
      </c>
      <c r="H1341" s="116"/>
      <c r="I1341" s="116"/>
      <c r="L1341" s="170">
        <v>43985</v>
      </c>
      <c r="M1341" s="116">
        <v>870.37750000000005</v>
      </c>
      <c r="N1341" s="116">
        <v>876.09749999999997</v>
      </c>
      <c r="O1341" s="116">
        <v>857.6</v>
      </c>
      <c r="P1341" s="116">
        <v>858.75</v>
      </c>
      <c r="Q1341" s="116">
        <v>17407.55</v>
      </c>
      <c r="R1341">
        <v>146102</v>
      </c>
    </row>
    <row r="1342" spans="1:18" x14ac:dyDescent="0.25">
      <c r="A1342" s="170">
        <v>43986</v>
      </c>
      <c r="B1342" s="116">
        <v>877.1925</v>
      </c>
      <c r="C1342" s="116">
        <v>859.77750000000003</v>
      </c>
      <c r="D1342" s="116">
        <v>857.8</v>
      </c>
      <c r="E1342" s="116">
        <v>872</v>
      </c>
      <c r="F1342" s="116">
        <v>17195.55</v>
      </c>
      <c r="G1342">
        <v>4999</v>
      </c>
      <c r="H1342" s="116"/>
      <c r="I1342" s="116"/>
      <c r="L1342" s="170">
        <v>43986</v>
      </c>
      <c r="M1342" s="116">
        <v>859.83</v>
      </c>
      <c r="N1342" s="116">
        <v>877.32749999999999</v>
      </c>
      <c r="O1342" s="116">
        <v>857.40250000000003</v>
      </c>
      <c r="P1342" s="116">
        <v>870.34500000000003</v>
      </c>
      <c r="Q1342" s="116">
        <v>17196.599999999999</v>
      </c>
      <c r="R1342">
        <v>97631</v>
      </c>
    </row>
    <row r="1343" spans="1:18" x14ac:dyDescent="0.25">
      <c r="A1343" s="170">
        <v>43987</v>
      </c>
      <c r="B1343" s="116">
        <v>873.06500000000005</v>
      </c>
      <c r="C1343" s="116">
        <v>854.89</v>
      </c>
      <c r="D1343" s="116">
        <v>848.50250000000005</v>
      </c>
      <c r="E1343" s="116">
        <v>867.21749999999997</v>
      </c>
      <c r="F1343" s="116">
        <v>17097.8</v>
      </c>
      <c r="G1343">
        <v>6860</v>
      </c>
      <c r="H1343" s="116"/>
      <c r="I1343" s="116"/>
      <c r="L1343" s="170">
        <v>43987</v>
      </c>
      <c r="M1343" s="116">
        <v>854.84249999999997</v>
      </c>
      <c r="N1343" s="116">
        <v>873</v>
      </c>
      <c r="O1343" s="116">
        <v>847.82749999999999</v>
      </c>
      <c r="P1343" s="116">
        <v>865.85</v>
      </c>
      <c r="Q1343" s="116">
        <v>17096.849999999999</v>
      </c>
      <c r="R1343">
        <v>162096</v>
      </c>
    </row>
    <row r="1344" spans="1:18" x14ac:dyDescent="0.25">
      <c r="A1344" s="170">
        <v>43990</v>
      </c>
      <c r="B1344" s="116">
        <v>860.11500000000001</v>
      </c>
      <c r="C1344" s="116">
        <v>841.41</v>
      </c>
      <c r="D1344" s="116">
        <v>840</v>
      </c>
      <c r="E1344" s="116">
        <v>858</v>
      </c>
      <c r="F1344" s="116">
        <v>16828.2</v>
      </c>
      <c r="G1344">
        <v>4211</v>
      </c>
      <c r="H1344" s="116"/>
      <c r="I1344" s="116"/>
      <c r="L1344" s="170">
        <v>43990</v>
      </c>
      <c r="M1344" s="116">
        <v>841.81</v>
      </c>
      <c r="N1344" s="116">
        <v>862.5</v>
      </c>
      <c r="O1344" s="116">
        <v>839.5</v>
      </c>
      <c r="P1344" s="116">
        <v>862.5</v>
      </c>
      <c r="Q1344" s="116">
        <v>16836.2</v>
      </c>
      <c r="R1344">
        <v>147070</v>
      </c>
    </row>
    <row r="1345" spans="1:18" x14ac:dyDescent="0.25">
      <c r="A1345" s="170">
        <v>43991</v>
      </c>
      <c r="B1345" s="116">
        <v>849.63</v>
      </c>
      <c r="C1345" s="116">
        <v>827.95749999999998</v>
      </c>
      <c r="D1345" s="116">
        <v>826.5</v>
      </c>
      <c r="E1345" s="116">
        <v>835</v>
      </c>
      <c r="F1345" s="116">
        <v>16559.150000000001</v>
      </c>
      <c r="G1345">
        <v>3976</v>
      </c>
      <c r="H1345" s="116"/>
      <c r="I1345" s="116"/>
      <c r="L1345" s="170">
        <v>43991</v>
      </c>
      <c r="M1345" s="116">
        <v>827.62750000000005</v>
      </c>
      <c r="N1345" s="116">
        <v>849.25</v>
      </c>
      <c r="O1345" s="116">
        <v>826.05</v>
      </c>
      <c r="P1345" s="116">
        <v>832.6</v>
      </c>
      <c r="Q1345" s="116">
        <v>16552.55</v>
      </c>
      <c r="R1345">
        <v>174685</v>
      </c>
    </row>
    <row r="1346" spans="1:18" x14ac:dyDescent="0.25">
      <c r="A1346" s="170">
        <v>43992</v>
      </c>
      <c r="B1346" s="116">
        <v>841</v>
      </c>
      <c r="C1346" s="116">
        <v>828.15250000000003</v>
      </c>
      <c r="D1346" s="116">
        <v>820.57500000000005</v>
      </c>
      <c r="E1346" s="116">
        <v>830.6</v>
      </c>
      <c r="F1346" s="116">
        <v>16563.05</v>
      </c>
      <c r="G1346">
        <v>5760</v>
      </c>
      <c r="H1346" s="116"/>
      <c r="I1346" s="116"/>
      <c r="L1346" s="170">
        <v>43992</v>
      </c>
      <c r="M1346" s="116">
        <v>826.73500000000001</v>
      </c>
      <c r="N1346" s="116">
        <v>841.6</v>
      </c>
      <c r="O1346" s="116">
        <v>820.5</v>
      </c>
      <c r="P1346" s="116">
        <v>832.5</v>
      </c>
      <c r="Q1346" s="116">
        <v>16534.7</v>
      </c>
      <c r="R1346">
        <v>123440</v>
      </c>
    </row>
    <row r="1347" spans="1:18" x14ac:dyDescent="0.25">
      <c r="A1347" s="170">
        <v>43993</v>
      </c>
      <c r="B1347" s="116">
        <v>842.73749999999995</v>
      </c>
      <c r="C1347" s="116">
        <v>830.12249999999995</v>
      </c>
      <c r="D1347" s="116">
        <v>827.5</v>
      </c>
      <c r="E1347" s="116">
        <v>829.45</v>
      </c>
      <c r="F1347" s="116">
        <v>16602.45</v>
      </c>
      <c r="G1347">
        <v>4888</v>
      </c>
      <c r="H1347" s="116"/>
      <c r="I1347" s="116"/>
      <c r="L1347" s="170">
        <v>43993</v>
      </c>
      <c r="M1347" s="116">
        <v>830.41250000000002</v>
      </c>
      <c r="N1347" s="116">
        <v>842.5</v>
      </c>
      <c r="O1347" s="116">
        <v>826.78750000000002</v>
      </c>
      <c r="P1347" s="116">
        <v>827.5</v>
      </c>
      <c r="Q1347" s="116">
        <v>16608.25</v>
      </c>
      <c r="R1347">
        <v>165132</v>
      </c>
    </row>
    <row r="1348" spans="1:18" x14ac:dyDescent="0.25">
      <c r="A1348" s="170">
        <v>43994</v>
      </c>
      <c r="B1348" s="116">
        <v>835.5</v>
      </c>
      <c r="C1348" s="116">
        <v>824.32</v>
      </c>
      <c r="D1348" s="116">
        <v>816.25</v>
      </c>
      <c r="E1348" s="116">
        <v>829.99749999999995</v>
      </c>
      <c r="F1348" s="116">
        <v>16486.400000000001</v>
      </c>
      <c r="G1348">
        <v>11082</v>
      </c>
      <c r="H1348" s="116"/>
      <c r="I1348" s="116"/>
      <c r="L1348" s="170">
        <v>43994</v>
      </c>
      <c r="M1348" s="116">
        <v>824.81500000000005</v>
      </c>
      <c r="N1348" s="116">
        <v>835.85500000000002</v>
      </c>
      <c r="O1348" s="116">
        <v>815</v>
      </c>
      <c r="P1348" s="116">
        <v>815</v>
      </c>
      <c r="Q1348" s="116">
        <v>16496.3</v>
      </c>
      <c r="R1348">
        <v>140678</v>
      </c>
    </row>
    <row r="1349" spans="1:18" x14ac:dyDescent="0.25">
      <c r="A1349" s="170">
        <v>43997</v>
      </c>
      <c r="B1349" s="116">
        <v>831.22249999999997</v>
      </c>
      <c r="C1349" s="116">
        <v>820.23749999999995</v>
      </c>
      <c r="D1349" s="116">
        <v>818.75</v>
      </c>
      <c r="E1349" s="116">
        <v>827.77250000000004</v>
      </c>
      <c r="F1349" s="116">
        <v>16404.75</v>
      </c>
      <c r="G1349">
        <v>2072</v>
      </c>
      <c r="H1349" s="116"/>
      <c r="I1349" s="116"/>
      <c r="L1349" s="170">
        <v>43997</v>
      </c>
      <c r="M1349" s="116">
        <v>820.01499999999999</v>
      </c>
      <c r="N1349" s="116">
        <v>832.5</v>
      </c>
      <c r="O1349" s="116">
        <v>818.5</v>
      </c>
      <c r="P1349" s="116">
        <v>825</v>
      </c>
      <c r="Q1349" s="116">
        <v>16400.3</v>
      </c>
      <c r="R1349">
        <v>139654</v>
      </c>
    </row>
    <row r="1350" spans="1:18" x14ac:dyDescent="0.25">
      <c r="A1350" s="170">
        <v>43998</v>
      </c>
      <c r="B1350" s="116">
        <v>829.96749999999997</v>
      </c>
      <c r="C1350" s="116">
        <v>816.97749999999996</v>
      </c>
      <c r="D1350" s="116">
        <v>813.13499999999999</v>
      </c>
      <c r="E1350" s="116">
        <v>825</v>
      </c>
      <c r="F1350" s="116">
        <v>16339.55</v>
      </c>
      <c r="G1350">
        <v>2972</v>
      </c>
      <c r="H1350" s="116"/>
      <c r="I1350" s="116"/>
      <c r="L1350" s="170">
        <v>43998</v>
      </c>
      <c r="M1350" s="116">
        <v>817.10500000000002</v>
      </c>
      <c r="N1350" s="116">
        <v>829.9</v>
      </c>
      <c r="O1350" s="116">
        <v>813.5</v>
      </c>
      <c r="P1350" s="116">
        <v>829.9</v>
      </c>
      <c r="Q1350" s="116">
        <v>16342.1</v>
      </c>
      <c r="R1350">
        <v>193237</v>
      </c>
    </row>
    <row r="1351" spans="1:18" x14ac:dyDescent="0.25">
      <c r="A1351" s="170">
        <v>43999</v>
      </c>
      <c r="B1351" s="116">
        <v>821.32</v>
      </c>
      <c r="C1351" s="116">
        <v>810.05250000000001</v>
      </c>
      <c r="D1351" s="116">
        <v>806.005</v>
      </c>
      <c r="E1351" s="116">
        <v>817</v>
      </c>
      <c r="F1351" s="116">
        <v>16201.05</v>
      </c>
      <c r="G1351">
        <v>3520</v>
      </c>
      <c r="H1351" s="116"/>
      <c r="I1351" s="116"/>
      <c r="L1351" s="170">
        <v>43999</v>
      </c>
      <c r="M1351" s="116">
        <v>809.90750000000003</v>
      </c>
      <c r="N1351" s="116">
        <v>822</v>
      </c>
      <c r="O1351" s="116">
        <v>805.75750000000005</v>
      </c>
      <c r="P1351" s="116">
        <v>817.25</v>
      </c>
      <c r="Q1351" s="116">
        <v>16198.15</v>
      </c>
      <c r="R1351">
        <v>126959</v>
      </c>
    </row>
    <row r="1352" spans="1:18" x14ac:dyDescent="0.25">
      <c r="A1352" s="170">
        <v>44000</v>
      </c>
      <c r="B1352" s="116">
        <v>814.57749999999999</v>
      </c>
      <c r="C1352" s="116">
        <v>809.1875</v>
      </c>
      <c r="D1352" s="116">
        <v>802.29499999999996</v>
      </c>
      <c r="E1352" s="116">
        <v>807.755</v>
      </c>
      <c r="F1352" s="116">
        <v>16183.75</v>
      </c>
      <c r="G1352">
        <v>6189</v>
      </c>
      <c r="H1352" s="116"/>
      <c r="I1352" s="116"/>
      <c r="L1352" s="170">
        <v>44000</v>
      </c>
      <c r="M1352" s="116">
        <v>808.94749999999999</v>
      </c>
      <c r="N1352" s="116">
        <v>815</v>
      </c>
      <c r="O1352" s="116">
        <v>802.73</v>
      </c>
      <c r="P1352" s="116">
        <v>810.92499999999995</v>
      </c>
      <c r="Q1352" s="116">
        <v>16178.95</v>
      </c>
      <c r="R1352">
        <v>158448</v>
      </c>
    </row>
    <row r="1353" spans="1:18" x14ac:dyDescent="0.25">
      <c r="A1353" s="170">
        <v>44001</v>
      </c>
      <c r="B1353" s="116">
        <v>815</v>
      </c>
      <c r="C1353" s="116">
        <v>804.80499999999995</v>
      </c>
      <c r="D1353" s="116">
        <v>803</v>
      </c>
      <c r="E1353" s="116">
        <v>809.10500000000002</v>
      </c>
      <c r="F1353" s="116">
        <v>16096.1</v>
      </c>
      <c r="G1353">
        <v>3188</v>
      </c>
      <c r="H1353" s="116"/>
      <c r="I1353" s="116"/>
      <c r="L1353" s="170">
        <v>44001</v>
      </c>
      <c r="M1353" s="116">
        <v>804.74249999999995</v>
      </c>
      <c r="N1353" s="116">
        <v>815.28250000000003</v>
      </c>
      <c r="O1353" s="116">
        <v>802.61</v>
      </c>
      <c r="P1353" s="116">
        <v>814.5</v>
      </c>
      <c r="Q1353" s="116">
        <v>16094.85</v>
      </c>
      <c r="R1353">
        <v>168895</v>
      </c>
    </row>
    <row r="1354" spans="1:18" x14ac:dyDescent="0.25">
      <c r="A1354" s="170">
        <v>44004</v>
      </c>
      <c r="B1354" s="116">
        <v>812.83</v>
      </c>
      <c r="C1354" s="116">
        <v>806.41750000000002</v>
      </c>
      <c r="D1354" s="116">
        <v>803.51</v>
      </c>
      <c r="E1354" s="116">
        <v>810.0675</v>
      </c>
      <c r="F1354" s="116">
        <v>16128.35</v>
      </c>
      <c r="G1354">
        <v>7058</v>
      </c>
      <c r="H1354" s="116"/>
      <c r="I1354" s="116"/>
      <c r="L1354" s="170">
        <v>44004</v>
      </c>
      <c r="M1354" s="116">
        <v>807.04</v>
      </c>
      <c r="N1354" s="116">
        <v>814.5</v>
      </c>
      <c r="O1354" s="116">
        <v>803.25</v>
      </c>
      <c r="P1354" s="116">
        <v>814.5</v>
      </c>
      <c r="Q1354" s="116">
        <v>16140.8</v>
      </c>
      <c r="R1354">
        <v>135920</v>
      </c>
    </row>
    <row r="1355" spans="1:18" x14ac:dyDescent="0.25">
      <c r="A1355" s="170">
        <v>44005</v>
      </c>
      <c r="B1355" s="116">
        <v>836.01750000000004</v>
      </c>
      <c r="C1355" s="116">
        <v>827.25750000000005</v>
      </c>
      <c r="D1355" s="116">
        <v>810.75250000000005</v>
      </c>
      <c r="E1355" s="116">
        <v>812.4</v>
      </c>
      <c r="F1355" s="116">
        <v>16545.150000000001</v>
      </c>
      <c r="G1355">
        <v>8053</v>
      </c>
      <c r="H1355" s="116"/>
      <c r="I1355" s="116"/>
      <c r="L1355" s="170">
        <v>44005</v>
      </c>
      <c r="M1355" s="116">
        <v>827.42250000000001</v>
      </c>
      <c r="N1355" s="116">
        <v>836</v>
      </c>
      <c r="O1355" s="116">
        <v>810.50250000000005</v>
      </c>
      <c r="P1355" s="116">
        <v>814.49</v>
      </c>
      <c r="Q1355" s="116">
        <v>16548.45</v>
      </c>
      <c r="R1355">
        <v>244735</v>
      </c>
    </row>
    <row r="1356" spans="1:18" x14ac:dyDescent="0.25">
      <c r="A1356" s="170">
        <v>44006</v>
      </c>
      <c r="B1356" s="116">
        <v>842.5</v>
      </c>
      <c r="C1356" s="116">
        <v>835.34749999999997</v>
      </c>
      <c r="D1356" s="116">
        <v>826.87249999999995</v>
      </c>
      <c r="E1356" s="116">
        <v>833.7</v>
      </c>
      <c r="F1356" s="116">
        <v>16706.95</v>
      </c>
      <c r="G1356">
        <v>4029</v>
      </c>
      <c r="H1356" s="116"/>
      <c r="I1356" s="116"/>
      <c r="L1356" s="170">
        <v>44006</v>
      </c>
      <c r="M1356" s="116">
        <v>835.39750000000004</v>
      </c>
      <c r="N1356" s="116">
        <v>843</v>
      </c>
      <c r="O1356" s="116">
        <v>825.95749999999998</v>
      </c>
      <c r="P1356" s="116">
        <v>833</v>
      </c>
      <c r="Q1356" s="116">
        <v>16707.95</v>
      </c>
      <c r="R1356">
        <v>201086</v>
      </c>
    </row>
    <row r="1357" spans="1:18" x14ac:dyDescent="0.25">
      <c r="A1357" s="170">
        <v>44007</v>
      </c>
      <c r="B1357" s="116">
        <v>842.43499999999995</v>
      </c>
      <c r="C1357" s="116">
        <v>838.89499999999998</v>
      </c>
      <c r="D1357" s="116">
        <v>830</v>
      </c>
      <c r="E1357" s="116">
        <v>833.75</v>
      </c>
      <c r="F1357" s="116">
        <v>16777.900000000001</v>
      </c>
      <c r="G1357">
        <v>13104</v>
      </c>
      <c r="H1357" s="116"/>
      <c r="I1357" s="116"/>
      <c r="L1357" s="170">
        <v>44007</v>
      </c>
      <c r="M1357" s="116">
        <v>839.35</v>
      </c>
      <c r="N1357" s="116">
        <v>842.5</v>
      </c>
      <c r="O1357" s="116">
        <v>828.25</v>
      </c>
      <c r="P1357" s="116">
        <v>829.51499999999999</v>
      </c>
      <c r="Q1357" s="116">
        <v>16787</v>
      </c>
      <c r="R1357">
        <v>169666</v>
      </c>
    </row>
    <row r="1358" spans="1:18" x14ac:dyDescent="0.25">
      <c r="A1358" s="170">
        <v>44008</v>
      </c>
      <c r="B1358" s="116">
        <v>846.08249999999998</v>
      </c>
      <c r="C1358" s="116">
        <v>833.58249999999998</v>
      </c>
      <c r="D1358" s="116">
        <v>832.0675</v>
      </c>
      <c r="E1358" s="116">
        <v>841</v>
      </c>
      <c r="F1358" s="116">
        <v>16671.650000000001</v>
      </c>
      <c r="G1358">
        <v>9729</v>
      </c>
      <c r="H1358" s="116"/>
      <c r="I1358" s="116"/>
      <c r="L1358" s="170">
        <v>44008</v>
      </c>
      <c r="M1358" s="116">
        <v>833.875</v>
      </c>
      <c r="N1358" s="116">
        <v>846.5</v>
      </c>
      <c r="O1358" s="116">
        <v>831.5</v>
      </c>
      <c r="P1358" s="116">
        <v>842.5</v>
      </c>
      <c r="Q1358" s="116">
        <v>16677.5</v>
      </c>
      <c r="R1358">
        <v>110342</v>
      </c>
    </row>
    <row r="1359" spans="1:18" x14ac:dyDescent="0.25">
      <c r="A1359" s="170">
        <v>44011</v>
      </c>
      <c r="B1359" s="116">
        <v>848.75</v>
      </c>
      <c r="C1359" s="116">
        <v>836.03499999999997</v>
      </c>
      <c r="D1359" s="116">
        <v>828.77499999999998</v>
      </c>
      <c r="E1359" s="116">
        <v>834.8</v>
      </c>
      <c r="F1359" s="116">
        <v>16720.7</v>
      </c>
      <c r="G1359">
        <v>7104</v>
      </c>
      <c r="H1359" s="116"/>
      <c r="I1359" s="116"/>
      <c r="L1359" s="170">
        <v>44011</v>
      </c>
      <c r="M1359" s="116">
        <v>836.24249999999995</v>
      </c>
      <c r="N1359" s="116">
        <v>849.03</v>
      </c>
      <c r="O1359" s="116">
        <v>827</v>
      </c>
      <c r="P1359" s="116">
        <v>837</v>
      </c>
      <c r="Q1359" s="116">
        <v>16724.849999999999</v>
      </c>
      <c r="R1359">
        <v>169646</v>
      </c>
    </row>
    <row r="1360" spans="1:18" x14ac:dyDescent="0.25">
      <c r="A1360" s="170">
        <v>44012</v>
      </c>
      <c r="B1360" s="116">
        <v>864.88499999999999</v>
      </c>
      <c r="C1360" s="116">
        <v>858.9</v>
      </c>
      <c r="D1360" s="116">
        <v>840</v>
      </c>
      <c r="E1360" s="116">
        <v>840.5</v>
      </c>
      <c r="F1360" s="116">
        <v>17178</v>
      </c>
      <c r="G1360">
        <v>5081</v>
      </c>
      <c r="H1360" s="116"/>
      <c r="I1360" s="116"/>
      <c r="L1360" s="170">
        <v>44012</v>
      </c>
      <c r="M1360" s="116">
        <v>858.72249999999997</v>
      </c>
      <c r="N1360" s="116">
        <v>864.9</v>
      </c>
      <c r="O1360" s="116">
        <v>837.69500000000005</v>
      </c>
      <c r="P1360" s="116">
        <v>839.95</v>
      </c>
      <c r="Q1360" s="116">
        <v>17174.45</v>
      </c>
      <c r="R1360">
        <v>201034</v>
      </c>
    </row>
    <row r="1361" spans="1:18" x14ac:dyDescent="0.25">
      <c r="A1361" s="170">
        <v>44013</v>
      </c>
      <c r="B1361" s="116">
        <v>858.95</v>
      </c>
      <c r="C1361" s="116">
        <v>839.75</v>
      </c>
      <c r="D1361" s="116">
        <v>836.08</v>
      </c>
      <c r="E1361" s="116">
        <v>858</v>
      </c>
      <c r="F1361" s="116">
        <v>16795</v>
      </c>
      <c r="G1361">
        <v>5888</v>
      </c>
      <c r="H1361" s="116"/>
      <c r="I1361" s="116"/>
      <c r="L1361" s="170">
        <v>44013</v>
      </c>
      <c r="M1361" s="116">
        <v>839.9425</v>
      </c>
      <c r="N1361" s="116">
        <v>860.25</v>
      </c>
      <c r="O1361" s="116">
        <v>836</v>
      </c>
      <c r="P1361" s="116">
        <v>860.25</v>
      </c>
      <c r="Q1361" s="116">
        <v>16798.849999999999</v>
      </c>
      <c r="R1361">
        <v>216945</v>
      </c>
    </row>
    <row r="1362" spans="1:18" x14ac:dyDescent="0.25">
      <c r="A1362" s="170">
        <v>44014</v>
      </c>
      <c r="B1362" s="116">
        <v>847.25</v>
      </c>
      <c r="C1362" s="116">
        <v>839.10249999999996</v>
      </c>
      <c r="D1362" s="116">
        <v>833.51499999999999</v>
      </c>
      <c r="E1362" s="116">
        <v>847.25</v>
      </c>
      <c r="F1362" s="116">
        <v>16782.05</v>
      </c>
      <c r="G1362">
        <v>3013</v>
      </c>
      <c r="H1362" s="116"/>
      <c r="I1362" s="116"/>
      <c r="L1362" s="170">
        <v>44014</v>
      </c>
      <c r="M1362" s="116">
        <v>839.46749999999997</v>
      </c>
      <c r="N1362" s="116">
        <v>849.25</v>
      </c>
      <c r="O1362" s="116">
        <v>833.05499999999995</v>
      </c>
      <c r="P1362" s="116">
        <v>849.25</v>
      </c>
      <c r="Q1362" s="116">
        <v>16789.349999999999</v>
      </c>
      <c r="R1362">
        <v>147010</v>
      </c>
    </row>
    <row r="1363" spans="1:18" x14ac:dyDescent="0.25">
      <c r="A1363" s="170">
        <v>44015</v>
      </c>
      <c r="B1363" s="116">
        <v>848.95</v>
      </c>
      <c r="C1363" s="116">
        <v>834.51499999999999</v>
      </c>
      <c r="D1363" s="116">
        <v>832.53250000000003</v>
      </c>
      <c r="E1363" s="116">
        <v>846.25</v>
      </c>
      <c r="F1363" s="116">
        <v>16690.3</v>
      </c>
      <c r="G1363">
        <v>8018</v>
      </c>
      <c r="H1363" s="116"/>
      <c r="I1363" s="116"/>
      <c r="L1363" s="170">
        <v>44015</v>
      </c>
      <c r="M1363" s="116">
        <v>834.78</v>
      </c>
      <c r="N1363" s="116">
        <v>849.5</v>
      </c>
      <c r="O1363" s="116">
        <v>832.5</v>
      </c>
      <c r="P1363" s="116">
        <v>840.69</v>
      </c>
      <c r="Q1363" s="116">
        <v>16695.599999999999</v>
      </c>
      <c r="R1363">
        <v>181658</v>
      </c>
    </row>
    <row r="1364" spans="1:18" x14ac:dyDescent="0.25">
      <c r="A1364" s="170">
        <v>44018</v>
      </c>
      <c r="B1364" s="116">
        <v>842.04250000000002</v>
      </c>
      <c r="C1364" s="116">
        <v>840.04</v>
      </c>
      <c r="D1364" s="116">
        <v>834.45</v>
      </c>
      <c r="E1364" s="116">
        <v>834.45</v>
      </c>
      <c r="F1364" s="116">
        <v>16800.8</v>
      </c>
      <c r="G1364">
        <v>2379</v>
      </c>
      <c r="H1364" s="116"/>
      <c r="I1364" s="116"/>
      <c r="L1364" s="170">
        <v>44018</v>
      </c>
      <c r="M1364" s="116">
        <v>840.1</v>
      </c>
      <c r="N1364" s="116">
        <v>842.1</v>
      </c>
      <c r="O1364" s="116">
        <v>834.34749999999997</v>
      </c>
      <c r="P1364" s="116">
        <v>837.75</v>
      </c>
      <c r="Q1364" s="116">
        <v>16802</v>
      </c>
      <c r="R1364">
        <v>98338</v>
      </c>
    </row>
    <row r="1365" spans="1:18" x14ac:dyDescent="0.25">
      <c r="A1365" s="170">
        <v>44019</v>
      </c>
      <c r="B1365" s="116">
        <v>847.48249999999996</v>
      </c>
      <c r="C1365" s="116">
        <v>844.57249999999999</v>
      </c>
      <c r="D1365" s="116">
        <v>836.18</v>
      </c>
      <c r="E1365" s="116">
        <v>840.04</v>
      </c>
      <c r="F1365" s="116">
        <v>16891.45</v>
      </c>
      <c r="G1365">
        <v>2525</v>
      </c>
      <c r="H1365" s="116"/>
      <c r="I1365" s="116"/>
      <c r="L1365" s="170">
        <v>44019</v>
      </c>
      <c r="M1365" s="116">
        <v>845.62</v>
      </c>
      <c r="N1365" s="116">
        <v>847.5</v>
      </c>
      <c r="O1365" s="116">
        <v>836.50250000000005</v>
      </c>
      <c r="P1365" s="116">
        <v>842.75</v>
      </c>
      <c r="Q1365" s="116">
        <v>16912.400000000001</v>
      </c>
      <c r="R1365">
        <v>141356</v>
      </c>
    </row>
    <row r="1366" spans="1:18" x14ac:dyDescent="0.25">
      <c r="A1366" s="170">
        <v>44020</v>
      </c>
      <c r="B1366" s="116">
        <v>857.4375</v>
      </c>
      <c r="C1366" s="116">
        <v>839.94500000000005</v>
      </c>
      <c r="D1366" s="116">
        <v>836.83749999999998</v>
      </c>
      <c r="E1366" s="116">
        <v>850</v>
      </c>
      <c r="F1366" s="116">
        <v>16798.900000000001</v>
      </c>
      <c r="G1366">
        <v>3804</v>
      </c>
      <c r="H1366" s="116"/>
      <c r="I1366" s="116"/>
      <c r="L1366" s="170">
        <v>44020</v>
      </c>
      <c r="M1366" s="116">
        <v>840.10249999999996</v>
      </c>
      <c r="N1366" s="116">
        <v>857.5</v>
      </c>
      <c r="O1366" s="116">
        <v>836.85</v>
      </c>
      <c r="P1366" s="116">
        <v>846.8</v>
      </c>
      <c r="Q1366" s="116">
        <v>16802.05</v>
      </c>
      <c r="R1366">
        <v>218721</v>
      </c>
    </row>
    <row r="1367" spans="1:18" x14ac:dyDescent="0.25">
      <c r="A1367" s="170">
        <v>44021</v>
      </c>
      <c r="B1367" s="116">
        <v>848.03499999999997</v>
      </c>
      <c r="C1367" s="116">
        <v>837.9325</v>
      </c>
      <c r="D1367" s="116">
        <v>835</v>
      </c>
      <c r="E1367" s="116">
        <v>843.95749999999998</v>
      </c>
      <c r="F1367" s="116">
        <v>16758.650000000001</v>
      </c>
      <c r="G1367">
        <v>3261</v>
      </c>
      <c r="H1367" s="116"/>
      <c r="I1367" s="116"/>
      <c r="L1367" s="170">
        <v>44021</v>
      </c>
      <c r="M1367" s="116">
        <v>837.95500000000004</v>
      </c>
      <c r="N1367" s="116">
        <v>848.29750000000001</v>
      </c>
      <c r="O1367" s="116">
        <v>834.05</v>
      </c>
      <c r="P1367" s="116">
        <v>842</v>
      </c>
      <c r="Q1367" s="116">
        <v>16759.099999999999</v>
      </c>
      <c r="R1367">
        <v>91896</v>
      </c>
    </row>
    <row r="1368" spans="1:18" x14ac:dyDescent="0.25">
      <c r="A1368" s="170">
        <v>44022</v>
      </c>
      <c r="B1368" s="116">
        <v>843.57749999999999</v>
      </c>
      <c r="C1368" s="116">
        <v>841.89</v>
      </c>
      <c r="D1368" s="116">
        <v>831.83</v>
      </c>
      <c r="E1368" s="116">
        <v>837.78</v>
      </c>
      <c r="F1368" s="116">
        <v>16837.8</v>
      </c>
      <c r="G1368">
        <v>1518</v>
      </c>
      <c r="H1368" s="116"/>
      <c r="I1368" s="116"/>
      <c r="L1368" s="170">
        <v>44022</v>
      </c>
      <c r="M1368" s="116">
        <v>841.65499999999997</v>
      </c>
      <c r="N1368" s="116">
        <v>843.74749999999995</v>
      </c>
      <c r="O1368" s="116">
        <v>831.4</v>
      </c>
      <c r="P1368" s="116">
        <v>837.95500000000004</v>
      </c>
      <c r="Q1368" s="116">
        <v>16833.099999999999</v>
      </c>
      <c r="R1368">
        <v>133611</v>
      </c>
    </row>
    <row r="1369" spans="1:18" x14ac:dyDescent="0.25">
      <c r="A1369" s="170">
        <v>44025</v>
      </c>
      <c r="B1369" s="116">
        <v>854.5</v>
      </c>
      <c r="C1369" s="116">
        <v>848.375</v>
      </c>
      <c r="D1369" s="116">
        <v>841.5</v>
      </c>
      <c r="E1369" s="116">
        <v>841.5</v>
      </c>
      <c r="F1369" s="116">
        <v>16967.5</v>
      </c>
      <c r="G1369">
        <v>7245</v>
      </c>
      <c r="H1369" s="116"/>
      <c r="I1369" s="116"/>
      <c r="L1369" s="170">
        <v>44025</v>
      </c>
      <c r="M1369" s="116">
        <v>847.84249999999997</v>
      </c>
      <c r="N1369" s="116">
        <v>854.9</v>
      </c>
      <c r="O1369" s="116">
        <v>843.75250000000005</v>
      </c>
      <c r="P1369" s="116">
        <v>844.25</v>
      </c>
      <c r="Q1369" s="116">
        <v>16956.849999999999</v>
      </c>
      <c r="R1369">
        <v>114029</v>
      </c>
    </row>
    <row r="1370" spans="1:18" x14ac:dyDescent="0.25">
      <c r="A1370" s="170">
        <v>44026</v>
      </c>
      <c r="B1370" s="116">
        <v>855.29250000000002</v>
      </c>
      <c r="C1370" s="116">
        <v>844.83249999999998</v>
      </c>
      <c r="D1370" s="116">
        <v>842.5</v>
      </c>
      <c r="E1370" s="116">
        <v>849.79750000000001</v>
      </c>
      <c r="F1370" s="116">
        <v>16896.650000000001</v>
      </c>
      <c r="G1370">
        <v>4179</v>
      </c>
      <c r="H1370" s="116"/>
      <c r="I1370" s="116"/>
      <c r="L1370" s="170">
        <v>44026</v>
      </c>
      <c r="M1370" s="116">
        <v>844.79</v>
      </c>
      <c r="N1370" s="116">
        <v>855.75750000000005</v>
      </c>
      <c r="O1370" s="116">
        <v>842.6</v>
      </c>
      <c r="P1370" s="116">
        <v>847.45</v>
      </c>
      <c r="Q1370" s="116">
        <v>16895.8</v>
      </c>
      <c r="R1370">
        <v>75853</v>
      </c>
    </row>
    <row r="1371" spans="1:18" x14ac:dyDescent="0.25">
      <c r="A1371" s="170">
        <v>44027</v>
      </c>
      <c r="B1371" s="116">
        <v>851</v>
      </c>
      <c r="C1371" s="116">
        <v>845.24749999999995</v>
      </c>
      <c r="D1371" s="116">
        <v>837.5</v>
      </c>
      <c r="E1371" s="116">
        <v>849.99749999999995</v>
      </c>
      <c r="F1371" s="116">
        <v>16904.95</v>
      </c>
      <c r="G1371">
        <v>3691</v>
      </c>
      <c r="H1371" s="116"/>
      <c r="I1371" s="116"/>
      <c r="L1371" s="170">
        <v>44027</v>
      </c>
      <c r="M1371" s="116">
        <v>845.4375</v>
      </c>
      <c r="N1371" s="116">
        <v>857.15</v>
      </c>
      <c r="O1371" s="116">
        <v>837</v>
      </c>
      <c r="P1371" s="116">
        <v>847</v>
      </c>
      <c r="Q1371" s="116">
        <v>16908.75</v>
      </c>
      <c r="R1371">
        <v>126521</v>
      </c>
    </row>
    <row r="1372" spans="1:18" x14ac:dyDescent="0.25">
      <c r="A1372" s="170">
        <v>44028</v>
      </c>
      <c r="B1372" s="116">
        <v>886.69500000000005</v>
      </c>
      <c r="C1372" s="116">
        <v>873.21</v>
      </c>
      <c r="D1372" s="116">
        <v>838.3</v>
      </c>
      <c r="E1372" s="116">
        <v>845.35</v>
      </c>
      <c r="F1372" s="116">
        <v>17464.2</v>
      </c>
      <c r="G1372">
        <v>9556</v>
      </c>
      <c r="H1372" s="116"/>
      <c r="I1372" s="116"/>
      <c r="L1372" s="170">
        <v>44028</v>
      </c>
      <c r="M1372" s="116">
        <v>874.78250000000003</v>
      </c>
      <c r="N1372" s="116">
        <v>888.23</v>
      </c>
      <c r="O1372" s="116">
        <v>838</v>
      </c>
      <c r="P1372" s="116">
        <v>846.3</v>
      </c>
      <c r="Q1372" s="116">
        <v>17495.650000000001</v>
      </c>
      <c r="R1372">
        <v>296541</v>
      </c>
    </row>
    <row r="1373" spans="1:18" x14ac:dyDescent="0.25">
      <c r="A1373" s="170">
        <v>44029</v>
      </c>
      <c r="B1373" s="116">
        <v>881.00750000000005</v>
      </c>
      <c r="C1373" s="116">
        <v>861.66750000000002</v>
      </c>
      <c r="D1373" s="116">
        <v>858.97249999999997</v>
      </c>
      <c r="E1373" s="116">
        <v>873.5</v>
      </c>
      <c r="F1373" s="116">
        <v>17233.349999999999</v>
      </c>
      <c r="G1373">
        <v>9263</v>
      </c>
      <c r="H1373" s="116"/>
      <c r="I1373" s="116"/>
      <c r="L1373" s="170">
        <v>44029</v>
      </c>
      <c r="M1373" s="116">
        <v>861.49749999999995</v>
      </c>
      <c r="N1373" s="116">
        <v>881</v>
      </c>
      <c r="O1373" s="116">
        <v>858.25</v>
      </c>
      <c r="P1373" s="116">
        <v>874.7</v>
      </c>
      <c r="Q1373" s="116">
        <v>17229.95</v>
      </c>
      <c r="R1373">
        <v>125138</v>
      </c>
    </row>
    <row r="1374" spans="1:18" x14ac:dyDescent="0.25">
      <c r="A1374" s="170">
        <v>44032</v>
      </c>
      <c r="B1374" s="116">
        <v>870</v>
      </c>
      <c r="C1374" s="116">
        <v>862.11</v>
      </c>
      <c r="D1374" s="116">
        <v>853.61249999999995</v>
      </c>
      <c r="E1374" s="116">
        <v>870</v>
      </c>
      <c r="F1374" s="116">
        <v>17242.2</v>
      </c>
      <c r="G1374">
        <v>5335</v>
      </c>
      <c r="H1374" s="116"/>
      <c r="I1374" s="116"/>
      <c r="L1374" s="170">
        <v>44032</v>
      </c>
      <c r="M1374" s="116">
        <v>862.35</v>
      </c>
      <c r="N1374" s="116">
        <v>868.5</v>
      </c>
      <c r="O1374" s="116">
        <v>853.53</v>
      </c>
      <c r="P1374" s="116">
        <v>866.2</v>
      </c>
      <c r="Q1374" s="116">
        <v>17247</v>
      </c>
      <c r="R1374">
        <v>196577</v>
      </c>
    </row>
    <row r="1375" spans="1:18" x14ac:dyDescent="0.25">
      <c r="A1375" s="170">
        <v>44033</v>
      </c>
      <c r="B1375" s="116">
        <v>875</v>
      </c>
      <c r="C1375" s="116">
        <v>864.20249999999999</v>
      </c>
      <c r="D1375" s="116">
        <v>861.5</v>
      </c>
      <c r="E1375" s="116">
        <v>873.85</v>
      </c>
      <c r="F1375" s="116">
        <v>17284.05</v>
      </c>
      <c r="G1375">
        <v>4608</v>
      </c>
      <c r="H1375" s="116"/>
      <c r="I1375" s="116"/>
      <c r="L1375" s="170">
        <v>44033</v>
      </c>
      <c r="M1375" s="116">
        <v>863.78</v>
      </c>
      <c r="N1375" s="116">
        <v>874.74749999999995</v>
      </c>
      <c r="O1375" s="116">
        <v>860.40250000000003</v>
      </c>
      <c r="P1375" s="116">
        <v>867.5</v>
      </c>
      <c r="Q1375" s="116">
        <v>17275.599999999999</v>
      </c>
      <c r="R1375">
        <v>211186</v>
      </c>
    </row>
    <row r="1376" spans="1:18" x14ac:dyDescent="0.25">
      <c r="A1376" s="170">
        <v>44034</v>
      </c>
      <c r="B1376" s="116">
        <v>871.55250000000001</v>
      </c>
      <c r="C1376" s="116">
        <v>857.32249999999999</v>
      </c>
      <c r="D1376" s="116">
        <v>850.04</v>
      </c>
      <c r="E1376" s="116">
        <v>871</v>
      </c>
      <c r="F1376" s="116">
        <v>17146.45</v>
      </c>
      <c r="G1376">
        <v>7526</v>
      </c>
      <c r="H1376" s="116"/>
      <c r="I1376" s="116"/>
      <c r="L1376" s="170">
        <v>44034</v>
      </c>
      <c r="M1376" s="116">
        <v>857.59249999999997</v>
      </c>
      <c r="N1376" s="116">
        <v>872</v>
      </c>
      <c r="O1376" s="116">
        <v>850.05250000000001</v>
      </c>
      <c r="P1376" s="116">
        <v>867.5</v>
      </c>
      <c r="Q1376" s="116">
        <v>17151.849999999999</v>
      </c>
      <c r="R1376">
        <v>156478</v>
      </c>
    </row>
    <row r="1377" spans="1:18" x14ac:dyDescent="0.25">
      <c r="A1377" s="170">
        <v>44035</v>
      </c>
      <c r="B1377" s="116">
        <v>864.53750000000002</v>
      </c>
      <c r="C1377" s="116">
        <v>863.005</v>
      </c>
      <c r="D1377" s="116">
        <v>852.67750000000001</v>
      </c>
      <c r="E1377" s="116">
        <v>854.1</v>
      </c>
      <c r="F1377" s="116">
        <v>17260.099999999999</v>
      </c>
      <c r="G1377">
        <v>3546</v>
      </c>
      <c r="H1377" s="116"/>
      <c r="I1377" s="116"/>
      <c r="L1377" s="170">
        <v>44035</v>
      </c>
      <c r="M1377" s="116">
        <v>862.82</v>
      </c>
      <c r="N1377" s="116">
        <v>864.94749999999999</v>
      </c>
      <c r="O1377" s="116">
        <v>852.5</v>
      </c>
      <c r="P1377" s="116">
        <v>856</v>
      </c>
      <c r="Q1377" s="116">
        <v>17256.400000000001</v>
      </c>
      <c r="R1377">
        <v>106941</v>
      </c>
    </row>
    <row r="1378" spans="1:18" x14ac:dyDescent="0.25">
      <c r="A1378" s="170">
        <v>44036</v>
      </c>
      <c r="B1378" s="116">
        <v>870</v>
      </c>
      <c r="C1378" s="116">
        <v>861.57</v>
      </c>
      <c r="D1378" s="116">
        <v>848.75</v>
      </c>
      <c r="E1378" s="116">
        <v>862.85</v>
      </c>
      <c r="F1378" s="116">
        <v>17231.400000000001</v>
      </c>
      <c r="G1378">
        <v>4877</v>
      </c>
      <c r="H1378" s="116"/>
      <c r="I1378" s="116"/>
      <c r="L1378" s="170">
        <v>44036</v>
      </c>
      <c r="M1378" s="116">
        <v>862.59249999999997</v>
      </c>
      <c r="N1378" s="116">
        <v>870.5</v>
      </c>
      <c r="O1378" s="116">
        <v>848</v>
      </c>
      <c r="P1378" s="116">
        <v>856.255</v>
      </c>
      <c r="Q1378" s="116">
        <v>17251.849999999999</v>
      </c>
      <c r="R1378">
        <v>207281</v>
      </c>
    </row>
    <row r="1379" spans="1:18" x14ac:dyDescent="0.25">
      <c r="A1379" s="170">
        <v>44039</v>
      </c>
      <c r="B1379" s="116">
        <v>870</v>
      </c>
      <c r="C1379" s="116">
        <v>867.19500000000005</v>
      </c>
      <c r="D1379" s="116">
        <v>861.04750000000001</v>
      </c>
      <c r="E1379" s="116">
        <v>863.45</v>
      </c>
      <c r="F1379" s="116">
        <v>17343.900000000001</v>
      </c>
      <c r="G1379">
        <v>2715</v>
      </c>
      <c r="H1379" s="116"/>
      <c r="I1379" s="116"/>
      <c r="L1379" s="170">
        <v>44039</v>
      </c>
      <c r="M1379" s="116">
        <v>867.51250000000005</v>
      </c>
      <c r="N1379" s="116">
        <v>870.74749999999995</v>
      </c>
      <c r="O1379" s="116">
        <v>860.59500000000003</v>
      </c>
      <c r="P1379" s="116">
        <v>865</v>
      </c>
      <c r="Q1379" s="116">
        <v>17350.25</v>
      </c>
      <c r="R1379">
        <v>103843</v>
      </c>
    </row>
    <row r="1380" spans="1:18" x14ac:dyDescent="0.25">
      <c r="A1380" s="170">
        <v>44040</v>
      </c>
      <c r="B1380" s="116">
        <v>872.36749999999995</v>
      </c>
      <c r="C1380" s="116">
        <v>854.94749999999999</v>
      </c>
      <c r="D1380" s="116">
        <v>851.25</v>
      </c>
      <c r="E1380" s="116">
        <v>868.78</v>
      </c>
      <c r="F1380" s="116">
        <v>17098.95</v>
      </c>
      <c r="G1380">
        <v>5573</v>
      </c>
      <c r="H1380" s="116"/>
      <c r="I1380" s="116"/>
      <c r="L1380" s="170">
        <v>44040</v>
      </c>
      <c r="M1380" s="116">
        <v>854.77</v>
      </c>
      <c r="N1380" s="116">
        <v>873.73249999999996</v>
      </c>
      <c r="O1380" s="116">
        <v>850.38499999999999</v>
      </c>
      <c r="P1380" s="116">
        <v>870.35</v>
      </c>
      <c r="Q1380" s="116">
        <v>17095.400000000001</v>
      </c>
      <c r="R1380">
        <v>158968</v>
      </c>
    </row>
    <row r="1381" spans="1:18" x14ac:dyDescent="0.25">
      <c r="A1381" s="170">
        <v>44041</v>
      </c>
      <c r="B1381" s="116">
        <v>859.44749999999999</v>
      </c>
      <c r="C1381" s="116">
        <v>829.09500000000003</v>
      </c>
      <c r="D1381" s="116">
        <v>825.55499999999995</v>
      </c>
      <c r="E1381" s="116">
        <v>854.95</v>
      </c>
      <c r="F1381" s="116">
        <v>16581.900000000001</v>
      </c>
      <c r="G1381">
        <v>15019</v>
      </c>
      <c r="H1381" s="116"/>
      <c r="I1381" s="116"/>
      <c r="L1381" s="170">
        <v>44041</v>
      </c>
      <c r="M1381" s="116">
        <v>829.89250000000004</v>
      </c>
      <c r="N1381" s="116">
        <v>859.95</v>
      </c>
      <c r="O1381" s="116">
        <v>825.53</v>
      </c>
      <c r="P1381" s="116">
        <v>849.99749999999995</v>
      </c>
      <c r="Q1381" s="116">
        <v>16597.849999999999</v>
      </c>
      <c r="R1381">
        <v>450505</v>
      </c>
    </row>
    <row r="1382" spans="1:18" x14ac:dyDescent="0.25">
      <c r="A1382" s="170">
        <v>44042</v>
      </c>
      <c r="B1382" s="116">
        <v>839.95</v>
      </c>
      <c r="C1382" s="116">
        <v>826.58</v>
      </c>
      <c r="D1382" s="116">
        <v>822.28</v>
      </c>
      <c r="E1382" s="116">
        <v>839.95</v>
      </c>
      <c r="F1382" s="116">
        <v>16531.599999999999</v>
      </c>
      <c r="G1382">
        <v>5200</v>
      </c>
      <c r="H1382" s="116"/>
      <c r="I1382" s="116"/>
      <c r="L1382" s="170">
        <v>44042</v>
      </c>
      <c r="M1382" s="116">
        <v>826.2</v>
      </c>
      <c r="N1382" s="116">
        <v>838.59749999999997</v>
      </c>
      <c r="O1382" s="116">
        <v>822.55499999999995</v>
      </c>
      <c r="P1382" s="116">
        <v>837</v>
      </c>
      <c r="Q1382" s="116">
        <v>16524</v>
      </c>
      <c r="R1382">
        <v>128484</v>
      </c>
    </row>
    <row r="1383" spans="1:18" x14ac:dyDescent="0.25">
      <c r="A1383" s="170">
        <v>44043</v>
      </c>
      <c r="B1383" s="116">
        <v>833.30499999999995</v>
      </c>
      <c r="C1383" s="116">
        <v>826.32249999999999</v>
      </c>
      <c r="D1383" s="116">
        <v>821.66499999999996</v>
      </c>
      <c r="E1383" s="116">
        <v>822.52499999999998</v>
      </c>
      <c r="F1383" s="116">
        <v>16526.45</v>
      </c>
      <c r="G1383">
        <v>9384</v>
      </c>
      <c r="H1383" s="116"/>
      <c r="I1383" s="116"/>
      <c r="L1383" s="170">
        <v>44043</v>
      </c>
      <c r="M1383" s="116">
        <v>826.11</v>
      </c>
      <c r="N1383" s="116">
        <v>833.71249999999998</v>
      </c>
      <c r="O1383" s="116">
        <v>821.61</v>
      </c>
      <c r="P1383" s="116">
        <v>826.3</v>
      </c>
      <c r="Q1383" s="116">
        <v>16522.2</v>
      </c>
      <c r="R1383">
        <v>147940</v>
      </c>
    </row>
    <row r="1384" spans="1:18" x14ac:dyDescent="0.25">
      <c r="A1384" s="170">
        <v>44046</v>
      </c>
      <c r="B1384" s="116">
        <v>830.20249999999999</v>
      </c>
      <c r="C1384" s="116">
        <v>825.875</v>
      </c>
      <c r="D1384" s="116">
        <v>817.33249999999998</v>
      </c>
      <c r="E1384" s="116">
        <v>826.5</v>
      </c>
      <c r="F1384" s="116">
        <v>16517.5</v>
      </c>
      <c r="G1384">
        <v>4432</v>
      </c>
      <c r="H1384" s="116"/>
      <c r="I1384" s="116"/>
      <c r="L1384" s="170">
        <v>44046</v>
      </c>
      <c r="M1384" s="116">
        <v>826.24</v>
      </c>
      <c r="N1384" s="116">
        <v>830</v>
      </c>
      <c r="O1384" s="116">
        <v>817.5</v>
      </c>
      <c r="P1384" s="116">
        <v>826.4</v>
      </c>
      <c r="Q1384" s="116">
        <v>16524.8</v>
      </c>
      <c r="R1384">
        <v>115844</v>
      </c>
    </row>
    <row r="1385" spans="1:18" x14ac:dyDescent="0.25">
      <c r="A1385" s="170">
        <v>44047</v>
      </c>
      <c r="B1385" s="116">
        <v>832</v>
      </c>
      <c r="C1385" s="116">
        <v>829.13250000000005</v>
      </c>
      <c r="D1385" s="116">
        <v>820.5625</v>
      </c>
      <c r="E1385" s="116">
        <v>828.76</v>
      </c>
      <c r="F1385" s="116">
        <v>16582.650000000001</v>
      </c>
      <c r="G1385">
        <v>1929</v>
      </c>
      <c r="H1385" s="116"/>
      <c r="I1385" s="116"/>
      <c r="L1385" s="170">
        <v>44047</v>
      </c>
      <c r="M1385" s="116">
        <v>829</v>
      </c>
      <c r="N1385" s="116">
        <v>832.42750000000001</v>
      </c>
      <c r="O1385" s="116">
        <v>820.6925</v>
      </c>
      <c r="P1385" s="116">
        <v>831.76499999999999</v>
      </c>
      <c r="Q1385" s="116">
        <v>16580</v>
      </c>
      <c r="R1385">
        <v>110049</v>
      </c>
    </row>
    <row r="1386" spans="1:18" x14ac:dyDescent="0.25">
      <c r="A1386" s="170">
        <v>44048</v>
      </c>
      <c r="B1386" s="116">
        <v>831.25</v>
      </c>
      <c r="C1386" s="116">
        <v>824.80499999999995</v>
      </c>
      <c r="D1386" s="116">
        <v>823</v>
      </c>
      <c r="E1386" s="116">
        <v>827.25</v>
      </c>
      <c r="F1386" s="116">
        <v>16496.099999999999</v>
      </c>
      <c r="G1386">
        <v>8581</v>
      </c>
      <c r="H1386" s="116"/>
      <c r="I1386" s="116"/>
      <c r="L1386" s="170">
        <v>44048</v>
      </c>
      <c r="M1386" s="116">
        <v>825.16750000000002</v>
      </c>
      <c r="N1386" s="116">
        <v>832.19749999999999</v>
      </c>
      <c r="O1386" s="116">
        <v>823</v>
      </c>
      <c r="P1386" s="116">
        <v>831.5</v>
      </c>
      <c r="Q1386" s="116">
        <v>16503.349999999999</v>
      </c>
      <c r="R1386">
        <v>97765</v>
      </c>
    </row>
    <row r="1387" spans="1:18" x14ac:dyDescent="0.25">
      <c r="A1387" s="170">
        <v>44049</v>
      </c>
      <c r="B1387" s="116">
        <v>835</v>
      </c>
      <c r="C1387" s="116">
        <v>833.5625</v>
      </c>
      <c r="D1387" s="116">
        <v>823.73749999999995</v>
      </c>
      <c r="E1387" s="116">
        <v>825.05499999999995</v>
      </c>
      <c r="F1387" s="116">
        <v>16671.25</v>
      </c>
      <c r="G1387">
        <v>2083</v>
      </c>
      <c r="H1387" s="116"/>
      <c r="I1387" s="116"/>
      <c r="L1387" s="170">
        <v>44049</v>
      </c>
      <c r="M1387" s="116">
        <v>833.85749999999996</v>
      </c>
      <c r="N1387" s="116">
        <v>835</v>
      </c>
      <c r="O1387" s="116">
        <v>822.5</v>
      </c>
      <c r="P1387" s="116">
        <v>830</v>
      </c>
      <c r="Q1387" s="116">
        <v>16677.150000000001</v>
      </c>
      <c r="R1387">
        <v>105889</v>
      </c>
    </row>
    <row r="1388" spans="1:18" x14ac:dyDescent="0.25">
      <c r="A1388" s="170">
        <v>44050</v>
      </c>
      <c r="B1388" s="116">
        <v>844.66</v>
      </c>
      <c r="C1388" s="116">
        <v>838.07249999999999</v>
      </c>
      <c r="D1388" s="116">
        <v>827.73</v>
      </c>
      <c r="E1388" s="116">
        <v>837.85</v>
      </c>
      <c r="F1388" s="116">
        <v>16761.45</v>
      </c>
      <c r="G1388">
        <v>2506</v>
      </c>
      <c r="H1388" s="116"/>
      <c r="I1388" s="116"/>
      <c r="L1388" s="170">
        <v>44050</v>
      </c>
      <c r="M1388" s="116">
        <v>839.43</v>
      </c>
      <c r="N1388" s="116">
        <v>844.95</v>
      </c>
      <c r="O1388" s="116">
        <v>827.79499999999996</v>
      </c>
      <c r="P1388" s="116">
        <v>833.44500000000005</v>
      </c>
      <c r="Q1388" s="116">
        <v>16788.599999999999</v>
      </c>
      <c r="R1388">
        <v>88450</v>
      </c>
    </row>
    <row r="1389" spans="1:18" x14ac:dyDescent="0.25">
      <c r="A1389" s="170">
        <v>44053</v>
      </c>
      <c r="B1389" s="116">
        <v>845</v>
      </c>
      <c r="C1389" s="116">
        <v>833.35249999999996</v>
      </c>
      <c r="D1389" s="116">
        <v>832.16250000000002</v>
      </c>
      <c r="E1389" s="116">
        <v>845</v>
      </c>
      <c r="F1389" s="116">
        <v>16667.05</v>
      </c>
      <c r="G1389">
        <v>1621</v>
      </c>
      <c r="H1389" s="116"/>
      <c r="I1389" s="116"/>
      <c r="L1389" s="170">
        <v>44053</v>
      </c>
      <c r="M1389" s="116">
        <v>833.28750000000002</v>
      </c>
      <c r="N1389" s="116">
        <v>842.99749999999995</v>
      </c>
      <c r="O1389" s="116">
        <v>832</v>
      </c>
      <c r="P1389" s="116">
        <v>839.49749999999995</v>
      </c>
      <c r="Q1389" s="116">
        <v>16665.75</v>
      </c>
      <c r="R1389">
        <v>64149</v>
      </c>
    </row>
    <row r="1390" spans="1:18" x14ac:dyDescent="0.25">
      <c r="A1390" s="170">
        <v>44054</v>
      </c>
      <c r="B1390" s="116">
        <v>838.99</v>
      </c>
      <c r="C1390" s="116">
        <v>831.03250000000003</v>
      </c>
      <c r="D1390" s="116">
        <v>829.20749999999998</v>
      </c>
      <c r="E1390" s="116">
        <v>833.35249999999996</v>
      </c>
      <c r="F1390" s="116">
        <v>16620.650000000001</v>
      </c>
      <c r="G1390">
        <v>2136</v>
      </c>
      <c r="H1390" s="116"/>
      <c r="I1390" s="116"/>
      <c r="L1390" s="170">
        <v>44054</v>
      </c>
      <c r="M1390" s="116">
        <v>831.14</v>
      </c>
      <c r="N1390" s="116">
        <v>839.28250000000003</v>
      </c>
      <c r="O1390" s="116">
        <v>829.05</v>
      </c>
      <c r="P1390" s="116">
        <v>836.25</v>
      </c>
      <c r="Q1390" s="116">
        <v>16622.8</v>
      </c>
      <c r="R1390">
        <v>37873</v>
      </c>
    </row>
    <row r="1391" spans="1:18" x14ac:dyDescent="0.25">
      <c r="A1391" s="170">
        <v>44055</v>
      </c>
      <c r="B1391" s="116">
        <v>831</v>
      </c>
      <c r="C1391" s="116">
        <v>826.93499999999995</v>
      </c>
      <c r="D1391" s="116">
        <v>822.75</v>
      </c>
      <c r="E1391" s="116">
        <v>831</v>
      </c>
      <c r="F1391" s="116">
        <v>16538.7</v>
      </c>
      <c r="G1391">
        <v>2508</v>
      </c>
      <c r="H1391" s="116"/>
      <c r="I1391" s="116"/>
      <c r="L1391" s="170">
        <v>44055</v>
      </c>
      <c r="M1391" s="116">
        <v>827.04250000000002</v>
      </c>
      <c r="N1391" s="116">
        <v>831.10249999999996</v>
      </c>
      <c r="O1391" s="116">
        <v>822.5</v>
      </c>
      <c r="P1391" s="116">
        <v>829.10249999999996</v>
      </c>
      <c r="Q1391" s="116">
        <v>16540.849999999999</v>
      </c>
      <c r="R1391">
        <v>82169</v>
      </c>
    </row>
    <row r="1392" spans="1:18" x14ac:dyDescent="0.25">
      <c r="A1392" s="170">
        <v>44056</v>
      </c>
      <c r="B1392" s="116">
        <v>832.5</v>
      </c>
      <c r="C1392" s="116">
        <v>823.90499999999997</v>
      </c>
      <c r="D1392" s="116">
        <v>823.1</v>
      </c>
      <c r="E1392" s="116">
        <v>826.93499999999995</v>
      </c>
      <c r="F1392" s="116">
        <v>16478.099999999999</v>
      </c>
      <c r="G1392">
        <v>1706</v>
      </c>
      <c r="H1392" s="116"/>
      <c r="I1392" s="116"/>
      <c r="L1392" s="170">
        <v>44056</v>
      </c>
      <c r="M1392" s="116">
        <v>823.71</v>
      </c>
      <c r="N1392" s="116">
        <v>833.09749999999997</v>
      </c>
      <c r="O1392" s="116">
        <v>822.92</v>
      </c>
      <c r="P1392" s="116">
        <v>823.1</v>
      </c>
      <c r="Q1392" s="116">
        <v>16474.2</v>
      </c>
      <c r="R1392">
        <v>66303</v>
      </c>
    </row>
    <row r="1393" spans="1:18" x14ac:dyDescent="0.25">
      <c r="A1393" s="170">
        <v>44057</v>
      </c>
      <c r="B1393" s="116">
        <v>827</v>
      </c>
      <c r="C1393" s="116">
        <v>817.79250000000002</v>
      </c>
      <c r="D1393" s="116">
        <v>815.75</v>
      </c>
      <c r="E1393" s="116">
        <v>823.90499999999997</v>
      </c>
      <c r="F1393" s="116">
        <v>16355.85</v>
      </c>
      <c r="G1393">
        <v>3416</v>
      </c>
      <c r="H1393" s="116"/>
      <c r="I1393" s="116"/>
      <c r="L1393" s="170">
        <v>44057</v>
      </c>
      <c r="M1393" s="116">
        <v>817.73500000000001</v>
      </c>
      <c r="N1393" s="116">
        <v>827.45</v>
      </c>
      <c r="O1393" s="116">
        <v>815.25250000000005</v>
      </c>
      <c r="P1393" s="116">
        <v>824.35</v>
      </c>
      <c r="Q1393" s="116">
        <v>16354.7</v>
      </c>
      <c r="R1393">
        <v>59434</v>
      </c>
    </row>
    <row r="1394" spans="1:18" x14ac:dyDescent="0.25">
      <c r="A1394" s="170">
        <v>44060</v>
      </c>
      <c r="B1394" s="116">
        <v>826.05</v>
      </c>
      <c r="C1394" s="116">
        <v>821.36749999999995</v>
      </c>
      <c r="D1394" s="116">
        <v>815.80499999999995</v>
      </c>
      <c r="E1394" s="116">
        <v>817.8</v>
      </c>
      <c r="F1394" s="116">
        <v>16427.349999999999</v>
      </c>
      <c r="G1394">
        <v>2197</v>
      </c>
      <c r="H1394" s="116"/>
      <c r="I1394" s="116"/>
      <c r="L1394" s="170">
        <v>44060</v>
      </c>
      <c r="M1394" s="116">
        <v>821.14499999999998</v>
      </c>
      <c r="N1394" s="116">
        <v>826.22500000000002</v>
      </c>
      <c r="O1394" s="116">
        <v>815.6875</v>
      </c>
      <c r="P1394" s="116">
        <v>822.5</v>
      </c>
      <c r="Q1394" s="116">
        <v>16422.900000000001</v>
      </c>
      <c r="R1394">
        <v>62584</v>
      </c>
    </row>
    <row r="1395" spans="1:18" x14ac:dyDescent="0.25">
      <c r="A1395" s="170">
        <v>44061</v>
      </c>
      <c r="B1395" s="116">
        <v>830.88499999999999</v>
      </c>
      <c r="C1395" s="116">
        <v>827.47249999999997</v>
      </c>
      <c r="D1395" s="116">
        <v>816.01</v>
      </c>
      <c r="E1395" s="116">
        <v>821.5</v>
      </c>
      <c r="F1395" s="116">
        <v>16549.45</v>
      </c>
      <c r="G1395">
        <v>4345</v>
      </c>
      <c r="H1395" s="116"/>
      <c r="I1395" s="116"/>
      <c r="L1395" s="170">
        <v>44061</v>
      </c>
      <c r="M1395" s="116">
        <v>827.73</v>
      </c>
      <c r="N1395" s="116">
        <v>831.23</v>
      </c>
      <c r="O1395" s="116">
        <v>815.55</v>
      </c>
      <c r="P1395" s="116">
        <v>820</v>
      </c>
      <c r="Q1395" s="116">
        <v>16554.599999999999</v>
      </c>
      <c r="R1395">
        <v>104410</v>
      </c>
    </row>
    <row r="1396" spans="1:18" x14ac:dyDescent="0.25">
      <c r="A1396" s="170">
        <v>44062</v>
      </c>
      <c r="B1396" s="116">
        <v>833.75</v>
      </c>
      <c r="C1396" s="116">
        <v>817.42499999999995</v>
      </c>
      <c r="D1396" s="116">
        <v>816.05</v>
      </c>
      <c r="E1396" s="116">
        <v>833.75</v>
      </c>
      <c r="F1396" s="116">
        <v>16348.5</v>
      </c>
      <c r="G1396">
        <v>3039</v>
      </c>
      <c r="H1396" s="116"/>
      <c r="I1396" s="116"/>
      <c r="L1396" s="170">
        <v>44062</v>
      </c>
      <c r="M1396" s="116">
        <v>817.28750000000002</v>
      </c>
      <c r="N1396" s="116">
        <v>827.66250000000002</v>
      </c>
      <c r="O1396" s="116">
        <v>815.77499999999998</v>
      </c>
      <c r="P1396" s="116">
        <v>825</v>
      </c>
      <c r="Q1396" s="116">
        <v>16345.75</v>
      </c>
      <c r="R1396">
        <v>125007</v>
      </c>
    </row>
    <row r="1397" spans="1:18" x14ac:dyDescent="0.25">
      <c r="A1397" s="170">
        <v>44063</v>
      </c>
      <c r="B1397" s="116">
        <v>817.42499999999995</v>
      </c>
      <c r="C1397" s="116">
        <v>810.89250000000004</v>
      </c>
      <c r="D1397" s="116">
        <v>809.55499999999995</v>
      </c>
      <c r="E1397" s="116">
        <v>817.42499999999995</v>
      </c>
      <c r="F1397" s="116">
        <v>16217.85</v>
      </c>
      <c r="G1397">
        <v>4726</v>
      </c>
      <c r="H1397" s="116"/>
      <c r="I1397" s="116"/>
      <c r="L1397" s="170">
        <v>44063</v>
      </c>
      <c r="M1397" s="116">
        <v>810.59749999999997</v>
      </c>
      <c r="N1397" s="116">
        <v>817</v>
      </c>
      <c r="O1397" s="116">
        <v>809.26250000000005</v>
      </c>
      <c r="P1397" s="116">
        <v>815</v>
      </c>
      <c r="Q1397" s="116">
        <v>16211.95</v>
      </c>
      <c r="R1397">
        <v>98085</v>
      </c>
    </row>
    <row r="1398" spans="1:18" x14ac:dyDescent="0.25">
      <c r="A1398" s="170">
        <v>44064</v>
      </c>
      <c r="B1398" s="116">
        <v>834.18499999999995</v>
      </c>
      <c r="C1398" s="116">
        <v>827.83249999999998</v>
      </c>
      <c r="D1398" s="116">
        <v>811.79</v>
      </c>
      <c r="E1398" s="116">
        <v>811.79</v>
      </c>
      <c r="F1398" s="116">
        <v>16556.650000000001</v>
      </c>
      <c r="G1398">
        <v>9297</v>
      </c>
      <c r="H1398" s="116"/>
      <c r="I1398" s="116"/>
      <c r="L1398" s="170">
        <v>44064</v>
      </c>
      <c r="M1398" s="116">
        <v>828.09749999999997</v>
      </c>
      <c r="N1398" s="116">
        <v>834.5</v>
      </c>
      <c r="O1398" s="116">
        <v>812.5</v>
      </c>
      <c r="P1398" s="116">
        <v>816.125</v>
      </c>
      <c r="Q1398" s="116">
        <v>16561.95</v>
      </c>
      <c r="R1398">
        <v>144151</v>
      </c>
    </row>
    <row r="1399" spans="1:18" x14ac:dyDescent="0.25">
      <c r="A1399" s="170">
        <v>44067</v>
      </c>
      <c r="B1399" s="116">
        <v>834.95</v>
      </c>
      <c r="C1399" s="116">
        <v>826.77499999999998</v>
      </c>
      <c r="D1399" s="116">
        <v>820.45249999999999</v>
      </c>
      <c r="E1399" s="116">
        <v>828</v>
      </c>
      <c r="F1399" s="116">
        <v>16535.5</v>
      </c>
      <c r="G1399">
        <v>2098</v>
      </c>
      <c r="H1399" s="116"/>
      <c r="I1399" s="116"/>
      <c r="L1399" s="170">
        <v>44067</v>
      </c>
      <c r="M1399" s="116">
        <v>823.94</v>
      </c>
      <c r="N1399" s="116">
        <v>835.39499999999998</v>
      </c>
      <c r="O1399" s="116">
        <v>820.05</v>
      </c>
      <c r="P1399" s="116">
        <v>829</v>
      </c>
      <c r="Q1399" s="116">
        <v>16478.8</v>
      </c>
      <c r="R1399">
        <v>74073</v>
      </c>
    </row>
    <row r="1400" spans="1:18" x14ac:dyDescent="0.25">
      <c r="A1400" s="170">
        <v>44068</v>
      </c>
      <c r="B1400" s="116">
        <v>824.10249999999996</v>
      </c>
      <c r="C1400" s="116">
        <v>814.52499999999998</v>
      </c>
      <c r="D1400" s="116">
        <v>813.33749999999998</v>
      </c>
      <c r="E1400" s="116">
        <v>824.10249999999996</v>
      </c>
      <c r="F1400" s="116">
        <v>16290.5</v>
      </c>
      <c r="G1400">
        <v>4445</v>
      </c>
      <c r="H1400" s="116"/>
      <c r="I1400" s="116"/>
      <c r="L1400" s="170">
        <v>44068</v>
      </c>
      <c r="M1400" s="116">
        <v>814.41</v>
      </c>
      <c r="N1400" s="116">
        <v>823.89750000000004</v>
      </c>
      <c r="O1400" s="116">
        <v>813.25</v>
      </c>
      <c r="P1400" s="116">
        <v>822.8</v>
      </c>
      <c r="Q1400" s="116">
        <v>16288.2</v>
      </c>
      <c r="R1400">
        <v>108869</v>
      </c>
    </row>
    <row r="1401" spans="1:18" x14ac:dyDescent="0.25">
      <c r="A1401" s="170">
        <v>44069</v>
      </c>
      <c r="B1401" s="116">
        <v>817.44749999999999</v>
      </c>
      <c r="C1401" s="116">
        <v>809.45249999999999</v>
      </c>
      <c r="D1401" s="116">
        <v>808.55</v>
      </c>
      <c r="E1401" s="116">
        <v>814.25</v>
      </c>
      <c r="F1401" s="116">
        <v>16189.05</v>
      </c>
      <c r="G1401">
        <v>6762</v>
      </c>
      <c r="H1401" s="116"/>
      <c r="I1401" s="116"/>
      <c r="L1401" s="170">
        <v>44069</v>
      </c>
      <c r="M1401" s="116">
        <v>809.50250000000005</v>
      </c>
      <c r="N1401" s="116">
        <v>817.41750000000002</v>
      </c>
      <c r="O1401" s="116">
        <v>808.5</v>
      </c>
      <c r="P1401" s="116">
        <v>814.52499999999998</v>
      </c>
      <c r="Q1401" s="116">
        <v>16190.05</v>
      </c>
      <c r="R1401">
        <v>116523</v>
      </c>
    </row>
    <row r="1402" spans="1:18" x14ac:dyDescent="0.25">
      <c r="A1402" s="170">
        <v>44070</v>
      </c>
      <c r="B1402" s="116">
        <v>816</v>
      </c>
      <c r="C1402" s="116">
        <v>805.5675</v>
      </c>
      <c r="D1402" s="116">
        <v>804.75</v>
      </c>
      <c r="E1402" s="116">
        <v>809.5</v>
      </c>
      <c r="F1402" s="116">
        <v>16111.35</v>
      </c>
      <c r="G1402">
        <v>2580</v>
      </c>
      <c r="H1402" s="116"/>
      <c r="I1402" s="116"/>
      <c r="L1402" s="170">
        <v>44070</v>
      </c>
      <c r="M1402" s="116">
        <v>805.68499999999995</v>
      </c>
      <c r="N1402" s="116">
        <v>812.01499999999999</v>
      </c>
      <c r="O1402" s="116">
        <v>804.25</v>
      </c>
      <c r="P1402" s="116">
        <v>811.75</v>
      </c>
      <c r="Q1402" s="116">
        <v>16113.7</v>
      </c>
      <c r="R1402">
        <v>127656</v>
      </c>
    </row>
    <row r="1403" spans="1:18" x14ac:dyDescent="0.25">
      <c r="A1403" s="170">
        <v>44071</v>
      </c>
      <c r="B1403" s="116">
        <v>818.28499999999997</v>
      </c>
      <c r="C1403" s="116">
        <v>805.22249999999997</v>
      </c>
      <c r="D1403" s="116">
        <v>804.5</v>
      </c>
      <c r="E1403" s="116">
        <v>817.5</v>
      </c>
      <c r="F1403" s="116">
        <v>16104.45</v>
      </c>
      <c r="G1403">
        <v>3846</v>
      </c>
      <c r="H1403" s="116"/>
      <c r="I1403" s="116"/>
      <c r="L1403" s="170">
        <v>44071</v>
      </c>
      <c r="M1403" s="116">
        <v>805.0625</v>
      </c>
      <c r="N1403" s="116">
        <v>818.4</v>
      </c>
      <c r="O1403" s="116">
        <v>804.5</v>
      </c>
      <c r="P1403" s="116">
        <v>807.8</v>
      </c>
      <c r="Q1403" s="116">
        <v>16101.25</v>
      </c>
      <c r="R1403">
        <v>148489</v>
      </c>
    </row>
    <row r="1404" spans="1:18" x14ac:dyDescent="0.25">
      <c r="A1404" s="170">
        <v>44074</v>
      </c>
      <c r="B1404" s="116">
        <v>813.6</v>
      </c>
      <c r="C1404" s="116">
        <v>797.30499999999995</v>
      </c>
      <c r="D1404" s="116">
        <v>794</v>
      </c>
      <c r="E1404" s="116">
        <v>807.85</v>
      </c>
      <c r="F1404" s="116">
        <v>15946.1</v>
      </c>
      <c r="G1404">
        <v>7892</v>
      </c>
      <c r="H1404" s="116"/>
      <c r="I1404" s="116"/>
      <c r="L1404" s="170">
        <v>44074</v>
      </c>
      <c r="M1404" s="116">
        <v>797.47749999999996</v>
      </c>
      <c r="N1404" s="116">
        <v>814.35</v>
      </c>
      <c r="O1404" s="116">
        <v>793.75</v>
      </c>
      <c r="P1404" s="116">
        <v>810.75</v>
      </c>
      <c r="Q1404" s="116">
        <v>15949.55</v>
      </c>
      <c r="R1404">
        <v>221309</v>
      </c>
    </row>
    <row r="1405" spans="1:18" x14ac:dyDescent="0.25">
      <c r="A1405" s="170">
        <v>44075</v>
      </c>
      <c r="B1405" s="116">
        <v>812.71</v>
      </c>
      <c r="C1405" s="116">
        <v>809.55499999999995</v>
      </c>
      <c r="D1405" s="116">
        <v>787.35</v>
      </c>
      <c r="E1405" s="116">
        <v>797.55250000000001</v>
      </c>
      <c r="F1405" s="116">
        <v>16191.1</v>
      </c>
      <c r="G1405">
        <v>2620</v>
      </c>
      <c r="H1405" s="116"/>
      <c r="I1405" s="116"/>
      <c r="L1405" s="170">
        <v>44075</v>
      </c>
      <c r="M1405" s="116">
        <v>809.84500000000003</v>
      </c>
      <c r="N1405" s="116">
        <v>812.74749999999995</v>
      </c>
      <c r="O1405" s="116">
        <v>786.995</v>
      </c>
      <c r="P1405" s="116">
        <v>799.75</v>
      </c>
      <c r="Q1405" s="116">
        <v>16196.9</v>
      </c>
      <c r="R1405">
        <v>176947</v>
      </c>
    </row>
    <row r="1406" spans="1:18" x14ac:dyDescent="0.25">
      <c r="A1406" s="170">
        <v>44076</v>
      </c>
      <c r="B1406" s="116">
        <v>812.5625</v>
      </c>
      <c r="C1406" s="116">
        <v>799.71249999999998</v>
      </c>
      <c r="D1406" s="116">
        <v>798.70249999999999</v>
      </c>
      <c r="E1406" s="116">
        <v>811.7</v>
      </c>
      <c r="F1406" s="116">
        <v>15994.25</v>
      </c>
      <c r="G1406">
        <v>2622</v>
      </c>
      <c r="H1406" s="116"/>
      <c r="I1406" s="116"/>
      <c r="L1406" s="170">
        <v>44076</v>
      </c>
      <c r="M1406" s="116">
        <v>799.62750000000005</v>
      </c>
      <c r="N1406" s="116">
        <v>813</v>
      </c>
      <c r="O1406" s="116">
        <v>798.5</v>
      </c>
      <c r="P1406" s="116">
        <v>809.55</v>
      </c>
      <c r="Q1406" s="116">
        <v>15992.55</v>
      </c>
      <c r="R1406">
        <v>106192</v>
      </c>
    </row>
    <row r="1407" spans="1:18" x14ac:dyDescent="0.25">
      <c r="A1407" s="170">
        <v>44077</v>
      </c>
      <c r="B1407" s="116">
        <v>821.52499999999998</v>
      </c>
      <c r="C1407" s="116">
        <v>819.39</v>
      </c>
      <c r="D1407" s="116">
        <v>796.16250000000002</v>
      </c>
      <c r="E1407" s="116">
        <v>800.1</v>
      </c>
      <c r="F1407" s="116">
        <v>16387.8</v>
      </c>
      <c r="G1407">
        <v>8371</v>
      </c>
      <c r="H1407" s="116"/>
      <c r="I1407" s="116"/>
      <c r="L1407" s="170">
        <v>44077</v>
      </c>
      <c r="M1407" s="116">
        <v>819.6875</v>
      </c>
      <c r="N1407" s="116">
        <v>821.98</v>
      </c>
      <c r="O1407" s="116">
        <v>796.0625</v>
      </c>
      <c r="P1407" s="116">
        <v>802.5</v>
      </c>
      <c r="Q1407" s="116">
        <v>16393.75</v>
      </c>
      <c r="R1407">
        <v>133887</v>
      </c>
    </row>
    <row r="1408" spans="1:18" x14ac:dyDescent="0.25">
      <c r="A1408" s="170">
        <v>44078</v>
      </c>
      <c r="B1408" s="116">
        <v>820.85</v>
      </c>
      <c r="C1408" s="116">
        <v>811.57249999999999</v>
      </c>
      <c r="D1408" s="116">
        <v>807.23500000000001</v>
      </c>
      <c r="E1408" s="116">
        <v>813.97749999999996</v>
      </c>
      <c r="F1408" s="116">
        <v>16231.45</v>
      </c>
      <c r="G1408">
        <v>2367</v>
      </c>
      <c r="H1408" s="116"/>
      <c r="I1408" s="116"/>
      <c r="L1408" s="170">
        <v>44078</v>
      </c>
      <c r="M1408" s="116">
        <v>811.63</v>
      </c>
      <c r="N1408" s="116">
        <v>821.19500000000005</v>
      </c>
      <c r="O1408" s="116">
        <v>807.5</v>
      </c>
      <c r="P1408" s="116">
        <v>807.75</v>
      </c>
      <c r="Q1408" s="116">
        <v>16232.6</v>
      </c>
      <c r="R1408">
        <v>98932</v>
      </c>
    </row>
    <row r="1409" spans="1:18" x14ac:dyDescent="0.25">
      <c r="A1409" s="170">
        <v>44081</v>
      </c>
      <c r="B1409" s="116">
        <v>825.5</v>
      </c>
      <c r="C1409" s="116">
        <v>820.125</v>
      </c>
      <c r="D1409" s="116">
        <v>798.52499999999998</v>
      </c>
      <c r="E1409" s="116">
        <v>811.55</v>
      </c>
      <c r="F1409" s="116">
        <v>16402.5</v>
      </c>
      <c r="G1409">
        <v>2778</v>
      </c>
      <c r="H1409" s="116"/>
      <c r="I1409" s="116"/>
      <c r="L1409" s="170">
        <v>44081</v>
      </c>
      <c r="M1409" s="116">
        <v>820.17499999999995</v>
      </c>
      <c r="N1409" s="116">
        <v>825.75</v>
      </c>
      <c r="O1409" s="116">
        <v>798.60500000000002</v>
      </c>
      <c r="P1409" s="116">
        <v>812.05</v>
      </c>
      <c r="Q1409" s="116">
        <v>16403.5</v>
      </c>
      <c r="R1409">
        <v>104808</v>
      </c>
    </row>
    <row r="1410" spans="1:18" x14ac:dyDescent="0.25">
      <c r="A1410" s="170">
        <v>44082</v>
      </c>
      <c r="B1410" s="116">
        <v>817.69</v>
      </c>
      <c r="C1410" s="116">
        <v>806.77250000000004</v>
      </c>
      <c r="D1410" s="116">
        <v>805</v>
      </c>
      <c r="E1410" s="116">
        <v>815</v>
      </c>
      <c r="F1410" s="116">
        <v>16135.45</v>
      </c>
      <c r="G1410">
        <v>2331</v>
      </c>
      <c r="H1410" s="116"/>
      <c r="I1410" s="116"/>
      <c r="L1410" s="170">
        <v>44082</v>
      </c>
      <c r="M1410" s="116">
        <v>806.32500000000005</v>
      </c>
      <c r="N1410" s="116">
        <v>818.48</v>
      </c>
      <c r="O1410" s="116">
        <v>805</v>
      </c>
      <c r="P1410" s="116">
        <v>818.48</v>
      </c>
      <c r="Q1410" s="116">
        <v>16126.5</v>
      </c>
      <c r="R1410">
        <v>105449</v>
      </c>
    </row>
    <row r="1411" spans="1:18" x14ac:dyDescent="0.25">
      <c r="A1411" s="170">
        <v>44083</v>
      </c>
      <c r="B1411" s="116">
        <v>817</v>
      </c>
      <c r="C1411" s="116">
        <v>815.66</v>
      </c>
      <c r="D1411" s="116">
        <v>800.1</v>
      </c>
      <c r="E1411" s="116">
        <v>800.1</v>
      </c>
      <c r="F1411" s="116">
        <v>16313.2</v>
      </c>
      <c r="G1411">
        <v>5013</v>
      </c>
      <c r="H1411" s="116"/>
      <c r="I1411" s="116"/>
      <c r="L1411" s="170">
        <v>44083</v>
      </c>
      <c r="M1411" s="116">
        <v>815.625</v>
      </c>
      <c r="N1411" s="116">
        <v>817.5</v>
      </c>
      <c r="O1411" s="116">
        <v>800</v>
      </c>
      <c r="P1411" s="116">
        <v>800</v>
      </c>
      <c r="Q1411" s="116">
        <v>16312.5</v>
      </c>
      <c r="R1411">
        <v>135800</v>
      </c>
    </row>
    <row r="1412" spans="1:18" x14ac:dyDescent="0.25">
      <c r="A1412" s="170">
        <v>44084</v>
      </c>
      <c r="B1412" s="116">
        <v>822</v>
      </c>
      <c r="C1412" s="116">
        <v>820.64</v>
      </c>
      <c r="D1412" s="116">
        <v>811.74749999999995</v>
      </c>
      <c r="E1412" s="116">
        <v>815.65</v>
      </c>
      <c r="F1412" s="116">
        <v>16412.8</v>
      </c>
      <c r="G1412">
        <v>3495</v>
      </c>
      <c r="H1412" s="116"/>
      <c r="I1412" s="116"/>
      <c r="L1412" s="170">
        <v>44084</v>
      </c>
      <c r="M1412" s="116">
        <v>821.03499999999997</v>
      </c>
      <c r="N1412" s="116">
        <v>822.5</v>
      </c>
      <c r="O1412" s="116">
        <v>810.0625</v>
      </c>
      <c r="P1412" s="116">
        <v>813.0625</v>
      </c>
      <c r="Q1412" s="116">
        <v>16420.7</v>
      </c>
      <c r="R1412">
        <v>77208</v>
      </c>
    </row>
    <row r="1413" spans="1:18" x14ac:dyDescent="0.25">
      <c r="A1413" s="170">
        <v>44085</v>
      </c>
      <c r="B1413" s="116">
        <v>818.50750000000005</v>
      </c>
      <c r="C1413" s="116">
        <v>816.2</v>
      </c>
      <c r="D1413" s="116">
        <v>809.75</v>
      </c>
      <c r="E1413" s="116">
        <v>818.5</v>
      </c>
      <c r="F1413" s="116">
        <v>16324</v>
      </c>
      <c r="G1413">
        <v>1706</v>
      </c>
      <c r="H1413" s="116"/>
      <c r="I1413" s="116"/>
      <c r="L1413" s="170">
        <v>44085</v>
      </c>
      <c r="M1413" s="116">
        <v>816.26750000000004</v>
      </c>
      <c r="N1413" s="116">
        <v>820</v>
      </c>
      <c r="O1413" s="116">
        <v>810.2</v>
      </c>
      <c r="P1413" s="116">
        <v>820</v>
      </c>
      <c r="Q1413" s="116">
        <v>16325.35</v>
      </c>
      <c r="R1413">
        <v>81228</v>
      </c>
    </row>
    <row r="1414" spans="1:18" x14ac:dyDescent="0.25">
      <c r="A1414" s="170">
        <v>44088</v>
      </c>
      <c r="B1414" s="116">
        <v>817.22749999999996</v>
      </c>
      <c r="C1414" s="116">
        <v>803.3175</v>
      </c>
      <c r="D1414" s="116">
        <v>800</v>
      </c>
      <c r="E1414" s="116">
        <v>816.75</v>
      </c>
      <c r="F1414" s="116">
        <v>16066.35</v>
      </c>
      <c r="G1414">
        <v>3341</v>
      </c>
      <c r="H1414" s="116"/>
      <c r="I1414" s="116"/>
      <c r="L1414" s="170">
        <v>44088</v>
      </c>
      <c r="M1414" s="116">
        <v>804.16499999999996</v>
      </c>
      <c r="N1414" s="116">
        <v>820</v>
      </c>
      <c r="O1414" s="116">
        <v>802.00250000000005</v>
      </c>
      <c r="P1414" s="116">
        <v>820</v>
      </c>
      <c r="Q1414" s="116">
        <v>16083.3</v>
      </c>
      <c r="R1414">
        <v>102927</v>
      </c>
    </row>
    <row r="1415" spans="1:18" x14ac:dyDescent="0.25">
      <c r="A1415" s="170">
        <v>44089</v>
      </c>
      <c r="B1415" s="116">
        <v>809.99749999999995</v>
      </c>
      <c r="C1415" s="116">
        <v>801.92</v>
      </c>
      <c r="D1415" s="116">
        <v>800</v>
      </c>
      <c r="E1415" s="116">
        <v>809.99749999999995</v>
      </c>
      <c r="F1415" s="116">
        <v>16038.4</v>
      </c>
      <c r="G1415">
        <v>1964</v>
      </c>
      <c r="H1415" s="116"/>
      <c r="I1415" s="116"/>
      <c r="L1415" s="170">
        <v>44089</v>
      </c>
      <c r="M1415" s="116">
        <v>802.04750000000001</v>
      </c>
      <c r="N1415" s="116">
        <v>808.29499999999996</v>
      </c>
      <c r="O1415" s="116">
        <v>800.6</v>
      </c>
      <c r="P1415" s="116">
        <v>804.5</v>
      </c>
      <c r="Q1415" s="116">
        <v>16040.95</v>
      </c>
      <c r="R1415">
        <v>94985</v>
      </c>
    </row>
    <row r="1416" spans="1:18" x14ac:dyDescent="0.25">
      <c r="A1416" s="170">
        <v>44090</v>
      </c>
      <c r="B1416" s="116">
        <v>811.06</v>
      </c>
      <c r="C1416" s="116">
        <v>809.81500000000005</v>
      </c>
      <c r="D1416" s="116">
        <v>803.29499999999996</v>
      </c>
      <c r="E1416" s="116">
        <v>803.29499999999996</v>
      </c>
      <c r="F1416" s="116">
        <v>16196.3</v>
      </c>
      <c r="G1416">
        <v>3467</v>
      </c>
      <c r="H1416" s="116"/>
      <c r="I1416" s="116"/>
      <c r="L1416" s="170">
        <v>44090</v>
      </c>
      <c r="M1416" s="116">
        <v>809.89</v>
      </c>
      <c r="N1416" s="116">
        <v>811.25</v>
      </c>
      <c r="O1416" s="116">
        <v>802.5</v>
      </c>
      <c r="P1416" s="116">
        <v>803.32500000000005</v>
      </c>
      <c r="Q1416" s="116">
        <v>16197.8</v>
      </c>
      <c r="R1416">
        <v>124268</v>
      </c>
    </row>
    <row r="1417" spans="1:18" x14ac:dyDescent="0.25">
      <c r="A1417" s="170">
        <v>44091</v>
      </c>
      <c r="B1417" s="116">
        <v>814.95</v>
      </c>
      <c r="C1417" s="116">
        <v>806.09249999999997</v>
      </c>
      <c r="D1417" s="116">
        <v>804.92750000000001</v>
      </c>
      <c r="E1417" s="116">
        <v>812</v>
      </c>
      <c r="F1417" s="116">
        <v>16121.85</v>
      </c>
      <c r="G1417">
        <v>1631</v>
      </c>
      <c r="H1417" s="116"/>
      <c r="I1417" s="116"/>
      <c r="L1417" s="170">
        <v>44091</v>
      </c>
      <c r="M1417" s="116">
        <v>806.0675</v>
      </c>
      <c r="N1417" s="116">
        <v>814.94</v>
      </c>
      <c r="O1417" s="116">
        <v>804.5</v>
      </c>
      <c r="P1417" s="116">
        <v>812</v>
      </c>
      <c r="Q1417" s="116">
        <v>16121.35</v>
      </c>
      <c r="R1417">
        <v>100681</v>
      </c>
    </row>
    <row r="1418" spans="1:18" x14ac:dyDescent="0.25">
      <c r="A1418" s="170">
        <v>44092</v>
      </c>
      <c r="B1418" s="116">
        <v>812.4</v>
      </c>
      <c r="C1418" s="116">
        <v>804.94500000000005</v>
      </c>
      <c r="D1418" s="116">
        <v>796.25</v>
      </c>
      <c r="E1418" s="116">
        <v>807.46500000000003</v>
      </c>
      <c r="F1418" s="116">
        <v>16098.9</v>
      </c>
      <c r="G1418">
        <v>3117</v>
      </c>
      <c r="H1418" s="116"/>
      <c r="I1418" s="116"/>
      <c r="L1418" s="170">
        <v>44092</v>
      </c>
      <c r="M1418" s="116">
        <v>804.35249999999996</v>
      </c>
      <c r="N1418" s="116">
        <v>812.5</v>
      </c>
      <c r="O1418" s="116">
        <v>796.25</v>
      </c>
      <c r="P1418" s="116">
        <v>812.5</v>
      </c>
      <c r="Q1418" s="116">
        <v>16087.05</v>
      </c>
      <c r="R1418">
        <v>197351</v>
      </c>
    </row>
    <row r="1419" spans="1:18" x14ac:dyDescent="0.25">
      <c r="A1419" s="170">
        <v>44095</v>
      </c>
      <c r="B1419" s="116">
        <v>805</v>
      </c>
      <c r="C1419" s="116">
        <v>770.94500000000005</v>
      </c>
      <c r="D1419" s="116">
        <v>757.82</v>
      </c>
      <c r="E1419" s="116">
        <v>805</v>
      </c>
      <c r="F1419" s="116">
        <v>15418.9</v>
      </c>
      <c r="G1419">
        <v>10864</v>
      </c>
      <c r="H1419" s="116"/>
      <c r="I1419" s="116"/>
      <c r="L1419" s="170">
        <v>44095</v>
      </c>
      <c r="M1419" s="116">
        <v>771.53750000000002</v>
      </c>
      <c r="N1419" s="116">
        <v>802.47500000000002</v>
      </c>
      <c r="O1419" s="116">
        <v>757.72500000000002</v>
      </c>
      <c r="P1419" s="116">
        <v>801.25</v>
      </c>
      <c r="Q1419" s="116">
        <v>15430.75</v>
      </c>
      <c r="R1419">
        <v>277176</v>
      </c>
    </row>
    <row r="1420" spans="1:18" x14ac:dyDescent="0.25">
      <c r="A1420" s="170">
        <v>44096</v>
      </c>
      <c r="B1420" s="116">
        <v>775.74</v>
      </c>
      <c r="C1420" s="116">
        <v>760.16250000000002</v>
      </c>
      <c r="D1420" s="116">
        <v>755.21249999999998</v>
      </c>
      <c r="E1420" s="116">
        <v>774.75</v>
      </c>
      <c r="F1420" s="116">
        <v>15203.25</v>
      </c>
      <c r="G1420">
        <v>4122</v>
      </c>
      <c r="H1420" s="116"/>
      <c r="I1420" s="116"/>
      <c r="L1420" s="170">
        <v>44096</v>
      </c>
      <c r="M1420" s="116">
        <v>759.96249999999998</v>
      </c>
      <c r="N1420" s="116">
        <v>771.5</v>
      </c>
      <c r="O1420" s="116">
        <v>755</v>
      </c>
      <c r="P1420" s="116">
        <v>771.5</v>
      </c>
      <c r="Q1420" s="116">
        <v>15199.25</v>
      </c>
      <c r="R1420">
        <v>107120</v>
      </c>
    </row>
    <row r="1421" spans="1:18" x14ac:dyDescent="0.25">
      <c r="A1421" s="170">
        <v>44097</v>
      </c>
      <c r="B1421" s="116">
        <v>770</v>
      </c>
      <c r="C1421" s="116">
        <v>768.14750000000004</v>
      </c>
      <c r="D1421" s="116">
        <v>756.5</v>
      </c>
      <c r="E1421" s="116">
        <v>763.75</v>
      </c>
      <c r="F1421" s="116">
        <v>15362.95</v>
      </c>
      <c r="G1421">
        <v>5400</v>
      </c>
      <c r="H1421" s="116"/>
      <c r="I1421" s="116"/>
      <c r="L1421" s="170">
        <v>44097</v>
      </c>
      <c r="M1421" s="116">
        <v>768.30250000000001</v>
      </c>
      <c r="N1421" s="116">
        <v>769.94749999999999</v>
      </c>
      <c r="O1421" s="116">
        <v>756.5</v>
      </c>
      <c r="P1421" s="116">
        <v>760.00250000000005</v>
      </c>
      <c r="Q1421" s="116">
        <v>15366.05</v>
      </c>
      <c r="R1421">
        <v>131430</v>
      </c>
    </row>
    <row r="1422" spans="1:18" x14ac:dyDescent="0.25">
      <c r="A1422" s="170">
        <v>44098</v>
      </c>
      <c r="B1422" s="116">
        <v>772.73249999999996</v>
      </c>
      <c r="C1422" s="116">
        <v>762.89250000000004</v>
      </c>
      <c r="D1422" s="116">
        <v>759.04250000000002</v>
      </c>
      <c r="E1422" s="116">
        <v>768.14750000000004</v>
      </c>
      <c r="F1422" s="116">
        <v>15257.85</v>
      </c>
      <c r="G1422">
        <v>2215</v>
      </c>
      <c r="H1422" s="116"/>
      <c r="I1422" s="116"/>
      <c r="L1422" s="170">
        <v>44098</v>
      </c>
      <c r="M1422" s="116">
        <v>762.9425</v>
      </c>
      <c r="N1422" s="116">
        <v>771.91499999999996</v>
      </c>
      <c r="O1422" s="116">
        <v>758.75</v>
      </c>
      <c r="P1422" s="116">
        <v>767.4</v>
      </c>
      <c r="Q1422" s="116">
        <v>15258.85</v>
      </c>
      <c r="R1422">
        <v>111275</v>
      </c>
    </row>
    <row r="1423" spans="1:18" x14ac:dyDescent="0.25">
      <c r="A1423" s="170">
        <v>44099</v>
      </c>
      <c r="B1423" s="116">
        <v>791.40250000000003</v>
      </c>
      <c r="C1423" s="116">
        <v>786.71249999999998</v>
      </c>
      <c r="D1423" s="116">
        <v>765</v>
      </c>
      <c r="E1423" s="116">
        <v>765</v>
      </c>
      <c r="F1423" s="116">
        <v>15734.25</v>
      </c>
      <c r="G1423">
        <v>12567</v>
      </c>
      <c r="H1423" s="116"/>
      <c r="I1423" s="116"/>
      <c r="L1423" s="170">
        <v>44099</v>
      </c>
      <c r="M1423" s="116">
        <v>786.84</v>
      </c>
      <c r="N1423" s="116">
        <v>791.5</v>
      </c>
      <c r="O1423" s="116">
        <v>765.05</v>
      </c>
      <c r="P1423" s="116">
        <v>774.75</v>
      </c>
      <c r="Q1423" s="116">
        <v>15736.8</v>
      </c>
      <c r="R1423">
        <v>178269</v>
      </c>
    </row>
    <row r="1424" spans="1:18" x14ac:dyDescent="0.25">
      <c r="A1424" s="170">
        <v>44102</v>
      </c>
      <c r="B1424" s="116">
        <v>830.95</v>
      </c>
      <c r="C1424" s="116">
        <v>786.0675</v>
      </c>
      <c r="D1424" s="116">
        <v>781.25</v>
      </c>
      <c r="E1424" s="116">
        <v>830.95</v>
      </c>
      <c r="F1424" s="116">
        <v>15721.35</v>
      </c>
      <c r="G1424">
        <v>1398</v>
      </c>
      <c r="H1424" s="116"/>
      <c r="I1424" s="116"/>
      <c r="L1424" s="170">
        <v>44102</v>
      </c>
      <c r="M1424" s="116">
        <v>785.99</v>
      </c>
      <c r="N1424" s="116">
        <v>793.52750000000003</v>
      </c>
      <c r="O1424" s="116">
        <v>781.00750000000005</v>
      </c>
      <c r="P1424" s="116">
        <v>791</v>
      </c>
      <c r="Q1424" s="116">
        <v>15719.8</v>
      </c>
      <c r="R1424">
        <v>54411</v>
      </c>
    </row>
    <row r="1425" spans="1:18" x14ac:dyDescent="0.25">
      <c r="A1425" s="170">
        <v>44103</v>
      </c>
      <c r="B1425" s="116">
        <v>792.25</v>
      </c>
      <c r="C1425" s="116">
        <v>781.27</v>
      </c>
      <c r="D1425" s="116">
        <v>778.89250000000004</v>
      </c>
      <c r="E1425" s="116">
        <v>790</v>
      </c>
      <c r="F1425" s="116">
        <v>15625.4</v>
      </c>
      <c r="G1425">
        <v>2820</v>
      </c>
      <c r="H1425" s="116"/>
      <c r="I1425" s="116"/>
      <c r="L1425" s="170">
        <v>44103</v>
      </c>
      <c r="M1425" s="116">
        <v>781.04250000000002</v>
      </c>
      <c r="N1425" s="116">
        <v>792.55250000000001</v>
      </c>
      <c r="O1425" s="116">
        <v>778.75</v>
      </c>
      <c r="P1425" s="116">
        <v>790</v>
      </c>
      <c r="Q1425" s="116">
        <v>15620.85</v>
      </c>
      <c r="R1425">
        <v>48179</v>
      </c>
    </row>
    <row r="1426" spans="1:18" x14ac:dyDescent="0.25">
      <c r="A1426" s="170">
        <v>44104</v>
      </c>
      <c r="B1426" s="116">
        <v>801.14</v>
      </c>
      <c r="C1426" s="116">
        <v>796.23500000000001</v>
      </c>
      <c r="D1426" s="116">
        <v>781</v>
      </c>
      <c r="E1426" s="116">
        <v>784.5</v>
      </c>
      <c r="F1426" s="116">
        <v>15924.7</v>
      </c>
      <c r="G1426">
        <v>14579</v>
      </c>
      <c r="H1426" s="116"/>
      <c r="I1426" s="116"/>
      <c r="L1426" s="170">
        <v>44104</v>
      </c>
      <c r="M1426" s="116">
        <v>795.9325</v>
      </c>
      <c r="N1426" s="116">
        <v>801.4375</v>
      </c>
      <c r="O1426" s="116">
        <v>780.25250000000005</v>
      </c>
      <c r="P1426" s="116">
        <v>781.49749999999995</v>
      </c>
      <c r="Q1426" s="116">
        <v>15918.65</v>
      </c>
      <c r="R1426">
        <v>103502</v>
      </c>
    </row>
    <row r="1427" spans="1:18" x14ac:dyDescent="0.25">
      <c r="A1427" s="170">
        <v>44105</v>
      </c>
      <c r="B1427" s="116">
        <v>802.16250000000002</v>
      </c>
      <c r="C1427" s="116">
        <v>799.92250000000001</v>
      </c>
      <c r="D1427" s="116">
        <v>789.8175</v>
      </c>
      <c r="E1427" s="116">
        <v>800</v>
      </c>
      <c r="F1427" s="116">
        <v>15998.45</v>
      </c>
      <c r="G1427">
        <v>3079</v>
      </c>
      <c r="H1427" s="116"/>
      <c r="I1427" s="116"/>
      <c r="L1427" s="170">
        <v>44105</v>
      </c>
      <c r="M1427" s="116">
        <v>800.02499999999998</v>
      </c>
      <c r="N1427" s="116">
        <v>802.5</v>
      </c>
      <c r="O1427" s="116">
        <v>789.88</v>
      </c>
      <c r="P1427" s="116">
        <v>795.95</v>
      </c>
      <c r="Q1427" s="116">
        <v>16000.5</v>
      </c>
      <c r="R1427">
        <v>62638</v>
      </c>
    </row>
    <row r="1428" spans="1:18" x14ac:dyDescent="0.25">
      <c r="A1428" s="170">
        <v>44109</v>
      </c>
      <c r="B1428" s="116">
        <v>807.07249999999999</v>
      </c>
      <c r="C1428" s="116">
        <v>801.98</v>
      </c>
      <c r="D1428" s="116">
        <v>791.24749999999995</v>
      </c>
      <c r="E1428" s="116">
        <v>805</v>
      </c>
      <c r="F1428" s="116">
        <v>16039.6</v>
      </c>
      <c r="G1428">
        <v>1414</v>
      </c>
      <c r="H1428" s="116"/>
      <c r="I1428" s="116"/>
      <c r="L1428" s="170">
        <v>44109</v>
      </c>
      <c r="M1428" s="116">
        <v>801.65750000000003</v>
      </c>
      <c r="N1428" s="116">
        <v>807</v>
      </c>
      <c r="O1428" s="116">
        <v>786.61749999999995</v>
      </c>
      <c r="P1428" s="116">
        <v>799.9</v>
      </c>
      <c r="Q1428" s="116">
        <v>16033.15</v>
      </c>
      <c r="R1428">
        <v>71081</v>
      </c>
    </row>
    <row r="1429" spans="1:18" x14ac:dyDescent="0.25">
      <c r="A1429" s="170">
        <v>44110</v>
      </c>
      <c r="B1429" s="116">
        <v>806.5</v>
      </c>
      <c r="C1429" s="116">
        <v>793.74749999999995</v>
      </c>
      <c r="D1429" s="116">
        <v>792</v>
      </c>
      <c r="E1429" s="116">
        <v>805</v>
      </c>
      <c r="F1429" s="116">
        <v>15874.95</v>
      </c>
      <c r="G1429">
        <v>2528</v>
      </c>
      <c r="H1429" s="116"/>
      <c r="I1429" s="116"/>
      <c r="L1429" s="170">
        <v>44110</v>
      </c>
      <c r="M1429" s="116">
        <v>793.84249999999997</v>
      </c>
      <c r="N1429" s="116">
        <v>806.4</v>
      </c>
      <c r="O1429" s="116">
        <v>791.70249999999999</v>
      </c>
      <c r="P1429" s="116">
        <v>801.65</v>
      </c>
      <c r="Q1429" s="116">
        <v>15876.85</v>
      </c>
      <c r="R1429">
        <v>75278</v>
      </c>
    </row>
    <row r="1430" spans="1:18" x14ac:dyDescent="0.25">
      <c r="A1430" s="170">
        <v>44111</v>
      </c>
      <c r="B1430" s="116">
        <v>806.625</v>
      </c>
      <c r="C1430" s="116">
        <v>805.59</v>
      </c>
      <c r="D1430" s="116">
        <v>793.84249999999997</v>
      </c>
      <c r="E1430" s="116">
        <v>795</v>
      </c>
      <c r="F1430" s="116">
        <v>16111.8</v>
      </c>
      <c r="G1430">
        <v>2633</v>
      </c>
      <c r="H1430" s="116"/>
      <c r="I1430" s="116"/>
      <c r="L1430" s="170">
        <v>44111</v>
      </c>
      <c r="M1430" s="116">
        <v>805.72</v>
      </c>
      <c r="N1430" s="116">
        <v>806.24749999999995</v>
      </c>
      <c r="O1430" s="116">
        <v>792.73249999999996</v>
      </c>
      <c r="P1430" s="116">
        <v>797.81</v>
      </c>
      <c r="Q1430" s="116">
        <v>16114.4</v>
      </c>
      <c r="R1430">
        <v>99647</v>
      </c>
    </row>
    <row r="1431" spans="1:18" x14ac:dyDescent="0.25">
      <c r="A1431" s="170">
        <v>44112</v>
      </c>
      <c r="B1431" s="116">
        <v>816.01</v>
      </c>
      <c r="C1431" s="116">
        <v>815.04499999999996</v>
      </c>
      <c r="D1431" s="116">
        <v>803.63750000000005</v>
      </c>
      <c r="E1431" s="116">
        <v>806.65</v>
      </c>
      <c r="F1431" s="116">
        <v>16300.9</v>
      </c>
      <c r="G1431">
        <v>1941</v>
      </c>
      <c r="H1431" s="116"/>
      <c r="I1431" s="116"/>
      <c r="L1431" s="170">
        <v>44112</v>
      </c>
      <c r="M1431" s="116">
        <v>815.23</v>
      </c>
      <c r="N1431" s="116">
        <v>816.5</v>
      </c>
      <c r="O1431" s="116">
        <v>802.60249999999996</v>
      </c>
      <c r="P1431" s="116">
        <v>805</v>
      </c>
      <c r="Q1431" s="116">
        <v>16304.6</v>
      </c>
      <c r="R1431">
        <v>78576</v>
      </c>
    </row>
    <row r="1432" spans="1:18" x14ac:dyDescent="0.25">
      <c r="A1432" s="170">
        <v>44113</v>
      </c>
      <c r="B1432" s="116">
        <v>819</v>
      </c>
      <c r="C1432" s="116">
        <v>802.25</v>
      </c>
      <c r="D1432" s="116">
        <v>799.90250000000003</v>
      </c>
      <c r="E1432" s="116">
        <v>819</v>
      </c>
      <c r="F1432" s="116">
        <v>16045</v>
      </c>
      <c r="G1432">
        <v>3016</v>
      </c>
      <c r="H1432" s="116"/>
      <c r="I1432" s="116"/>
      <c r="L1432" s="170">
        <v>44113</v>
      </c>
      <c r="M1432" s="116">
        <v>801.70500000000004</v>
      </c>
      <c r="N1432" s="116">
        <v>817.5</v>
      </c>
      <c r="O1432" s="116">
        <v>799.25</v>
      </c>
      <c r="P1432" s="116">
        <v>812.5</v>
      </c>
      <c r="Q1432" s="116">
        <v>16034.1</v>
      </c>
      <c r="R1432">
        <v>74246</v>
      </c>
    </row>
    <row r="1433" spans="1:18" x14ac:dyDescent="0.25">
      <c r="A1433" s="170">
        <v>44116</v>
      </c>
      <c r="B1433" s="116">
        <v>807.25</v>
      </c>
      <c r="C1433" s="116">
        <v>795.03</v>
      </c>
      <c r="D1433" s="116">
        <v>793.08749999999998</v>
      </c>
      <c r="E1433" s="116">
        <v>807.25</v>
      </c>
      <c r="F1433" s="116">
        <v>15900.6</v>
      </c>
      <c r="G1433">
        <v>1953</v>
      </c>
      <c r="H1433" s="116"/>
      <c r="I1433" s="116"/>
      <c r="L1433" s="170">
        <v>44116</v>
      </c>
      <c r="M1433" s="116">
        <v>795.11</v>
      </c>
      <c r="N1433" s="116">
        <v>807.48</v>
      </c>
      <c r="O1433" s="116">
        <v>793</v>
      </c>
      <c r="P1433" s="116">
        <v>805</v>
      </c>
      <c r="Q1433" s="116">
        <v>15902.2</v>
      </c>
      <c r="R1433">
        <v>58171</v>
      </c>
    </row>
    <row r="1434" spans="1:18" x14ac:dyDescent="0.25">
      <c r="A1434" s="170">
        <v>44117</v>
      </c>
      <c r="B1434" s="116">
        <v>799.16750000000002</v>
      </c>
      <c r="C1434" s="116">
        <v>783.57749999999999</v>
      </c>
      <c r="D1434" s="116">
        <v>782.75750000000005</v>
      </c>
      <c r="E1434" s="116">
        <v>795</v>
      </c>
      <c r="F1434" s="116">
        <v>15671.55</v>
      </c>
      <c r="G1434">
        <v>1856</v>
      </c>
      <c r="H1434" s="116"/>
      <c r="I1434" s="116"/>
      <c r="L1434" s="170">
        <v>44117</v>
      </c>
      <c r="M1434" s="116">
        <v>783.65</v>
      </c>
      <c r="N1434" s="116">
        <v>798.96249999999998</v>
      </c>
      <c r="O1434" s="116">
        <v>782.6</v>
      </c>
      <c r="P1434" s="116">
        <v>794</v>
      </c>
      <c r="Q1434" s="116">
        <v>15673</v>
      </c>
      <c r="R1434">
        <v>76235</v>
      </c>
    </row>
    <row r="1435" spans="1:18" x14ac:dyDescent="0.25">
      <c r="A1435" s="170">
        <v>44118</v>
      </c>
      <c r="B1435" s="116">
        <v>790.96500000000003</v>
      </c>
      <c r="C1435" s="116">
        <v>783.47</v>
      </c>
      <c r="D1435" s="116">
        <v>777.58249999999998</v>
      </c>
      <c r="E1435" s="116">
        <v>783.65</v>
      </c>
      <c r="F1435" s="116">
        <v>15669.4</v>
      </c>
      <c r="G1435">
        <v>1389</v>
      </c>
      <c r="H1435" s="116"/>
      <c r="I1435" s="116"/>
      <c r="L1435" s="170">
        <v>44118</v>
      </c>
      <c r="M1435" s="116">
        <v>783.65250000000003</v>
      </c>
      <c r="N1435" s="116">
        <v>791</v>
      </c>
      <c r="O1435" s="116">
        <v>777.5</v>
      </c>
      <c r="P1435" s="116">
        <v>783.7</v>
      </c>
      <c r="Q1435" s="116">
        <v>15673.05</v>
      </c>
      <c r="R1435">
        <v>66595</v>
      </c>
    </row>
    <row r="1436" spans="1:18" x14ac:dyDescent="0.25">
      <c r="A1436" s="170">
        <v>44119</v>
      </c>
      <c r="B1436" s="116">
        <v>791</v>
      </c>
      <c r="C1436" s="116">
        <v>779.64</v>
      </c>
      <c r="D1436" s="116">
        <v>778.1825</v>
      </c>
      <c r="E1436" s="116">
        <v>791</v>
      </c>
      <c r="F1436" s="116">
        <v>15592.8</v>
      </c>
      <c r="G1436">
        <v>12132</v>
      </c>
      <c r="H1436" s="116"/>
      <c r="I1436" s="116"/>
      <c r="L1436" s="170">
        <v>44119</v>
      </c>
      <c r="M1436" s="116">
        <v>780.13750000000005</v>
      </c>
      <c r="N1436" s="116">
        <v>789.4</v>
      </c>
      <c r="O1436" s="116">
        <v>778.09</v>
      </c>
      <c r="P1436" s="116">
        <v>785</v>
      </c>
      <c r="Q1436" s="116">
        <v>15602.75</v>
      </c>
      <c r="R1436">
        <v>50244</v>
      </c>
    </row>
    <row r="1437" spans="1:18" x14ac:dyDescent="0.25">
      <c r="A1437" s="170">
        <v>44120</v>
      </c>
      <c r="B1437" s="116">
        <v>790.375</v>
      </c>
      <c r="C1437" s="116">
        <v>771.71</v>
      </c>
      <c r="D1437" s="116">
        <v>769.495</v>
      </c>
      <c r="E1437" s="116">
        <v>784.95</v>
      </c>
      <c r="F1437" s="116">
        <v>15434.2</v>
      </c>
      <c r="G1437">
        <v>2391</v>
      </c>
      <c r="H1437" s="116"/>
      <c r="I1437" s="116"/>
      <c r="L1437" s="170">
        <v>44120</v>
      </c>
      <c r="M1437" s="116">
        <v>771.51250000000005</v>
      </c>
      <c r="N1437" s="116">
        <v>791.02</v>
      </c>
      <c r="O1437" s="116">
        <v>768.75</v>
      </c>
      <c r="P1437" s="116">
        <v>782.5</v>
      </c>
      <c r="Q1437" s="116">
        <v>15430.25</v>
      </c>
      <c r="R1437">
        <v>132361</v>
      </c>
    </row>
    <row r="1438" spans="1:18" x14ac:dyDescent="0.25">
      <c r="A1438" s="170">
        <v>44123</v>
      </c>
      <c r="B1438" s="116">
        <v>808</v>
      </c>
      <c r="C1438" s="116">
        <v>804.48249999999996</v>
      </c>
      <c r="D1438" s="116">
        <v>771.75</v>
      </c>
      <c r="E1438" s="116">
        <v>779.4</v>
      </c>
      <c r="F1438" s="116">
        <v>16089.65</v>
      </c>
      <c r="G1438">
        <v>5288</v>
      </c>
      <c r="H1438" s="116"/>
      <c r="I1438" s="116"/>
      <c r="L1438" s="170">
        <v>44123</v>
      </c>
      <c r="M1438" s="116">
        <v>804.65750000000003</v>
      </c>
      <c r="N1438" s="116">
        <v>808.9</v>
      </c>
      <c r="O1438" s="116">
        <v>771.25250000000005</v>
      </c>
      <c r="P1438" s="116">
        <v>777.5</v>
      </c>
      <c r="Q1438" s="116">
        <v>16093.15</v>
      </c>
      <c r="R1438">
        <v>182795</v>
      </c>
    </row>
    <row r="1439" spans="1:18" x14ac:dyDescent="0.25">
      <c r="A1439" s="170">
        <v>44124</v>
      </c>
      <c r="B1439" s="116">
        <v>821.08</v>
      </c>
      <c r="C1439" s="116">
        <v>812.63250000000005</v>
      </c>
      <c r="D1439" s="116">
        <v>794</v>
      </c>
      <c r="E1439" s="116">
        <v>800</v>
      </c>
      <c r="F1439" s="116">
        <v>16252.65</v>
      </c>
      <c r="G1439">
        <v>7878</v>
      </c>
      <c r="H1439" s="116"/>
      <c r="I1439" s="116"/>
      <c r="L1439" s="170">
        <v>44124</v>
      </c>
      <c r="M1439" s="116">
        <v>812.62750000000005</v>
      </c>
      <c r="N1439" s="116">
        <v>820.5</v>
      </c>
      <c r="O1439" s="116">
        <v>792.5</v>
      </c>
      <c r="P1439" s="116">
        <v>795</v>
      </c>
      <c r="Q1439" s="116">
        <v>16252.55</v>
      </c>
      <c r="R1439">
        <v>203345</v>
      </c>
    </row>
    <row r="1440" spans="1:18" x14ac:dyDescent="0.25">
      <c r="A1440" s="170">
        <v>44125</v>
      </c>
      <c r="B1440" s="116">
        <v>815</v>
      </c>
      <c r="C1440" s="116">
        <v>800.78499999999997</v>
      </c>
      <c r="D1440" s="116">
        <v>797.77499999999998</v>
      </c>
      <c r="E1440" s="116">
        <v>811.5</v>
      </c>
      <c r="F1440" s="116">
        <v>16015.7</v>
      </c>
      <c r="G1440">
        <v>5070</v>
      </c>
      <c r="H1440" s="116"/>
      <c r="I1440" s="116"/>
      <c r="L1440" s="170">
        <v>44125</v>
      </c>
      <c r="M1440" s="116">
        <v>801.54250000000002</v>
      </c>
      <c r="N1440" s="116">
        <v>815.72249999999997</v>
      </c>
      <c r="O1440" s="116">
        <v>797.10249999999996</v>
      </c>
      <c r="P1440" s="116">
        <v>812</v>
      </c>
      <c r="Q1440" s="116">
        <v>16030.85</v>
      </c>
      <c r="R1440">
        <v>150095</v>
      </c>
    </row>
    <row r="1441" spans="1:18" x14ac:dyDescent="0.25">
      <c r="A1441" s="170">
        <v>44126</v>
      </c>
      <c r="B1441" s="116">
        <v>803.70500000000004</v>
      </c>
      <c r="C1441" s="116">
        <v>795.5625</v>
      </c>
      <c r="D1441" s="116">
        <v>788.65750000000003</v>
      </c>
      <c r="E1441" s="116">
        <v>800</v>
      </c>
      <c r="F1441" s="116">
        <v>15911.25</v>
      </c>
      <c r="G1441">
        <v>4059</v>
      </c>
      <c r="H1441" s="116"/>
      <c r="I1441" s="116"/>
      <c r="L1441" s="170">
        <v>44126</v>
      </c>
      <c r="M1441" s="116">
        <v>795.47249999999997</v>
      </c>
      <c r="N1441" s="116">
        <v>804.05499999999995</v>
      </c>
      <c r="O1441" s="116">
        <v>788.40250000000003</v>
      </c>
      <c r="P1441" s="116">
        <v>799.50250000000005</v>
      </c>
      <c r="Q1441" s="116">
        <v>15909.45</v>
      </c>
      <c r="R1441">
        <v>113586</v>
      </c>
    </row>
    <row r="1442" spans="1:18" x14ac:dyDescent="0.25">
      <c r="A1442" s="170">
        <v>44127</v>
      </c>
      <c r="B1442" s="116">
        <v>803.3075</v>
      </c>
      <c r="C1442" s="116">
        <v>793.15</v>
      </c>
      <c r="D1442" s="116">
        <v>790.76750000000004</v>
      </c>
      <c r="E1442" s="116">
        <v>795.6</v>
      </c>
      <c r="F1442" s="116">
        <v>15863</v>
      </c>
      <c r="G1442">
        <v>3205</v>
      </c>
      <c r="H1442" s="116"/>
      <c r="I1442" s="116"/>
      <c r="L1442" s="170">
        <v>44127</v>
      </c>
      <c r="M1442" s="116">
        <v>793.27250000000004</v>
      </c>
      <c r="N1442" s="116">
        <v>803.3</v>
      </c>
      <c r="O1442" s="116">
        <v>790.36249999999995</v>
      </c>
      <c r="P1442" s="116">
        <v>796.5</v>
      </c>
      <c r="Q1442" s="116">
        <v>15865.45</v>
      </c>
      <c r="R1442">
        <v>73600</v>
      </c>
    </row>
    <row r="1443" spans="1:18" x14ac:dyDescent="0.25">
      <c r="A1443" s="170">
        <v>44130</v>
      </c>
      <c r="B1443" s="116">
        <v>818.75</v>
      </c>
      <c r="C1443" s="116">
        <v>812.81</v>
      </c>
      <c r="D1443" s="116">
        <v>802.6925</v>
      </c>
      <c r="E1443" s="116">
        <v>806.98</v>
      </c>
      <c r="F1443" s="116">
        <v>16256.2</v>
      </c>
      <c r="G1443">
        <v>10044</v>
      </c>
      <c r="H1443" s="116"/>
      <c r="I1443" s="116"/>
      <c r="L1443" s="170">
        <v>44130</v>
      </c>
      <c r="M1443" s="116">
        <v>812.96749999999997</v>
      </c>
      <c r="N1443" s="116">
        <v>818.75</v>
      </c>
      <c r="O1443" s="116">
        <v>802.60749999999996</v>
      </c>
      <c r="P1443" s="116">
        <v>810</v>
      </c>
      <c r="Q1443" s="116">
        <v>16259.35</v>
      </c>
      <c r="R1443">
        <v>346011</v>
      </c>
    </row>
    <row r="1444" spans="1:18" x14ac:dyDescent="0.25">
      <c r="A1444" s="170">
        <v>44131</v>
      </c>
      <c r="B1444" s="116">
        <v>864.95</v>
      </c>
      <c r="C1444" s="116">
        <v>861.66250000000002</v>
      </c>
      <c r="D1444" s="116">
        <v>820.33249999999998</v>
      </c>
      <c r="E1444" s="116">
        <v>824.5</v>
      </c>
      <c r="F1444" s="116">
        <v>17233.25</v>
      </c>
      <c r="G1444">
        <v>16615</v>
      </c>
      <c r="H1444" s="116"/>
      <c r="I1444" s="116"/>
      <c r="L1444" s="170">
        <v>44131</v>
      </c>
      <c r="M1444" s="116">
        <v>861.49249999999995</v>
      </c>
      <c r="N1444" s="116">
        <v>865</v>
      </c>
      <c r="O1444" s="116">
        <v>819.77750000000003</v>
      </c>
      <c r="P1444" s="116">
        <v>824</v>
      </c>
      <c r="Q1444" s="116">
        <v>17229.849999999999</v>
      </c>
      <c r="R1444">
        <v>493572</v>
      </c>
    </row>
    <row r="1445" spans="1:18" x14ac:dyDescent="0.25">
      <c r="A1445" s="170">
        <v>44132</v>
      </c>
      <c r="B1445" s="116">
        <v>864.77</v>
      </c>
      <c r="C1445" s="116">
        <v>855.99749999999995</v>
      </c>
      <c r="D1445" s="116">
        <v>846.89499999999998</v>
      </c>
      <c r="E1445" s="116">
        <v>859.99749999999995</v>
      </c>
      <c r="F1445" s="116">
        <v>17119.95</v>
      </c>
      <c r="G1445">
        <v>17513</v>
      </c>
      <c r="H1445" s="116"/>
      <c r="I1445" s="116"/>
      <c r="L1445" s="170">
        <v>44132</v>
      </c>
      <c r="M1445" s="116">
        <v>855.95749999999998</v>
      </c>
      <c r="N1445" s="116">
        <v>864.75</v>
      </c>
      <c r="O1445" s="116">
        <v>846.71500000000003</v>
      </c>
      <c r="P1445" s="116">
        <v>857.5</v>
      </c>
      <c r="Q1445" s="116">
        <v>17119.150000000001</v>
      </c>
      <c r="R1445">
        <v>163263</v>
      </c>
    </row>
    <row r="1446" spans="1:18" x14ac:dyDescent="0.25">
      <c r="A1446" s="170">
        <v>44133</v>
      </c>
      <c r="B1446" s="116">
        <v>860.51250000000005</v>
      </c>
      <c r="C1446" s="116">
        <v>843.07249999999999</v>
      </c>
      <c r="D1446" s="116">
        <v>831</v>
      </c>
      <c r="E1446" s="116">
        <v>831</v>
      </c>
      <c r="F1446" s="116">
        <v>16861.45</v>
      </c>
      <c r="G1446">
        <v>5655</v>
      </c>
      <c r="H1446" s="116"/>
      <c r="I1446" s="116"/>
      <c r="L1446" s="170">
        <v>44133</v>
      </c>
      <c r="M1446" s="116">
        <v>843.53</v>
      </c>
      <c r="N1446" s="116">
        <v>860.79750000000001</v>
      </c>
      <c r="O1446" s="116">
        <v>835.59249999999997</v>
      </c>
      <c r="P1446" s="116">
        <v>839.00250000000005</v>
      </c>
      <c r="Q1446" s="116">
        <v>16870.599999999999</v>
      </c>
      <c r="R1446">
        <v>136561</v>
      </c>
    </row>
    <row r="1447" spans="1:18" x14ac:dyDescent="0.25">
      <c r="A1447" s="170">
        <v>44134</v>
      </c>
      <c r="B1447" s="116">
        <v>867.5</v>
      </c>
      <c r="C1447" s="116">
        <v>858.14</v>
      </c>
      <c r="D1447" s="116">
        <v>846</v>
      </c>
      <c r="E1447" s="116">
        <v>846.25</v>
      </c>
      <c r="F1447" s="116">
        <v>17162.8</v>
      </c>
      <c r="G1447">
        <v>4774</v>
      </c>
      <c r="H1447" s="116"/>
      <c r="I1447" s="116"/>
      <c r="L1447" s="170">
        <v>44134</v>
      </c>
      <c r="M1447" s="116">
        <v>858.08</v>
      </c>
      <c r="N1447" s="116">
        <v>868</v>
      </c>
      <c r="O1447" s="116">
        <v>844.5</v>
      </c>
      <c r="P1447" s="116">
        <v>844.55</v>
      </c>
      <c r="Q1447" s="116">
        <v>17161.599999999999</v>
      </c>
      <c r="R1447">
        <v>239318</v>
      </c>
    </row>
    <row r="1448" spans="1:18" x14ac:dyDescent="0.25">
      <c r="A1448" s="170">
        <v>44137</v>
      </c>
      <c r="B1448" s="116">
        <v>867.97249999999997</v>
      </c>
      <c r="C1448" s="116">
        <v>855.51</v>
      </c>
      <c r="D1448" s="116">
        <v>846.7</v>
      </c>
      <c r="E1448" s="116">
        <v>856.1</v>
      </c>
      <c r="F1448" s="116">
        <v>17110.2</v>
      </c>
      <c r="G1448">
        <v>2808</v>
      </c>
      <c r="H1448" s="116"/>
      <c r="I1448" s="116"/>
      <c r="L1448" s="170">
        <v>44137</v>
      </c>
      <c r="M1448" s="116">
        <v>855.74749999999995</v>
      </c>
      <c r="N1448" s="116">
        <v>868</v>
      </c>
      <c r="O1448" s="116">
        <v>847</v>
      </c>
      <c r="P1448" s="116">
        <v>860.05</v>
      </c>
      <c r="Q1448" s="116">
        <v>17114.95</v>
      </c>
      <c r="R1448">
        <v>84764</v>
      </c>
    </row>
    <row r="1449" spans="1:18" x14ac:dyDescent="0.25">
      <c r="A1449" s="170">
        <v>44138</v>
      </c>
      <c r="B1449" s="116">
        <v>863.86249999999995</v>
      </c>
      <c r="C1449" s="116">
        <v>839.73</v>
      </c>
      <c r="D1449" s="116">
        <v>827.92250000000001</v>
      </c>
      <c r="E1449" s="116">
        <v>860</v>
      </c>
      <c r="F1449" s="116">
        <v>16794.599999999999</v>
      </c>
      <c r="G1449">
        <v>5607</v>
      </c>
      <c r="H1449" s="116"/>
      <c r="I1449" s="116"/>
      <c r="L1449" s="170">
        <v>44138</v>
      </c>
      <c r="M1449" s="116">
        <v>844.625</v>
      </c>
      <c r="N1449" s="116">
        <v>863.49749999999995</v>
      </c>
      <c r="O1449" s="116">
        <v>838</v>
      </c>
      <c r="P1449" s="116">
        <v>861.95</v>
      </c>
      <c r="Q1449" s="116">
        <v>16892.5</v>
      </c>
      <c r="R1449">
        <v>104743</v>
      </c>
    </row>
    <row r="1450" spans="1:18" x14ac:dyDescent="0.25">
      <c r="A1450" s="170">
        <v>44139</v>
      </c>
      <c r="B1450" s="116">
        <v>860</v>
      </c>
      <c r="C1450" s="116">
        <v>849.78</v>
      </c>
      <c r="D1450" s="116">
        <v>842.6</v>
      </c>
      <c r="E1450" s="116">
        <v>855</v>
      </c>
      <c r="F1450" s="116">
        <v>16995.599999999999</v>
      </c>
      <c r="G1450">
        <v>2179</v>
      </c>
      <c r="H1450" s="116"/>
      <c r="I1450" s="116"/>
      <c r="L1450" s="170">
        <v>44139</v>
      </c>
      <c r="M1450" s="116">
        <v>849.85500000000002</v>
      </c>
      <c r="N1450" s="116">
        <v>860</v>
      </c>
      <c r="O1450" s="116">
        <v>841.25</v>
      </c>
      <c r="P1450" s="116">
        <v>850</v>
      </c>
      <c r="Q1450" s="116">
        <v>16997.099999999999</v>
      </c>
      <c r="R1450">
        <v>97909</v>
      </c>
    </row>
    <row r="1451" spans="1:18" x14ac:dyDescent="0.25">
      <c r="A1451" s="170">
        <v>44140</v>
      </c>
      <c r="B1451" s="116">
        <v>870</v>
      </c>
      <c r="C1451" s="116">
        <v>860.93</v>
      </c>
      <c r="D1451" s="116">
        <v>850</v>
      </c>
      <c r="E1451" s="116">
        <v>850</v>
      </c>
      <c r="F1451" s="116">
        <v>17218.599999999999</v>
      </c>
      <c r="G1451">
        <v>4301</v>
      </c>
      <c r="H1451" s="116"/>
      <c r="I1451" s="116"/>
      <c r="L1451" s="170">
        <v>44140</v>
      </c>
      <c r="M1451" s="116">
        <v>861.06500000000005</v>
      </c>
      <c r="N1451" s="116">
        <v>869.95</v>
      </c>
      <c r="O1451" s="116">
        <v>851.04</v>
      </c>
      <c r="P1451" s="116">
        <v>855</v>
      </c>
      <c r="Q1451" s="116">
        <v>17221.3</v>
      </c>
      <c r="R1451">
        <v>101747</v>
      </c>
    </row>
    <row r="1452" spans="1:18" x14ac:dyDescent="0.25">
      <c r="A1452" s="170">
        <v>44141</v>
      </c>
      <c r="B1452" s="116">
        <v>864</v>
      </c>
      <c r="C1452" s="116">
        <v>850.4375</v>
      </c>
      <c r="D1452" s="116">
        <v>845.39</v>
      </c>
      <c r="E1452" s="116">
        <v>864</v>
      </c>
      <c r="F1452" s="116">
        <v>17008.75</v>
      </c>
      <c r="G1452">
        <v>2124</v>
      </c>
      <c r="H1452" s="116"/>
      <c r="I1452" s="116"/>
      <c r="L1452" s="170">
        <v>44141</v>
      </c>
      <c r="M1452" s="116">
        <v>850.33249999999998</v>
      </c>
      <c r="N1452" s="116">
        <v>863.99249999999995</v>
      </c>
      <c r="O1452" s="116">
        <v>845.15499999999997</v>
      </c>
      <c r="P1452" s="116">
        <v>862</v>
      </c>
      <c r="Q1452" s="116">
        <v>17006.650000000001</v>
      </c>
      <c r="R1452">
        <v>119003</v>
      </c>
    </row>
    <row r="1453" spans="1:18" x14ac:dyDescent="0.25">
      <c r="A1453" s="170">
        <v>44144</v>
      </c>
      <c r="B1453" s="116">
        <v>868.5</v>
      </c>
      <c r="C1453" s="116">
        <v>865.76</v>
      </c>
      <c r="D1453" s="116">
        <v>843.42250000000001</v>
      </c>
      <c r="E1453" s="116">
        <v>863.5</v>
      </c>
      <c r="F1453" s="116">
        <v>17315.2</v>
      </c>
      <c r="G1453">
        <v>6841</v>
      </c>
      <c r="H1453" s="116"/>
      <c r="I1453" s="116"/>
      <c r="L1453" s="170">
        <v>44144</v>
      </c>
      <c r="M1453" s="116">
        <v>866.6</v>
      </c>
      <c r="N1453" s="116">
        <v>868.5</v>
      </c>
      <c r="O1453" s="116">
        <v>850.1</v>
      </c>
      <c r="P1453" s="116">
        <v>857.4</v>
      </c>
      <c r="Q1453" s="116">
        <v>17332</v>
      </c>
      <c r="R1453">
        <v>111432</v>
      </c>
    </row>
    <row r="1454" spans="1:18" x14ac:dyDescent="0.25">
      <c r="A1454" s="170">
        <v>44145</v>
      </c>
      <c r="B1454" s="116">
        <v>866.50250000000005</v>
      </c>
      <c r="C1454" s="116">
        <v>830.39499999999998</v>
      </c>
      <c r="D1454" s="116">
        <v>829.04499999999996</v>
      </c>
      <c r="E1454" s="116">
        <v>858.85</v>
      </c>
      <c r="F1454" s="116">
        <v>16607.900000000001</v>
      </c>
      <c r="G1454">
        <v>8721</v>
      </c>
      <c r="H1454" s="116"/>
      <c r="I1454" s="116"/>
      <c r="L1454" s="170">
        <v>44145</v>
      </c>
      <c r="M1454" s="116">
        <v>830.23749999999995</v>
      </c>
      <c r="N1454" s="116">
        <v>866.6</v>
      </c>
      <c r="O1454" s="116">
        <v>829.14250000000004</v>
      </c>
      <c r="P1454" s="116">
        <v>866.6</v>
      </c>
      <c r="Q1454" s="116">
        <v>16604.75</v>
      </c>
      <c r="R1454">
        <v>289666</v>
      </c>
    </row>
    <row r="1455" spans="1:18" x14ac:dyDescent="0.25">
      <c r="A1455" s="170">
        <v>44146</v>
      </c>
      <c r="B1455" s="116">
        <v>840.39499999999998</v>
      </c>
      <c r="C1455" s="116">
        <v>834.97249999999997</v>
      </c>
      <c r="D1455" s="116">
        <v>822.93499999999995</v>
      </c>
      <c r="E1455" s="116">
        <v>837.5</v>
      </c>
      <c r="F1455" s="116">
        <v>16699.45</v>
      </c>
      <c r="G1455">
        <v>6821</v>
      </c>
      <c r="H1455" s="116"/>
      <c r="I1455" s="116"/>
      <c r="L1455" s="170">
        <v>44146</v>
      </c>
      <c r="M1455" s="116">
        <v>834.88</v>
      </c>
      <c r="N1455" s="116">
        <v>841.40250000000003</v>
      </c>
      <c r="O1455" s="116">
        <v>823.75</v>
      </c>
      <c r="P1455" s="116">
        <v>833.5</v>
      </c>
      <c r="Q1455" s="116">
        <v>16697.599999999999</v>
      </c>
      <c r="R1455">
        <v>248311</v>
      </c>
    </row>
    <row r="1456" spans="1:18" x14ac:dyDescent="0.25">
      <c r="A1456" s="170">
        <v>44147</v>
      </c>
      <c r="B1456" s="116">
        <v>848.78250000000003</v>
      </c>
      <c r="C1456" s="116">
        <v>836.48500000000001</v>
      </c>
      <c r="D1456" s="116">
        <v>826.9425</v>
      </c>
      <c r="E1456" s="116">
        <v>837.5</v>
      </c>
      <c r="F1456" s="116">
        <v>16729.7</v>
      </c>
      <c r="G1456">
        <v>5593</v>
      </c>
      <c r="H1456" s="116"/>
      <c r="I1456" s="116"/>
      <c r="L1456" s="170">
        <v>44147</v>
      </c>
      <c r="M1456" s="116">
        <v>835.93</v>
      </c>
      <c r="N1456" s="116">
        <v>845</v>
      </c>
      <c r="O1456" s="116">
        <v>826.68</v>
      </c>
      <c r="P1456" s="116">
        <v>839.95</v>
      </c>
      <c r="Q1456" s="116">
        <v>16718.599999999999</v>
      </c>
      <c r="R1456">
        <v>147831</v>
      </c>
    </row>
    <row r="1457" spans="1:18" x14ac:dyDescent="0.25">
      <c r="A1457" s="170">
        <v>44148</v>
      </c>
      <c r="B1457" s="116">
        <v>844.34749999999997</v>
      </c>
      <c r="C1457" s="116">
        <v>841.29750000000001</v>
      </c>
      <c r="D1457" s="116">
        <v>832.05499999999995</v>
      </c>
      <c r="E1457" s="116">
        <v>839.45</v>
      </c>
      <c r="F1457" s="116">
        <v>16825.95</v>
      </c>
      <c r="G1457">
        <v>14586</v>
      </c>
      <c r="H1457" s="116"/>
      <c r="I1457" s="116"/>
      <c r="L1457" s="170">
        <v>44148</v>
      </c>
      <c r="M1457" s="116">
        <v>841.28250000000003</v>
      </c>
      <c r="N1457" s="116">
        <v>844.5</v>
      </c>
      <c r="O1457" s="116">
        <v>832.5</v>
      </c>
      <c r="P1457" s="116">
        <v>836.25</v>
      </c>
      <c r="Q1457" s="116">
        <v>16825.650000000001</v>
      </c>
      <c r="R1457">
        <v>74273</v>
      </c>
    </row>
    <row r="1458" spans="1:18" x14ac:dyDescent="0.25">
      <c r="A1458" s="170">
        <v>44149</v>
      </c>
      <c r="B1458" s="116">
        <v>843.495</v>
      </c>
      <c r="C1458" s="116">
        <v>842.10500000000002</v>
      </c>
      <c r="D1458" s="116">
        <v>837.50750000000005</v>
      </c>
      <c r="E1458" s="116">
        <v>841.75</v>
      </c>
      <c r="F1458" s="116">
        <v>16842.099999999999</v>
      </c>
      <c r="G1458">
        <v>1054</v>
      </c>
      <c r="H1458" s="116"/>
      <c r="I1458" s="116"/>
      <c r="L1458" s="170">
        <v>44149</v>
      </c>
      <c r="M1458" s="116">
        <v>841.90750000000003</v>
      </c>
      <c r="N1458" s="116">
        <v>844.95</v>
      </c>
      <c r="O1458" s="116">
        <v>837.55</v>
      </c>
      <c r="P1458" s="116">
        <v>844.95</v>
      </c>
      <c r="Q1458" s="116">
        <v>16838.150000000001</v>
      </c>
      <c r="R1458">
        <v>10447</v>
      </c>
    </row>
    <row r="1459" spans="1:18" x14ac:dyDescent="0.25">
      <c r="A1459" s="170">
        <v>44152</v>
      </c>
      <c r="B1459" s="116">
        <v>853.05</v>
      </c>
      <c r="C1459" s="116">
        <v>849.16</v>
      </c>
      <c r="D1459" s="116">
        <v>842.33749999999998</v>
      </c>
      <c r="E1459" s="116">
        <v>845.005</v>
      </c>
      <c r="F1459" s="116">
        <v>16983.2</v>
      </c>
      <c r="G1459">
        <v>5504</v>
      </c>
      <c r="H1459" s="116"/>
      <c r="I1459" s="116"/>
      <c r="L1459" s="170">
        <v>44152</v>
      </c>
      <c r="M1459" s="116">
        <v>849.14250000000004</v>
      </c>
      <c r="N1459" s="116">
        <v>853.29250000000002</v>
      </c>
      <c r="O1459" s="116">
        <v>842.65250000000003</v>
      </c>
      <c r="P1459" s="116">
        <v>847.5</v>
      </c>
      <c r="Q1459" s="116">
        <v>16982.849999999999</v>
      </c>
      <c r="R1459">
        <v>119504</v>
      </c>
    </row>
    <row r="1460" spans="1:18" x14ac:dyDescent="0.25">
      <c r="A1460" s="170">
        <v>44153</v>
      </c>
      <c r="B1460" s="116">
        <v>847.85249999999996</v>
      </c>
      <c r="C1460" s="116">
        <v>843.28750000000002</v>
      </c>
      <c r="D1460" s="116">
        <v>833.90250000000003</v>
      </c>
      <c r="E1460" s="116">
        <v>847.49749999999995</v>
      </c>
      <c r="F1460" s="116">
        <v>16865.75</v>
      </c>
      <c r="G1460">
        <v>2725</v>
      </c>
      <c r="H1460" s="116"/>
      <c r="I1460" s="116"/>
      <c r="L1460" s="170">
        <v>44153</v>
      </c>
      <c r="M1460" s="116">
        <v>843.63</v>
      </c>
      <c r="N1460" s="116">
        <v>848.47</v>
      </c>
      <c r="O1460" s="116">
        <v>833.59249999999997</v>
      </c>
      <c r="P1460" s="116">
        <v>847.5</v>
      </c>
      <c r="Q1460" s="116">
        <v>16872.599999999999</v>
      </c>
      <c r="R1460">
        <v>144633</v>
      </c>
    </row>
    <row r="1461" spans="1:18" x14ac:dyDescent="0.25">
      <c r="A1461" s="170">
        <v>44154</v>
      </c>
      <c r="B1461" s="116">
        <v>859.95</v>
      </c>
      <c r="C1461" s="116">
        <v>846.67499999999995</v>
      </c>
      <c r="D1461" s="116">
        <v>840.05</v>
      </c>
      <c r="E1461" s="116">
        <v>843.25</v>
      </c>
      <c r="F1461" s="116">
        <v>16933.5</v>
      </c>
      <c r="G1461">
        <v>3906</v>
      </c>
      <c r="H1461" s="116"/>
      <c r="I1461" s="116"/>
      <c r="L1461" s="170">
        <v>44154</v>
      </c>
      <c r="M1461" s="116">
        <v>846.70749999999998</v>
      </c>
      <c r="N1461" s="116">
        <v>860</v>
      </c>
      <c r="O1461" s="116">
        <v>839.30250000000001</v>
      </c>
      <c r="P1461" s="116">
        <v>842</v>
      </c>
      <c r="Q1461" s="116">
        <v>16934.150000000001</v>
      </c>
      <c r="R1461">
        <v>180222</v>
      </c>
    </row>
    <row r="1462" spans="1:18" x14ac:dyDescent="0.25">
      <c r="A1462" s="170">
        <v>44155</v>
      </c>
      <c r="B1462" s="116">
        <v>875</v>
      </c>
      <c r="C1462" s="116">
        <v>873.5</v>
      </c>
      <c r="D1462" s="116">
        <v>846.69500000000005</v>
      </c>
      <c r="E1462" s="116">
        <v>850.32749999999999</v>
      </c>
      <c r="F1462" s="116">
        <v>17470</v>
      </c>
      <c r="G1462">
        <v>9328</v>
      </c>
      <c r="H1462" s="116"/>
      <c r="I1462" s="116"/>
      <c r="L1462" s="170">
        <v>44155</v>
      </c>
      <c r="M1462" s="116">
        <v>873.02</v>
      </c>
      <c r="N1462" s="116">
        <v>875</v>
      </c>
      <c r="O1462" s="116">
        <v>845.75750000000005</v>
      </c>
      <c r="P1462" s="116">
        <v>852.5</v>
      </c>
      <c r="Q1462" s="116">
        <v>17460.400000000001</v>
      </c>
      <c r="R1462">
        <v>254010</v>
      </c>
    </row>
    <row r="1463" spans="1:18" x14ac:dyDescent="0.25">
      <c r="A1463" s="170">
        <v>44158</v>
      </c>
      <c r="B1463" s="116">
        <v>892</v>
      </c>
      <c r="C1463" s="116">
        <v>889.5675</v>
      </c>
      <c r="D1463" s="116">
        <v>873.6</v>
      </c>
      <c r="E1463" s="116">
        <v>877.49749999999995</v>
      </c>
      <c r="F1463" s="116">
        <v>17791.349999999999</v>
      </c>
      <c r="G1463">
        <v>7314</v>
      </c>
      <c r="H1463" s="116"/>
      <c r="I1463" s="116"/>
      <c r="L1463" s="170">
        <v>44158</v>
      </c>
      <c r="M1463" s="116">
        <v>889.32</v>
      </c>
      <c r="N1463" s="116">
        <v>892.44500000000005</v>
      </c>
      <c r="O1463" s="116">
        <v>873.02</v>
      </c>
      <c r="P1463" s="116">
        <v>873.05</v>
      </c>
      <c r="Q1463" s="116">
        <v>17786.400000000001</v>
      </c>
      <c r="R1463">
        <v>202645</v>
      </c>
    </row>
    <row r="1464" spans="1:18" x14ac:dyDescent="0.25">
      <c r="A1464" s="170">
        <v>44159</v>
      </c>
      <c r="B1464" s="116">
        <v>897.5</v>
      </c>
      <c r="C1464" s="116">
        <v>883.995</v>
      </c>
      <c r="D1464" s="116">
        <v>880.79750000000001</v>
      </c>
      <c r="E1464" s="116">
        <v>889.51250000000005</v>
      </c>
      <c r="F1464" s="116">
        <v>17679.900000000001</v>
      </c>
      <c r="G1464">
        <v>6641</v>
      </c>
      <c r="H1464" s="116"/>
      <c r="I1464" s="116"/>
      <c r="L1464" s="170">
        <v>44159</v>
      </c>
      <c r="M1464" s="116">
        <v>883.88</v>
      </c>
      <c r="N1464" s="116">
        <v>898.56</v>
      </c>
      <c r="O1464" s="116">
        <v>880</v>
      </c>
      <c r="P1464" s="116">
        <v>887.5</v>
      </c>
      <c r="Q1464" s="116">
        <v>17677.599999999999</v>
      </c>
      <c r="R1464">
        <v>214497</v>
      </c>
    </row>
    <row r="1465" spans="1:18" x14ac:dyDescent="0.25">
      <c r="A1465" s="170">
        <v>44160</v>
      </c>
      <c r="B1465" s="116">
        <v>889.94749999999999</v>
      </c>
      <c r="C1465" s="116">
        <v>876.30499999999995</v>
      </c>
      <c r="D1465" s="116">
        <v>866.25</v>
      </c>
      <c r="E1465" s="116">
        <v>887.7</v>
      </c>
      <c r="F1465" s="116">
        <v>17526.099999999999</v>
      </c>
      <c r="G1465">
        <v>12566</v>
      </c>
      <c r="H1465" s="116"/>
      <c r="I1465" s="116"/>
      <c r="L1465" s="170">
        <v>44160</v>
      </c>
      <c r="M1465" s="116">
        <v>876.01</v>
      </c>
      <c r="N1465" s="116">
        <v>889.45</v>
      </c>
      <c r="O1465" s="116">
        <v>867</v>
      </c>
      <c r="P1465" s="116">
        <v>889.45</v>
      </c>
      <c r="Q1465" s="116">
        <v>17520.2</v>
      </c>
      <c r="R1465">
        <v>106508</v>
      </c>
    </row>
    <row r="1466" spans="1:18" x14ac:dyDescent="0.25">
      <c r="A1466" s="170">
        <v>44161</v>
      </c>
      <c r="B1466" s="116">
        <v>891.74749999999995</v>
      </c>
      <c r="C1466" s="116">
        <v>887.63250000000005</v>
      </c>
      <c r="D1466" s="116">
        <v>864.01499999999999</v>
      </c>
      <c r="E1466" s="116">
        <v>874.5</v>
      </c>
      <c r="F1466" s="116">
        <v>17752.650000000001</v>
      </c>
      <c r="G1466">
        <v>4558</v>
      </c>
      <c r="H1466" s="116"/>
      <c r="I1466" s="116"/>
      <c r="L1466" s="170">
        <v>44161</v>
      </c>
      <c r="M1466" s="116">
        <v>887.09749999999997</v>
      </c>
      <c r="N1466" s="116">
        <v>891.95</v>
      </c>
      <c r="O1466" s="116">
        <v>864</v>
      </c>
      <c r="P1466" s="116">
        <v>879.95</v>
      </c>
      <c r="Q1466" s="116">
        <v>17741.95</v>
      </c>
      <c r="R1466">
        <v>145376</v>
      </c>
    </row>
    <row r="1467" spans="1:18" x14ac:dyDescent="0.25">
      <c r="A1467" s="170">
        <v>44162</v>
      </c>
      <c r="B1467" s="116">
        <v>902</v>
      </c>
      <c r="C1467" s="116">
        <v>882.88</v>
      </c>
      <c r="D1467" s="116">
        <v>847.49749999999995</v>
      </c>
      <c r="E1467" s="116">
        <v>891.75</v>
      </c>
      <c r="F1467" s="116">
        <v>17657.599999999999</v>
      </c>
      <c r="G1467">
        <v>15247</v>
      </c>
      <c r="H1467" s="116"/>
      <c r="I1467" s="116"/>
      <c r="L1467" s="170">
        <v>44162</v>
      </c>
      <c r="M1467" s="116">
        <v>894.44749999999999</v>
      </c>
      <c r="N1467" s="116">
        <v>903.44500000000005</v>
      </c>
      <c r="O1467" s="116">
        <v>847.48749999999995</v>
      </c>
      <c r="P1467" s="116">
        <v>892.5</v>
      </c>
      <c r="Q1467" s="116">
        <v>17888.95</v>
      </c>
      <c r="R1467">
        <v>1106746</v>
      </c>
    </row>
    <row r="1468" spans="1:18" x14ac:dyDescent="0.25">
      <c r="A1468" s="170">
        <v>44166</v>
      </c>
      <c r="B1468" s="116">
        <v>909.4</v>
      </c>
      <c r="C1468" s="116">
        <v>870.85749999999996</v>
      </c>
      <c r="D1468" s="116">
        <v>867.5</v>
      </c>
      <c r="E1468" s="116">
        <v>909.4</v>
      </c>
      <c r="F1468" s="116">
        <v>17417.150000000001</v>
      </c>
      <c r="G1468">
        <v>4030</v>
      </c>
      <c r="H1468" s="116"/>
      <c r="I1468" s="116"/>
      <c r="L1468" s="170">
        <v>44166</v>
      </c>
      <c r="M1468" s="116">
        <v>870.90750000000003</v>
      </c>
      <c r="N1468" s="116">
        <v>903.39499999999998</v>
      </c>
      <c r="O1468" s="116">
        <v>866.57749999999999</v>
      </c>
      <c r="P1468" s="116">
        <v>903.39</v>
      </c>
      <c r="Q1468" s="116">
        <v>17418.150000000001</v>
      </c>
      <c r="R1468">
        <v>235086</v>
      </c>
    </row>
    <row r="1469" spans="1:18" x14ac:dyDescent="0.25">
      <c r="A1469" s="170">
        <v>44167</v>
      </c>
      <c r="B1469" s="116">
        <v>876.94</v>
      </c>
      <c r="C1469" s="116">
        <v>863.29250000000002</v>
      </c>
      <c r="D1469" s="116">
        <v>857.50250000000005</v>
      </c>
      <c r="E1469" s="116">
        <v>876.94</v>
      </c>
      <c r="F1469" s="116">
        <v>17265.849999999999</v>
      </c>
      <c r="G1469">
        <v>4011</v>
      </c>
      <c r="H1469" s="116"/>
      <c r="I1469" s="116"/>
      <c r="L1469" s="170">
        <v>44167</v>
      </c>
      <c r="M1469" s="116">
        <v>863.32249999999999</v>
      </c>
      <c r="N1469" s="116">
        <v>872.49</v>
      </c>
      <c r="O1469" s="116">
        <v>857.5</v>
      </c>
      <c r="P1469" s="116">
        <v>870.90750000000003</v>
      </c>
      <c r="Q1469" s="116">
        <v>17266.45</v>
      </c>
      <c r="R1469">
        <v>161952</v>
      </c>
    </row>
    <row r="1470" spans="1:18" x14ac:dyDescent="0.25">
      <c r="A1470" s="170">
        <v>44168</v>
      </c>
      <c r="B1470" s="116">
        <v>876.2</v>
      </c>
      <c r="C1470" s="116">
        <v>874.91750000000002</v>
      </c>
      <c r="D1470" s="116">
        <v>866.47500000000002</v>
      </c>
      <c r="E1470" s="116">
        <v>876.2</v>
      </c>
      <c r="F1470" s="116">
        <v>17498.349999999999</v>
      </c>
      <c r="G1470">
        <v>11620</v>
      </c>
      <c r="H1470" s="116"/>
      <c r="I1470" s="116"/>
      <c r="L1470" s="170">
        <v>44168</v>
      </c>
      <c r="M1470" s="116">
        <v>874.60749999999996</v>
      </c>
      <c r="N1470" s="116">
        <v>877.00250000000005</v>
      </c>
      <c r="O1470" s="116">
        <v>865.8</v>
      </c>
      <c r="P1470" s="116">
        <v>872.5</v>
      </c>
      <c r="Q1470" s="116">
        <v>17492.150000000001</v>
      </c>
      <c r="R1470">
        <v>127275</v>
      </c>
    </row>
    <row r="1471" spans="1:18" x14ac:dyDescent="0.25">
      <c r="A1471" s="170">
        <v>44169</v>
      </c>
      <c r="B1471" s="116">
        <v>893.65499999999997</v>
      </c>
      <c r="C1471" s="116">
        <v>891.29499999999996</v>
      </c>
      <c r="D1471" s="116">
        <v>874.35</v>
      </c>
      <c r="E1471" s="116">
        <v>874.35</v>
      </c>
      <c r="F1471" s="116">
        <v>17825.900000000001</v>
      </c>
      <c r="G1471">
        <v>6800</v>
      </c>
      <c r="H1471" s="116"/>
      <c r="I1471" s="116"/>
      <c r="L1471" s="170">
        <v>44169</v>
      </c>
      <c r="M1471" s="116">
        <v>891.43499999999995</v>
      </c>
      <c r="N1471" s="116">
        <v>893.875</v>
      </c>
      <c r="O1471" s="116">
        <v>876</v>
      </c>
      <c r="P1471" s="116">
        <v>877.5</v>
      </c>
      <c r="Q1471" s="116">
        <v>17828.7</v>
      </c>
      <c r="R1471">
        <v>124700</v>
      </c>
    </row>
    <row r="1472" spans="1:18" x14ac:dyDescent="0.25">
      <c r="A1472" s="170">
        <v>44172</v>
      </c>
      <c r="B1472" s="116">
        <v>894.95</v>
      </c>
      <c r="C1472" s="116">
        <v>878.00750000000005</v>
      </c>
      <c r="D1472" s="116">
        <v>872.76499999999999</v>
      </c>
      <c r="E1472" s="116">
        <v>886.5</v>
      </c>
      <c r="F1472" s="116">
        <v>17560.150000000001</v>
      </c>
      <c r="G1472">
        <v>3537</v>
      </c>
      <c r="H1472" s="116"/>
      <c r="I1472" s="116"/>
      <c r="L1472" s="170">
        <v>44172</v>
      </c>
      <c r="M1472" s="116">
        <v>878.12750000000005</v>
      </c>
      <c r="N1472" s="116">
        <v>895</v>
      </c>
      <c r="O1472" s="116">
        <v>872.49249999999995</v>
      </c>
      <c r="P1472" s="116">
        <v>882.55</v>
      </c>
      <c r="Q1472" s="116">
        <v>17562.55</v>
      </c>
      <c r="R1472">
        <v>126030</v>
      </c>
    </row>
    <row r="1473" spans="1:18" x14ac:dyDescent="0.25">
      <c r="A1473" s="170">
        <v>44173</v>
      </c>
      <c r="B1473" s="116">
        <v>890</v>
      </c>
      <c r="C1473" s="116">
        <v>875.86500000000001</v>
      </c>
      <c r="D1473" s="116">
        <v>869.41499999999996</v>
      </c>
      <c r="E1473" s="116">
        <v>890</v>
      </c>
      <c r="F1473" s="116">
        <v>17517.3</v>
      </c>
      <c r="G1473">
        <v>2247</v>
      </c>
      <c r="H1473" s="116"/>
      <c r="I1473" s="116"/>
      <c r="L1473" s="170">
        <v>44173</v>
      </c>
      <c r="M1473" s="116">
        <v>875.97249999999997</v>
      </c>
      <c r="N1473" s="116">
        <v>886.47</v>
      </c>
      <c r="O1473" s="116">
        <v>869.3125</v>
      </c>
      <c r="P1473" s="116">
        <v>883.7</v>
      </c>
      <c r="Q1473" s="116">
        <v>17519.45</v>
      </c>
      <c r="R1473">
        <v>118699</v>
      </c>
    </row>
    <row r="1474" spans="1:18" x14ac:dyDescent="0.25">
      <c r="A1474" s="170">
        <v>44174</v>
      </c>
      <c r="B1474" s="116">
        <v>883.05</v>
      </c>
      <c r="C1474" s="116">
        <v>878.07500000000005</v>
      </c>
      <c r="D1474" s="116">
        <v>874.59500000000003</v>
      </c>
      <c r="E1474" s="116">
        <v>875.5</v>
      </c>
      <c r="F1474" s="116">
        <v>17561.5</v>
      </c>
      <c r="G1474">
        <v>1038</v>
      </c>
      <c r="H1474" s="116"/>
      <c r="I1474" s="116"/>
      <c r="L1474" s="170">
        <v>44174</v>
      </c>
      <c r="M1474" s="116">
        <v>878.45749999999998</v>
      </c>
      <c r="N1474" s="116">
        <v>882.08500000000004</v>
      </c>
      <c r="O1474" s="116">
        <v>874.0575</v>
      </c>
      <c r="P1474" s="116">
        <v>877.18</v>
      </c>
      <c r="Q1474" s="116">
        <v>17569.150000000001</v>
      </c>
      <c r="R1474">
        <v>89503</v>
      </c>
    </row>
    <row r="1475" spans="1:18" x14ac:dyDescent="0.25">
      <c r="A1475" s="170">
        <v>44175</v>
      </c>
      <c r="B1475" s="116">
        <v>920.57</v>
      </c>
      <c r="C1475" s="116">
        <v>918.17499999999995</v>
      </c>
      <c r="D1475" s="116">
        <v>878.35</v>
      </c>
      <c r="E1475" s="116">
        <v>878.35</v>
      </c>
      <c r="F1475" s="116">
        <v>18363.5</v>
      </c>
      <c r="G1475">
        <v>10669</v>
      </c>
      <c r="H1475" s="116"/>
      <c r="I1475" s="116"/>
      <c r="L1475" s="170">
        <v>44175</v>
      </c>
      <c r="M1475" s="116">
        <v>917.63499999999999</v>
      </c>
      <c r="N1475" s="116">
        <v>920.2</v>
      </c>
      <c r="O1475" s="116">
        <v>878.11</v>
      </c>
      <c r="P1475" s="116">
        <v>880.35</v>
      </c>
      <c r="Q1475" s="116">
        <v>18352.7</v>
      </c>
      <c r="R1475">
        <v>304461</v>
      </c>
    </row>
    <row r="1476" spans="1:18" x14ac:dyDescent="0.25">
      <c r="A1476" s="170">
        <v>44176</v>
      </c>
      <c r="B1476" s="116">
        <v>922.89250000000004</v>
      </c>
      <c r="C1476" s="116">
        <v>920.15</v>
      </c>
      <c r="D1476" s="116">
        <v>910.21249999999998</v>
      </c>
      <c r="E1476" s="116">
        <v>916</v>
      </c>
      <c r="F1476" s="116">
        <v>18403</v>
      </c>
      <c r="G1476">
        <v>5095</v>
      </c>
      <c r="H1476" s="116"/>
      <c r="I1476" s="116"/>
      <c r="L1476" s="170">
        <v>44176</v>
      </c>
      <c r="M1476" s="116">
        <v>920.05499999999995</v>
      </c>
      <c r="N1476" s="116">
        <v>923</v>
      </c>
      <c r="O1476" s="116">
        <v>910</v>
      </c>
      <c r="P1476" s="116">
        <v>915</v>
      </c>
      <c r="Q1476" s="116">
        <v>18401.099999999999</v>
      </c>
      <c r="R1476">
        <v>162941</v>
      </c>
    </row>
    <row r="1477" spans="1:18" x14ac:dyDescent="0.25">
      <c r="A1477" s="170">
        <v>44179</v>
      </c>
      <c r="B1477" s="116">
        <v>933.96</v>
      </c>
      <c r="C1477" s="116">
        <v>929.27</v>
      </c>
      <c r="D1477" s="116">
        <v>915.1875</v>
      </c>
      <c r="E1477" s="116">
        <v>921</v>
      </c>
      <c r="F1477" s="116">
        <v>18585.400000000001</v>
      </c>
      <c r="G1477">
        <v>8640</v>
      </c>
      <c r="H1477" s="116"/>
      <c r="I1477" s="116"/>
      <c r="L1477" s="170">
        <v>44179</v>
      </c>
      <c r="M1477" s="116">
        <v>929.59</v>
      </c>
      <c r="N1477" s="116">
        <v>933.95</v>
      </c>
      <c r="O1477" s="116">
        <v>915</v>
      </c>
      <c r="P1477" s="116">
        <v>917.73500000000001</v>
      </c>
      <c r="Q1477" s="116">
        <v>18591.8</v>
      </c>
      <c r="R1477">
        <v>130713</v>
      </c>
    </row>
    <row r="1478" spans="1:18" x14ac:dyDescent="0.25">
      <c r="A1478" s="170">
        <v>44180</v>
      </c>
      <c r="B1478" s="116">
        <v>927.62</v>
      </c>
      <c r="C1478" s="116">
        <v>909.58749999999998</v>
      </c>
      <c r="D1478" s="116">
        <v>906.76750000000004</v>
      </c>
      <c r="E1478" s="116">
        <v>925</v>
      </c>
      <c r="F1478" s="116">
        <v>18191.75</v>
      </c>
      <c r="G1478">
        <v>3241</v>
      </c>
      <c r="H1478" s="116"/>
      <c r="I1478" s="116"/>
      <c r="L1478" s="170">
        <v>44180</v>
      </c>
      <c r="M1478" s="116">
        <v>909.495</v>
      </c>
      <c r="N1478" s="116">
        <v>927.5</v>
      </c>
      <c r="O1478" s="116">
        <v>906.54250000000002</v>
      </c>
      <c r="P1478" s="116">
        <v>923.01499999999999</v>
      </c>
      <c r="Q1478" s="116">
        <v>18189.900000000001</v>
      </c>
      <c r="R1478">
        <v>135755</v>
      </c>
    </row>
    <row r="1479" spans="1:18" x14ac:dyDescent="0.25">
      <c r="A1479" s="170">
        <v>44181</v>
      </c>
      <c r="B1479" s="116">
        <v>936.25</v>
      </c>
      <c r="C1479" s="116">
        <v>916.08</v>
      </c>
      <c r="D1479" s="116">
        <v>912.75750000000005</v>
      </c>
      <c r="E1479" s="116">
        <v>924</v>
      </c>
      <c r="F1479" s="116">
        <v>18321.599999999999</v>
      </c>
      <c r="G1479">
        <v>9613</v>
      </c>
      <c r="H1479" s="116"/>
      <c r="I1479" s="116"/>
      <c r="L1479" s="170">
        <v>44181</v>
      </c>
      <c r="M1479" s="116">
        <v>916.17250000000001</v>
      </c>
      <c r="N1479" s="116">
        <v>936.74749999999995</v>
      </c>
      <c r="O1479" s="116">
        <v>912.50750000000005</v>
      </c>
      <c r="P1479" s="116">
        <v>919.9</v>
      </c>
      <c r="Q1479" s="116">
        <v>18323.45</v>
      </c>
      <c r="R1479">
        <v>221607</v>
      </c>
    </row>
    <row r="1480" spans="1:18" x14ac:dyDescent="0.25">
      <c r="A1480" s="170">
        <v>44182</v>
      </c>
      <c r="B1480" s="116">
        <v>919.79</v>
      </c>
      <c r="C1480" s="116">
        <v>914.90750000000003</v>
      </c>
      <c r="D1480" s="116">
        <v>907.8</v>
      </c>
      <c r="E1480" s="116">
        <v>916.25</v>
      </c>
      <c r="F1480" s="116">
        <v>18298.150000000001</v>
      </c>
      <c r="G1480">
        <v>2620</v>
      </c>
      <c r="H1480" s="116"/>
      <c r="I1480" s="116"/>
      <c r="L1480" s="170">
        <v>44182</v>
      </c>
      <c r="M1480" s="116">
        <v>915.26750000000004</v>
      </c>
      <c r="N1480" s="116">
        <v>919.75750000000005</v>
      </c>
      <c r="O1480" s="116">
        <v>906.84</v>
      </c>
      <c r="P1480" s="116">
        <v>916.9</v>
      </c>
      <c r="Q1480" s="116">
        <v>18305.349999999999</v>
      </c>
      <c r="R1480">
        <v>98104</v>
      </c>
    </row>
    <row r="1481" spans="1:18" x14ac:dyDescent="0.25">
      <c r="A1481" s="170">
        <v>44183</v>
      </c>
      <c r="B1481" s="116">
        <v>930</v>
      </c>
      <c r="C1481" s="116">
        <v>917.36249999999995</v>
      </c>
      <c r="D1481" s="116">
        <v>909.5</v>
      </c>
      <c r="E1481" s="116">
        <v>919.7</v>
      </c>
      <c r="F1481" s="116">
        <v>18347.25</v>
      </c>
      <c r="G1481">
        <v>3971</v>
      </c>
      <c r="H1481" s="116"/>
      <c r="I1481" s="116"/>
      <c r="L1481" s="170">
        <v>44183</v>
      </c>
      <c r="M1481" s="116">
        <v>918.13750000000005</v>
      </c>
      <c r="N1481" s="116">
        <v>929.95</v>
      </c>
      <c r="O1481" s="116">
        <v>907.9</v>
      </c>
      <c r="P1481" s="116">
        <v>919.75</v>
      </c>
      <c r="Q1481" s="116">
        <v>18362.75</v>
      </c>
      <c r="R1481">
        <v>249790</v>
      </c>
    </row>
    <row r="1482" spans="1:18" x14ac:dyDescent="0.25">
      <c r="A1482" s="170">
        <v>44186</v>
      </c>
      <c r="B1482" s="116">
        <v>926.245</v>
      </c>
      <c r="C1482" s="116">
        <v>908.62750000000005</v>
      </c>
      <c r="D1482" s="116">
        <v>903.9</v>
      </c>
      <c r="E1482" s="116">
        <v>918.15</v>
      </c>
      <c r="F1482" s="116">
        <v>18172.55</v>
      </c>
      <c r="G1482">
        <v>4572</v>
      </c>
      <c r="H1482" s="116"/>
      <c r="I1482" s="116"/>
      <c r="L1482" s="170">
        <v>44186</v>
      </c>
      <c r="M1482" s="116">
        <v>909.63</v>
      </c>
      <c r="N1482" s="116">
        <v>926.25</v>
      </c>
      <c r="O1482" s="116">
        <v>905.05</v>
      </c>
      <c r="P1482" s="116">
        <v>913.13750000000005</v>
      </c>
      <c r="Q1482" s="116">
        <v>18192.599999999999</v>
      </c>
      <c r="R1482">
        <v>142222</v>
      </c>
    </row>
    <row r="1483" spans="1:18" x14ac:dyDescent="0.25">
      <c r="A1483" s="170">
        <v>44187</v>
      </c>
      <c r="B1483" s="116">
        <v>933.36</v>
      </c>
      <c r="C1483" s="116">
        <v>929.30499999999995</v>
      </c>
      <c r="D1483" s="116">
        <v>900.02499999999998</v>
      </c>
      <c r="E1483" s="116">
        <v>910</v>
      </c>
      <c r="F1483" s="116">
        <v>18586.099999999999</v>
      </c>
      <c r="G1483">
        <v>4464</v>
      </c>
      <c r="H1483" s="116"/>
      <c r="I1483" s="116"/>
      <c r="L1483" s="170">
        <v>44187</v>
      </c>
      <c r="M1483" s="116">
        <v>927.67750000000001</v>
      </c>
      <c r="N1483" s="116">
        <v>933.25</v>
      </c>
      <c r="O1483" s="116">
        <v>900</v>
      </c>
      <c r="P1483" s="116">
        <v>910</v>
      </c>
      <c r="Q1483" s="116">
        <v>18553.55</v>
      </c>
      <c r="R1483">
        <v>132774</v>
      </c>
    </row>
    <row r="1484" spans="1:18" x14ac:dyDescent="0.25">
      <c r="A1484" s="170">
        <v>44188</v>
      </c>
      <c r="B1484" s="116">
        <v>940.88499999999999</v>
      </c>
      <c r="C1484" s="116">
        <v>936.16750000000002</v>
      </c>
      <c r="D1484" s="116">
        <v>925.25</v>
      </c>
      <c r="E1484" s="116">
        <v>925.25</v>
      </c>
      <c r="F1484" s="116">
        <v>18723.349999999999</v>
      </c>
      <c r="G1484">
        <v>3751</v>
      </c>
      <c r="H1484" s="116"/>
      <c r="I1484" s="116"/>
      <c r="L1484" s="170">
        <v>44188</v>
      </c>
      <c r="M1484" s="116">
        <v>936.63499999999999</v>
      </c>
      <c r="N1484" s="116">
        <v>940.6</v>
      </c>
      <c r="O1484" s="116">
        <v>925.74749999999995</v>
      </c>
      <c r="P1484" s="116">
        <v>927.75250000000005</v>
      </c>
      <c r="Q1484" s="116">
        <v>18732.7</v>
      </c>
      <c r="R1484">
        <v>102845</v>
      </c>
    </row>
    <row r="1485" spans="1:18" x14ac:dyDescent="0.25">
      <c r="A1485" s="170">
        <v>44189</v>
      </c>
      <c r="B1485" s="116">
        <v>941.07249999999999</v>
      </c>
      <c r="C1485" s="116">
        <v>928.89750000000004</v>
      </c>
      <c r="D1485" s="116">
        <v>919.19</v>
      </c>
      <c r="E1485" s="116">
        <v>936.05</v>
      </c>
      <c r="F1485" s="116">
        <v>18577.95</v>
      </c>
      <c r="G1485">
        <v>2584</v>
      </c>
      <c r="H1485" s="116"/>
      <c r="I1485" s="116"/>
      <c r="L1485" s="170">
        <v>44189</v>
      </c>
      <c r="M1485" s="116">
        <v>928.3175</v>
      </c>
      <c r="N1485" s="116">
        <v>941.5</v>
      </c>
      <c r="O1485" s="116">
        <v>918.63</v>
      </c>
      <c r="P1485" s="116">
        <v>930.61</v>
      </c>
      <c r="Q1485" s="116">
        <v>18566.349999999999</v>
      </c>
      <c r="R1485">
        <v>125437</v>
      </c>
    </row>
    <row r="1486" spans="1:18" x14ac:dyDescent="0.25">
      <c r="A1486" s="170">
        <v>44193</v>
      </c>
      <c r="B1486" s="116">
        <v>939.29750000000001</v>
      </c>
      <c r="C1486" s="116">
        <v>929.91250000000002</v>
      </c>
      <c r="D1486" s="116">
        <v>926.17250000000001</v>
      </c>
      <c r="E1486" s="116">
        <v>932.5</v>
      </c>
      <c r="F1486" s="116">
        <v>18598.25</v>
      </c>
      <c r="G1486">
        <v>3300</v>
      </c>
      <c r="H1486" s="116"/>
      <c r="I1486" s="116"/>
      <c r="L1486" s="170">
        <v>44193</v>
      </c>
      <c r="M1486" s="116">
        <v>929.86749999999995</v>
      </c>
      <c r="N1486" s="116">
        <v>942.2</v>
      </c>
      <c r="O1486" s="116">
        <v>926</v>
      </c>
      <c r="P1486" s="116">
        <v>942.2</v>
      </c>
      <c r="Q1486" s="116">
        <v>18597.349999999999</v>
      </c>
      <c r="R1486">
        <v>65357</v>
      </c>
    </row>
    <row r="1487" spans="1:18" x14ac:dyDescent="0.25">
      <c r="A1487" s="170">
        <v>44194</v>
      </c>
      <c r="B1487" s="116">
        <v>933.495</v>
      </c>
      <c r="C1487" s="116">
        <v>913.42499999999995</v>
      </c>
      <c r="D1487" s="116">
        <v>908.59500000000003</v>
      </c>
      <c r="E1487" s="116">
        <v>933.3</v>
      </c>
      <c r="F1487" s="116">
        <v>18268.5</v>
      </c>
      <c r="G1487">
        <v>5093</v>
      </c>
      <c r="H1487" s="116"/>
      <c r="I1487" s="116"/>
      <c r="L1487" s="170">
        <v>44194</v>
      </c>
      <c r="M1487" s="116">
        <v>913.13250000000005</v>
      </c>
      <c r="N1487" s="116">
        <v>935</v>
      </c>
      <c r="O1487" s="116">
        <v>908.77</v>
      </c>
      <c r="P1487" s="116">
        <v>931</v>
      </c>
      <c r="Q1487" s="116">
        <v>18262.650000000001</v>
      </c>
      <c r="R1487">
        <v>198714</v>
      </c>
    </row>
    <row r="1488" spans="1:18" x14ac:dyDescent="0.25">
      <c r="A1488" s="170">
        <v>44195</v>
      </c>
      <c r="B1488" s="116">
        <v>923</v>
      </c>
      <c r="C1488" s="116">
        <v>919.92750000000001</v>
      </c>
      <c r="D1488" s="116">
        <v>912</v>
      </c>
      <c r="E1488" s="116">
        <v>922.85</v>
      </c>
      <c r="F1488" s="116">
        <v>18398.55</v>
      </c>
      <c r="G1488">
        <v>4588</v>
      </c>
      <c r="H1488" s="116"/>
      <c r="I1488" s="116"/>
      <c r="L1488" s="170">
        <v>44195</v>
      </c>
      <c r="M1488" s="116">
        <v>918.96249999999998</v>
      </c>
      <c r="N1488" s="116">
        <v>923.4</v>
      </c>
      <c r="O1488" s="116">
        <v>911.5</v>
      </c>
      <c r="P1488" s="116">
        <v>919.97500000000002</v>
      </c>
      <c r="Q1488" s="116">
        <v>18379.25</v>
      </c>
      <c r="R1488">
        <v>93654</v>
      </c>
    </row>
    <row r="1489" spans="1:18" x14ac:dyDescent="0.25">
      <c r="A1489" s="170">
        <v>44196</v>
      </c>
      <c r="B1489" s="116">
        <v>922.5</v>
      </c>
      <c r="C1489" s="116">
        <v>919.61749999999995</v>
      </c>
      <c r="D1489" s="116">
        <v>902.5</v>
      </c>
      <c r="E1489" s="116">
        <v>902.5</v>
      </c>
      <c r="F1489" s="116">
        <v>18392.349999999999</v>
      </c>
      <c r="G1489">
        <v>2862</v>
      </c>
      <c r="H1489" s="116"/>
      <c r="I1489" s="116"/>
      <c r="L1489" s="170">
        <v>44196</v>
      </c>
      <c r="M1489" s="116">
        <v>919.51250000000005</v>
      </c>
      <c r="N1489" s="116">
        <v>922.5</v>
      </c>
      <c r="O1489" s="116">
        <v>912.875</v>
      </c>
      <c r="P1489" s="116">
        <v>913.90250000000003</v>
      </c>
      <c r="Q1489" s="116">
        <v>18390.25</v>
      </c>
      <c r="R1489">
        <v>85442</v>
      </c>
    </row>
    <row r="1490" spans="1:18" x14ac:dyDescent="0.25">
      <c r="A1490" s="170">
        <v>44197</v>
      </c>
      <c r="B1490" s="116">
        <v>925.495</v>
      </c>
      <c r="C1490" s="116">
        <v>922.55250000000001</v>
      </c>
      <c r="D1490" s="116">
        <v>915.20749999999998</v>
      </c>
      <c r="E1490" s="116">
        <v>919</v>
      </c>
      <c r="F1490" s="116">
        <v>18451.05</v>
      </c>
      <c r="G1490">
        <v>4973</v>
      </c>
      <c r="H1490" s="116"/>
      <c r="I1490" s="116"/>
      <c r="L1490" s="170">
        <v>44197</v>
      </c>
      <c r="M1490" s="116">
        <v>922.53499999999997</v>
      </c>
      <c r="N1490" s="116">
        <v>926</v>
      </c>
      <c r="O1490" s="116">
        <v>915.30250000000001</v>
      </c>
      <c r="P1490" s="116">
        <v>919.48500000000001</v>
      </c>
      <c r="Q1490" s="116">
        <v>18450.7</v>
      </c>
      <c r="R1490">
        <v>50286</v>
      </c>
    </row>
    <row r="1491" spans="1:18" x14ac:dyDescent="0.25">
      <c r="A1491" s="170">
        <v>44200</v>
      </c>
      <c r="B1491" s="116">
        <v>928.62</v>
      </c>
      <c r="C1491" s="116">
        <v>919.41250000000002</v>
      </c>
      <c r="D1491" s="116">
        <v>916.22500000000002</v>
      </c>
      <c r="E1491" s="116">
        <v>922.5</v>
      </c>
      <c r="F1491" s="116">
        <v>18388.25</v>
      </c>
      <c r="G1491">
        <v>2966</v>
      </c>
      <c r="H1491" s="116"/>
      <c r="I1491" s="116"/>
      <c r="L1491" s="170">
        <v>44200</v>
      </c>
      <c r="M1491" s="116">
        <v>918.89750000000004</v>
      </c>
      <c r="N1491" s="116">
        <v>931.5</v>
      </c>
      <c r="O1491" s="116">
        <v>916.48749999999995</v>
      </c>
      <c r="P1491" s="116">
        <v>924.75</v>
      </c>
      <c r="Q1491" s="116">
        <v>18377.95</v>
      </c>
      <c r="R1491">
        <v>62035</v>
      </c>
    </row>
    <row r="1492" spans="1:18" x14ac:dyDescent="0.25">
      <c r="A1492" s="170">
        <v>44201</v>
      </c>
      <c r="B1492" s="116">
        <v>930.79750000000001</v>
      </c>
      <c r="C1492" s="116">
        <v>928.58</v>
      </c>
      <c r="D1492" s="116">
        <v>914.20749999999998</v>
      </c>
      <c r="E1492" s="116">
        <v>917.8</v>
      </c>
      <c r="F1492" s="116">
        <v>18571.599999999999</v>
      </c>
      <c r="G1492">
        <v>4363</v>
      </c>
      <c r="H1492" s="116"/>
      <c r="I1492" s="116"/>
      <c r="L1492" s="170">
        <v>44201</v>
      </c>
      <c r="M1492" s="116">
        <v>927.91250000000002</v>
      </c>
      <c r="N1492" s="116">
        <v>931</v>
      </c>
      <c r="O1492" s="116">
        <v>913.90250000000003</v>
      </c>
      <c r="P1492" s="116">
        <v>917.17499999999995</v>
      </c>
      <c r="Q1492" s="116">
        <v>18558.25</v>
      </c>
      <c r="R1492">
        <v>83673</v>
      </c>
    </row>
    <row r="1493" spans="1:18" x14ac:dyDescent="0.25">
      <c r="A1493" s="170">
        <v>44202</v>
      </c>
      <c r="B1493" s="116">
        <v>930.3</v>
      </c>
      <c r="C1493" s="116">
        <v>925.53</v>
      </c>
      <c r="D1493" s="116">
        <v>921.89</v>
      </c>
      <c r="E1493" s="116">
        <v>925</v>
      </c>
      <c r="F1493" s="116">
        <v>18510.599999999999</v>
      </c>
      <c r="G1493">
        <v>2734</v>
      </c>
      <c r="H1493" s="116"/>
      <c r="I1493" s="116"/>
      <c r="L1493" s="170">
        <v>44202</v>
      </c>
      <c r="M1493" s="116">
        <v>925.76250000000005</v>
      </c>
      <c r="N1493" s="116">
        <v>930</v>
      </c>
      <c r="O1493" s="116">
        <v>921.5</v>
      </c>
      <c r="P1493" s="116">
        <v>925.50250000000005</v>
      </c>
      <c r="Q1493" s="116">
        <v>18515.25</v>
      </c>
      <c r="R1493">
        <v>57706</v>
      </c>
    </row>
    <row r="1494" spans="1:18" x14ac:dyDescent="0.25">
      <c r="A1494" s="170">
        <v>44203</v>
      </c>
      <c r="B1494" s="116">
        <v>931.05250000000001</v>
      </c>
      <c r="C1494" s="116">
        <v>906.98749999999995</v>
      </c>
      <c r="D1494" s="116">
        <v>903.65</v>
      </c>
      <c r="E1494" s="116">
        <v>930.59749999999997</v>
      </c>
      <c r="F1494" s="116">
        <v>18139.75</v>
      </c>
      <c r="G1494">
        <v>3028</v>
      </c>
      <c r="H1494" s="116"/>
      <c r="I1494" s="116"/>
      <c r="L1494" s="170">
        <v>44203</v>
      </c>
      <c r="M1494" s="116">
        <v>906.36500000000001</v>
      </c>
      <c r="N1494" s="116">
        <v>930.75</v>
      </c>
      <c r="O1494" s="116">
        <v>902.505</v>
      </c>
      <c r="P1494" s="116">
        <v>929.95</v>
      </c>
      <c r="Q1494" s="116">
        <v>18127.3</v>
      </c>
      <c r="R1494">
        <v>120605</v>
      </c>
    </row>
    <row r="1495" spans="1:18" x14ac:dyDescent="0.25">
      <c r="A1495" s="170">
        <v>44204</v>
      </c>
      <c r="B1495" s="116">
        <v>916.99749999999995</v>
      </c>
      <c r="C1495" s="116">
        <v>914.77250000000004</v>
      </c>
      <c r="D1495" s="116">
        <v>900.1</v>
      </c>
      <c r="E1495" s="116">
        <v>912.1</v>
      </c>
      <c r="F1495" s="116">
        <v>18295.45</v>
      </c>
      <c r="G1495">
        <v>3199</v>
      </c>
      <c r="H1495" s="116"/>
      <c r="I1495" s="116"/>
      <c r="L1495" s="170">
        <v>44204</v>
      </c>
      <c r="M1495" s="116">
        <v>915.3125</v>
      </c>
      <c r="N1495" s="116">
        <v>917.5</v>
      </c>
      <c r="O1495" s="116">
        <v>900</v>
      </c>
      <c r="P1495" s="116">
        <v>911.36500000000001</v>
      </c>
      <c r="Q1495" s="116">
        <v>18306.25</v>
      </c>
      <c r="R1495">
        <v>151635</v>
      </c>
    </row>
    <row r="1496" spans="1:18" x14ac:dyDescent="0.25">
      <c r="A1496" s="170">
        <v>44207</v>
      </c>
      <c r="B1496" s="116">
        <v>926.91250000000002</v>
      </c>
      <c r="C1496" s="116">
        <v>919.64499999999998</v>
      </c>
      <c r="D1496" s="116">
        <v>909.45</v>
      </c>
      <c r="E1496" s="116">
        <v>920.9</v>
      </c>
      <c r="F1496" s="116">
        <v>18392.900000000001</v>
      </c>
      <c r="G1496">
        <v>2513</v>
      </c>
      <c r="H1496" s="116"/>
      <c r="I1496" s="116"/>
      <c r="L1496" s="170">
        <v>44207</v>
      </c>
      <c r="M1496" s="116">
        <v>919.57249999999999</v>
      </c>
      <c r="N1496" s="116">
        <v>927.29250000000002</v>
      </c>
      <c r="O1496" s="116">
        <v>909.40499999999997</v>
      </c>
      <c r="P1496" s="116">
        <v>917.5</v>
      </c>
      <c r="Q1496" s="116">
        <v>18391.45</v>
      </c>
      <c r="R1496">
        <v>114555</v>
      </c>
    </row>
    <row r="1497" spans="1:18" x14ac:dyDescent="0.25">
      <c r="A1497" s="170">
        <v>44208</v>
      </c>
      <c r="B1497" s="116">
        <v>919.75</v>
      </c>
      <c r="C1497" s="116">
        <v>900.19</v>
      </c>
      <c r="D1497" s="116">
        <v>897.89</v>
      </c>
      <c r="E1497" s="116">
        <v>919.35</v>
      </c>
      <c r="F1497" s="116">
        <v>18003.8</v>
      </c>
      <c r="G1497">
        <v>4281</v>
      </c>
      <c r="H1497" s="116"/>
      <c r="I1497" s="116"/>
      <c r="L1497" s="170">
        <v>44208</v>
      </c>
      <c r="M1497" s="116">
        <v>899.95500000000004</v>
      </c>
      <c r="N1497" s="116">
        <v>921.99749999999995</v>
      </c>
      <c r="O1497" s="116">
        <v>897.5</v>
      </c>
      <c r="P1497" s="116">
        <v>920.5</v>
      </c>
      <c r="Q1497" s="116">
        <v>17999.099999999999</v>
      </c>
      <c r="R1497">
        <v>141566</v>
      </c>
    </row>
    <row r="1498" spans="1:18" x14ac:dyDescent="0.25">
      <c r="A1498" s="170">
        <v>44209</v>
      </c>
      <c r="B1498" s="116">
        <v>913.42</v>
      </c>
      <c r="C1498" s="116">
        <v>901.13750000000005</v>
      </c>
      <c r="D1498" s="116">
        <v>898.07749999999999</v>
      </c>
      <c r="E1498" s="116">
        <v>900.25</v>
      </c>
      <c r="F1498" s="116">
        <v>18022.75</v>
      </c>
      <c r="G1498">
        <v>5524</v>
      </c>
      <c r="H1498" s="116"/>
      <c r="I1498" s="116"/>
      <c r="L1498" s="170">
        <v>44209</v>
      </c>
      <c r="M1498" s="116">
        <v>900.96500000000003</v>
      </c>
      <c r="N1498" s="116">
        <v>913.75</v>
      </c>
      <c r="O1498" s="116">
        <v>898.25</v>
      </c>
      <c r="P1498" s="116">
        <v>901.99749999999995</v>
      </c>
      <c r="Q1498" s="116">
        <v>18019.3</v>
      </c>
      <c r="R1498">
        <v>109387</v>
      </c>
    </row>
    <row r="1499" spans="1:18" x14ac:dyDescent="0.25">
      <c r="A1499" s="170">
        <v>44210</v>
      </c>
      <c r="B1499" s="116">
        <v>910.03250000000003</v>
      </c>
      <c r="C1499" s="116">
        <v>906.44749999999999</v>
      </c>
      <c r="D1499" s="116">
        <v>900</v>
      </c>
      <c r="E1499" s="116">
        <v>900</v>
      </c>
      <c r="F1499" s="116">
        <v>18128.95</v>
      </c>
      <c r="G1499">
        <v>13694</v>
      </c>
      <c r="H1499" s="116"/>
      <c r="I1499" s="116"/>
      <c r="L1499" s="170">
        <v>44210</v>
      </c>
      <c r="M1499" s="116">
        <v>906.63</v>
      </c>
      <c r="N1499" s="116">
        <v>911.47</v>
      </c>
      <c r="O1499" s="116">
        <v>902.45</v>
      </c>
      <c r="P1499" s="116">
        <v>902.45</v>
      </c>
      <c r="Q1499" s="116">
        <v>18132.599999999999</v>
      </c>
      <c r="R1499">
        <v>58488</v>
      </c>
    </row>
    <row r="1500" spans="1:18" x14ac:dyDescent="0.25">
      <c r="A1500" s="170">
        <v>44211</v>
      </c>
      <c r="B1500" s="116">
        <v>911.90499999999997</v>
      </c>
      <c r="C1500" s="116">
        <v>893.61249999999995</v>
      </c>
      <c r="D1500" s="116">
        <v>890</v>
      </c>
      <c r="E1500" s="116">
        <v>907.45</v>
      </c>
      <c r="F1500" s="116">
        <v>17872.25</v>
      </c>
      <c r="G1500">
        <v>3233</v>
      </c>
      <c r="H1500" s="116"/>
      <c r="I1500" s="116"/>
      <c r="L1500" s="170">
        <v>44211</v>
      </c>
      <c r="M1500" s="116">
        <v>891.7</v>
      </c>
      <c r="N1500" s="116">
        <v>912.45</v>
      </c>
      <c r="O1500" s="116">
        <v>890</v>
      </c>
      <c r="P1500" s="116">
        <v>905.50250000000005</v>
      </c>
      <c r="Q1500" s="116">
        <v>17834</v>
      </c>
      <c r="R1500">
        <v>96401</v>
      </c>
    </row>
    <row r="1501" spans="1:18" x14ac:dyDescent="0.25">
      <c r="A1501" s="170">
        <v>44214</v>
      </c>
      <c r="B1501" s="116">
        <v>903.75</v>
      </c>
      <c r="C1501" s="116">
        <v>881.45749999999998</v>
      </c>
      <c r="D1501" s="116">
        <v>878.35249999999996</v>
      </c>
      <c r="E1501" s="116">
        <v>890.05</v>
      </c>
      <c r="F1501" s="116">
        <v>17629.150000000001</v>
      </c>
      <c r="G1501">
        <v>6798</v>
      </c>
      <c r="H1501" s="116"/>
      <c r="I1501" s="116"/>
      <c r="L1501" s="170">
        <v>44214</v>
      </c>
      <c r="M1501" s="116">
        <v>881.53499999999997</v>
      </c>
      <c r="N1501" s="116">
        <v>903.7</v>
      </c>
      <c r="O1501" s="116">
        <v>877.83749999999998</v>
      </c>
      <c r="P1501" s="116">
        <v>892.49749999999995</v>
      </c>
      <c r="Q1501" s="116">
        <v>17630.7</v>
      </c>
      <c r="R1501">
        <v>120674</v>
      </c>
    </row>
    <row r="1502" spans="1:18" x14ac:dyDescent="0.25">
      <c r="A1502" s="170">
        <v>44215</v>
      </c>
      <c r="B1502" s="116">
        <v>890.11500000000001</v>
      </c>
      <c r="C1502" s="116">
        <v>887.77750000000003</v>
      </c>
      <c r="D1502" s="116">
        <v>882.50250000000005</v>
      </c>
      <c r="E1502" s="116">
        <v>882.50250000000005</v>
      </c>
      <c r="F1502" s="116">
        <v>17755.55</v>
      </c>
      <c r="G1502">
        <v>1645</v>
      </c>
      <c r="H1502" s="116"/>
      <c r="I1502" s="116"/>
      <c r="L1502" s="170">
        <v>44215</v>
      </c>
      <c r="M1502" s="116">
        <v>887.73500000000001</v>
      </c>
      <c r="N1502" s="116">
        <v>891.02499999999998</v>
      </c>
      <c r="O1502" s="116">
        <v>883.5</v>
      </c>
      <c r="P1502" s="116">
        <v>886.5</v>
      </c>
      <c r="Q1502" s="116">
        <v>17754.7</v>
      </c>
      <c r="R1502">
        <v>62849</v>
      </c>
    </row>
    <row r="1503" spans="1:18" x14ac:dyDescent="0.25">
      <c r="A1503" s="170">
        <v>44216</v>
      </c>
      <c r="B1503" s="116">
        <v>896.91750000000002</v>
      </c>
      <c r="C1503" s="116">
        <v>883.88750000000005</v>
      </c>
      <c r="D1503" s="116">
        <v>881.52250000000004</v>
      </c>
      <c r="E1503" s="116">
        <v>890.75</v>
      </c>
      <c r="F1503" s="116">
        <v>17677.75</v>
      </c>
      <c r="G1503">
        <v>3080</v>
      </c>
      <c r="H1503" s="116"/>
      <c r="I1503" s="116"/>
      <c r="L1503" s="170">
        <v>44216</v>
      </c>
      <c r="M1503" s="116">
        <v>884.06500000000005</v>
      </c>
      <c r="N1503" s="116">
        <v>897</v>
      </c>
      <c r="O1503" s="116">
        <v>881.15250000000003</v>
      </c>
      <c r="P1503" s="116">
        <v>888.35</v>
      </c>
      <c r="Q1503" s="116">
        <v>17681.3</v>
      </c>
      <c r="R1503">
        <v>73831</v>
      </c>
    </row>
    <row r="1504" spans="1:18" x14ac:dyDescent="0.25">
      <c r="A1504" s="170">
        <v>44217</v>
      </c>
      <c r="B1504" s="116">
        <v>894.99249999999995</v>
      </c>
      <c r="C1504" s="116">
        <v>885.72500000000002</v>
      </c>
      <c r="D1504" s="116">
        <v>883</v>
      </c>
      <c r="E1504" s="116">
        <v>888.45</v>
      </c>
      <c r="F1504" s="116">
        <v>17714.5</v>
      </c>
      <c r="G1504">
        <v>2197</v>
      </c>
      <c r="H1504" s="116"/>
      <c r="I1504" s="116"/>
      <c r="L1504" s="170">
        <v>44217</v>
      </c>
      <c r="M1504" s="116">
        <v>885.81500000000005</v>
      </c>
      <c r="N1504" s="116">
        <v>895</v>
      </c>
      <c r="O1504" s="116">
        <v>882.76750000000004</v>
      </c>
      <c r="P1504" s="116">
        <v>888.5</v>
      </c>
      <c r="Q1504" s="116">
        <v>17716.3</v>
      </c>
      <c r="R1504">
        <v>70977</v>
      </c>
    </row>
    <row r="1505" spans="1:18" x14ac:dyDescent="0.25">
      <c r="A1505" s="170">
        <v>44218</v>
      </c>
      <c r="B1505" s="116">
        <v>899.95</v>
      </c>
      <c r="C1505" s="116">
        <v>879.00750000000005</v>
      </c>
      <c r="D1505" s="116">
        <v>865</v>
      </c>
      <c r="E1505" s="116">
        <v>899.95</v>
      </c>
      <c r="F1505" s="116">
        <v>17580.150000000001</v>
      </c>
      <c r="G1505">
        <v>2606</v>
      </c>
      <c r="H1505" s="116"/>
      <c r="I1505" s="116"/>
      <c r="L1505" s="170">
        <v>44218</v>
      </c>
      <c r="M1505" s="116">
        <v>879.48</v>
      </c>
      <c r="N1505" s="116">
        <v>894.11500000000001</v>
      </c>
      <c r="O1505" s="116">
        <v>877.5</v>
      </c>
      <c r="P1505" s="116">
        <v>889.2</v>
      </c>
      <c r="Q1505" s="116">
        <v>17589.599999999999</v>
      </c>
      <c r="R1505">
        <v>98250</v>
      </c>
    </row>
    <row r="1506" spans="1:18" x14ac:dyDescent="0.25">
      <c r="A1506" s="170">
        <v>44221</v>
      </c>
      <c r="B1506" s="116">
        <v>889.95</v>
      </c>
      <c r="C1506" s="116">
        <v>872.18</v>
      </c>
      <c r="D1506" s="116">
        <v>861.83749999999998</v>
      </c>
      <c r="E1506" s="116">
        <v>889.95</v>
      </c>
      <c r="F1506" s="116">
        <v>17443.599999999999</v>
      </c>
      <c r="G1506">
        <v>3715</v>
      </c>
      <c r="H1506" s="116"/>
      <c r="I1506" s="116"/>
      <c r="L1506" s="170">
        <v>44221</v>
      </c>
      <c r="M1506" s="116">
        <v>870.76250000000005</v>
      </c>
      <c r="N1506" s="116">
        <v>885</v>
      </c>
      <c r="O1506" s="116">
        <v>861.49249999999995</v>
      </c>
      <c r="P1506" s="116">
        <v>882.6</v>
      </c>
      <c r="Q1506" s="116">
        <v>17415.25</v>
      </c>
      <c r="R1506">
        <v>116436</v>
      </c>
    </row>
    <row r="1507" spans="1:18" x14ac:dyDescent="0.25">
      <c r="A1507" s="170">
        <v>44223</v>
      </c>
      <c r="B1507" s="116">
        <v>879.5</v>
      </c>
      <c r="C1507" s="116">
        <v>877.38250000000005</v>
      </c>
      <c r="D1507" s="116">
        <v>867.23500000000001</v>
      </c>
      <c r="E1507" s="116">
        <v>878</v>
      </c>
      <c r="F1507" s="116">
        <v>17547.650000000001</v>
      </c>
      <c r="G1507">
        <v>2114</v>
      </c>
      <c r="H1507" s="116"/>
      <c r="I1507" s="116"/>
      <c r="L1507" s="170">
        <v>44223</v>
      </c>
      <c r="M1507" s="116">
        <v>876.90499999999997</v>
      </c>
      <c r="N1507" s="116">
        <v>879.88499999999999</v>
      </c>
      <c r="O1507" s="116">
        <v>867.01250000000005</v>
      </c>
      <c r="P1507" s="116">
        <v>873.64750000000004</v>
      </c>
      <c r="Q1507" s="116">
        <v>17538.099999999999</v>
      </c>
      <c r="R1507">
        <v>66402</v>
      </c>
    </row>
    <row r="1508" spans="1:18" x14ac:dyDescent="0.25">
      <c r="A1508" s="170">
        <v>44224</v>
      </c>
      <c r="B1508" s="116">
        <v>875.99749999999995</v>
      </c>
      <c r="C1508" s="116">
        <v>868.77</v>
      </c>
      <c r="D1508" s="116">
        <v>860.28750000000002</v>
      </c>
      <c r="E1508" s="116">
        <v>870.05</v>
      </c>
      <c r="F1508" s="116">
        <v>17375.400000000001</v>
      </c>
      <c r="G1508">
        <v>12790</v>
      </c>
      <c r="H1508" s="116"/>
      <c r="I1508" s="116"/>
      <c r="L1508" s="170">
        <v>44224</v>
      </c>
      <c r="M1508" s="116">
        <v>869.38250000000005</v>
      </c>
      <c r="N1508" s="116">
        <v>876</v>
      </c>
      <c r="O1508" s="116">
        <v>860.15</v>
      </c>
      <c r="P1508" s="116">
        <v>873.5</v>
      </c>
      <c r="Q1508" s="116">
        <v>17387.650000000001</v>
      </c>
      <c r="R1508">
        <v>89055</v>
      </c>
    </row>
    <row r="1509" spans="1:18" x14ac:dyDescent="0.25">
      <c r="A1509" s="170">
        <v>44225</v>
      </c>
      <c r="B1509" s="116">
        <v>875</v>
      </c>
      <c r="C1509" s="116">
        <v>853.43499999999995</v>
      </c>
      <c r="D1509" s="116">
        <v>848.06</v>
      </c>
      <c r="E1509" s="116">
        <v>875</v>
      </c>
      <c r="F1509" s="116">
        <v>17068.7</v>
      </c>
      <c r="G1509">
        <v>2118</v>
      </c>
      <c r="H1509" s="116"/>
      <c r="I1509" s="116"/>
      <c r="L1509" s="170">
        <v>44225</v>
      </c>
      <c r="M1509" s="116">
        <v>853</v>
      </c>
      <c r="N1509" s="116">
        <v>873.39250000000004</v>
      </c>
      <c r="O1509" s="116">
        <v>848.06500000000005</v>
      </c>
      <c r="P1509" s="116">
        <v>869.25250000000005</v>
      </c>
      <c r="Q1509" s="116">
        <v>17060</v>
      </c>
      <c r="R1509">
        <v>112888</v>
      </c>
    </row>
    <row r="1510" spans="1:18" x14ac:dyDescent="0.25">
      <c r="A1510" s="170">
        <v>44228</v>
      </c>
      <c r="B1510" s="116">
        <v>863.85</v>
      </c>
      <c r="C1510" s="116">
        <v>854.84749999999997</v>
      </c>
      <c r="D1510" s="116">
        <v>849.82249999999999</v>
      </c>
      <c r="E1510" s="116">
        <v>858.10500000000002</v>
      </c>
      <c r="F1510" s="116">
        <v>17096.95</v>
      </c>
      <c r="G1510">
        <v>3169</v>
      </c>
      <c r="H1510" s="116"/>
      <c r="I1510" s="116"/>
      <c r="L1510" s="170">
        <v>44228</v>
      </c>
      <c r="M1510" s="116">
        <v>854.38499999999999</v>
      </c>
      <c r="N1510" s="116">
        <v>863.78499999999997</v>
      </c>
      <c r="O1510" s="116">
        <v>850</v>
      </c>
      <c r="P1510" s="116">
        <v>860</v>
      </c>
      <c r="Q1510" s="116">
        <v>17087.7</v>
      </c>
      <c r="R1510">
        <v>84406</v>
      </c>
    </row>
    <row r="1511" spans="1:18" x14ac:dyDescent="0.25">
      <c r="A1511" s="170">
        <v>44229</v>
      </c>
      <c r="B1511" s="116">
        <v>866.40499999999997</v>
      </c>
      <c r="C1511" s="116">
        <v>859.46749999999997</v>
      </c>
      <c r="D1511" s="116">
        <v>840</v>
      </c>
      <c r="E1511" s="116">
        <v>860.55</v>
      </c>
      <c r="F1511" s="116">
        <v>17189.349999999999</v>
      </c>
      <c r="G1511">
        <v>3852</v>
      </c>
      <c r="H1511" s="116"/>
      <c r="I1511" s="116"/>
      <c r="L1511" s="170">
        <v>44229</v>
      </c>
      <c r="M1511" s="116">
        <v>859.51499999999999</v>
      </c>
      <c r="N1511" s="116">
        <v>867.5</v>
      </c>
      <c r="O1511" s="116">
        <v>852.72500000000002</v>
      </c>
      <c r="P1511" s="116">
        <v>857.50250000000005</v>
      </c>
      <c r="Q1511" s="116">
        <v>17190.3</v>
      </c>
      <c r="R1511">
        <v>130298</v>
      </c>
    </row>
    <row r="1512" spans="1:18" x14ac:dyDescent="0.25">
      <c r="A1512" s="170">
        <v>44230</v>
      </c>
      <c r="B1512" s="116">
        <v>864.2</v>
      </c>
      <c r="C1512" s="116">
        <v>857.77</v>
      </c>
      <c r="D1512" s="116">
        <v>853.21749999999997</v>
      </c>
      <c r="E1512" s="116">
        <v>862.37249999999995</v>
      </c>
      <c r="F1512" s="116">
        <v>17155.400000000001</v>
      </c>
      <c r="G1512">
        <v>2270</v>
      </c>
      <c r="H1512" s="116"/>
      <c r="I1512" s="116"/>
      <c r="L1512" s="170">
        <v>44230</v>
      </c>
      <c r="M1512" s="116">
        <v>858.32</v>
      </c>
      <c r="N1512" s="116">
        <v>864.45</v>
      </c>
      <c r="O1512" s="116">
        <v>852.55</v>
      </c>
      <c r="P1512" s="116">
        <v>860.00250000000005</v>
      </c>
      <c r="Q1512" s="116">
        <v>17166.400000000001</v>
      </c>
      <c r="R1512">
        <v>112325</v>
      </c>
    </row>
    <row r="1513" spans="1:18" x14ac:dyDescent="0.25">
      <c r="A1513" s="170">
        <v>44231</v>
      </c>
      <c r="B1513" s="116">
        <v>862.5</v>
      </c>
      <c r="C1513" s="116">
        <v>853.66</v>
      </c>
      <c r="D1513" s="116">
        <v>852.74</v>
      </c>
      <c r="E1513" s="116">
        <v>862.5</v>
      </c>
      <c r="F1513" s="116">
        <v>17073.2</v>
      </c>
      <c r="G1513">
        <v>13193</v>
      </c>
      <c r="H1513" s="116"/>
      <c r="I1513" s="116"/>
      <c r="L1513" s="170">
        <v>44231</v>
      </c>
      <c r="M1513" s="116">
        <v>853.7</v>
      </c>
      <c r="N1513" s="116">
        <v>861.34749999999997</v>
      </c>
      <c r="O1513" s="116">
        <v>852.62249999999995</v>
      </c>
      <c r="P1513" s="116">
        <v>859.995</v>
      </c>
      <c r="Q1513" s="116">
        <v>17074</v>
      </c>
      <c r="R1513">
        <v>92100</v>
      </c>
    </row>
    <row r="1514" spans="1:18" x14ac:dyDescent="0.25">
      <c r="A1514" s="170">
        <v>44232</v>
      </c>
      <c r="B1514" s="116">
        <v>862.2</v>
      </c>
      <c r="C1514" s="116">
        <v>856.16499999999996</v>
      </c>
      <c r="D1514" s="116">
        <v>850.99749999999995</v>
      </c>
      <c r="E1514" s="116">
        <v>862.2</v>
      </c>
      <c r="F1514" s="116">
        <v>17123.3</v>
      </c>
      <c r="G1514">
        <v>2503</v>
      </c>
      <c r="H1514" s="116"/>
      <c r="I1514" s="116"/>
      <c r="L1514" s="170">
        <v>44232</v>
      </c>
      <c r="M1514" s="116">
        <v>855.78750000000002</v>
      </c>
      <c r="N1514" s="116">
        <v>858.36</v>
      </c>
      <c r="O1514" s="116">
        <v>850.15</v>
      </c>
      <c r="P1514" s="116">
        <v>856.55250000000001</v>
      </c>
      <c r="Q1514" s="116">
        <v>17115.75</v>
      </c>
      <c r="R1514">
        <v>98097</v>
      </c>
    </row>
    <row r="1515" spans="1:18" x14ac:dyDescent="0.25">
      <c r="A1515" s="170">
        <v>44235</v>
      </c>
      <c r="B1515" s="116">
        <v>864</v>
      </c>
      <c r="C1515" s="116">
        <v>860.67750000000001</v>
      </c>
      <c r="D1515" s="116">
        <v>855.36749999999995</v>
      </c>
      <c r="E1515" s="116">
        <v>859.99749999999995</v>
      </c>
      <c r="F1515" s="116">
        <v>17213.55</v>
      </c>
      <c r="G1515">
        <v>7122</v>
      </c>
      <c r="H1515" s="116"/>
      <c r="I1515" s="116"/>
      <c r="L1515" s="170">
        <v>44235</v>
      </c>
      <c r="M1515" s="116">
        <v>860.91</v>
      </c>
      <c r="N1515" s="116">
        <v>864.245</v>
      </c>
      <c r="O1515" s="116">
        <v>855.0575</v>
      </c>
      <c r="P1515" s="116">
        <v>859</v>
      </c>
      <c r="Q1515" s="116">
        <v>17218.2</v>
      </c>
      <c r="R1515">
        <v>121607</v>
      </c>
    </row>
    <row r="1516" spans="1:18" x14ac:dyDescent="0.25">
      <c r="A1516" s="170">
        <v>44236</v>
      </c>
      <c r="B1516" s="116">
        <v>875.53499999999997</v>
      </c>
      <c r="C1516" s="116">
        <v>866.29</v>
      </c>
      <c r="D1516" s="116">
        <v>858.20249999999999</v>
      </c>
      <c r="E1516" s="116">
        <v>867</v>
      </c>
      <c r="F1516" s="116">
        <v>17325.8</v>
      </c>
      <c r="G1516">
        <v>2714</v>
      </c>
      <c r="H1516" s="116"/>
      <c r="I1516" s="116"/>
      <c r="L1516" s="170">
        <v>44236</v>
      </c>
      <c r="M1516" s="116">
        <v>865.94749999999999</v>
      </c>
      <c r="N1516" s="116">
        <v>875.5</v>
      </c>
      <c r="O1516" s="116">
        <v>857.5</v>
      </c>
      <c r="P1516" s="116">
        <v>860.55</v>
      </c>
      <c r="Q1516" s="116">
        <v>17318.95</v>
      </c>
      <c r="R1516">
        <v>121012</v>
      </c>
    </row>
    <row r="1517" spans="1:18" x14ac:dyDescent="0.25">
      <c r="A1517" s="170">
        <v>44237</v>
      </c>
      <c r="B1517" s="116">
        <v>871.96500000000003</v>
      </c>
      <c r="C1517" s="116">
        <v>858.38499999999999</v>
      </c>
      <c r="D1517" s="116">
        <v>854.19</v>
      </c>
      <c r="E1517" s="116">
        <v>869.84500000000003</v>
      </c>
      <c r="F1517" s="116">
        <v>17167.7</v>
      </c>
      <c r="G1517">
        <v>3341</v>
      </c>
      <c r="H1517" s="116"/>
      <c r="I1517" s="116"/>
      <c r="L1517" s="170">
        <v>44237</v>
      </c>
      <c r="M1517" s="116">
        <v>858.86749999999995</v>
      </c>
      <c r="N1517" s="116">
        <v>871.84</v>
      </c>
      <c r="O1517" s="116">
        <v>854.32500000000005</v>
      </c>
      <c r="P1517" s="116">
        <v>867.01</v>
      </c>
      <c r="Q1517" s="116">
        <v>17177.349999999999</v>
      </c>
      <c r="R1517">
        <v>116576</v>
      </c>
    </row>
    <row r="1518" spans="1:18" x14ac:dyDescent="0.25">
      <c r="A1518" s="170">
        <v>44238</v>
      </c>
      <c r="B1518" s="116">
        <v>872.1</v>
      </c>
      <c r="C1518" s="116">
        <v>870.83249999999998</v>
      </c>
      <c r="D1518" s="116">
        <v>858.27750000000003</v>
      </c>
      <c r="E1518" s="116">
        <v>858.38499999999999</v>
      </c>
      <c r="F1518" s="116">
        <v>17416.650000000001</v>
      </c>
      <c r="G1518">
        <v>2025</v>
      </c>
      <c r="H1518" s="116"/>
      <c r="I1518" s="116"/>
      <c r="L1518" s="170">
        <v>44238</v>
      </c>
      <c r="M1518" s="116">
        <v>870.61249999999995</v>
      </c>
      <c r="N1518" s="116">
        <v>872.37249999999995</v>
      </c>
      <c r="O1518" s="116">
        <v>857.5</v>
      </c>
      <c r="P1518" s="116">
        <v>859.495</v>
      </c>
      <c r="Q1518" s="116">
        <v>17412.25</v>
      </c>
      <c r="R1518">
        <v>65366</v>
      </c>
    </row>
    <row r="1519" spans="1:18" x14ac:dyDescent="0.25">
      <c r="A1519" s="170">
        <v>44239</v>
      </c>
      <c r="B1519" s="116">
        <v>875</v>
      </c>
      <c r="C1519" s="116">
        <v>864.30499999999995</v>
      </c>
      <c r="D1519" s="116">
        <v>862.05</v>
      </c>
      <c r="E1519" s="116">
        <v>872.49249999999995</v>
      </c>
      <c r="F1519" s="116">
        <v>17286.099999999999</v>
      </c>
      <c r="G1519">
        <v>3486</v>
      </c>
      <c r="H1519" s="116"/>
      <c r="I1519" s="116"/>
      <c r="L1519" s="170">
        <v>44239</v>
      </c>
      <c r="M1519" s="116">
        <v>864.71500000000003</v>
      </c>
      <c r="N1519" s="116">
        <v>875.95</v>
      </c>
      <c r="O1519" s="116">
        <v>862</v>
      </c>
      <c r="P1519" s="116">
        <v>870.505</v>
      </c>
      <c r="Q1519" s="116">
        <v>17294.3</v>
      </c>
      <c r="R1519">
        <v>54528</v>
      </c>
    </row>
    <row r="1520" spans="1:18" x14ac:dyDescent="0.25">
      <c r="A1520" s="170">
        <v>44242</v>
      </c>
      <c r="B1520" s="116">
        <v>875</v>
      </c>
      <c r="C1520" s="116">
        <v>874.22500000000002</v>
      </c>
      <c r="D1520" s="116">
        <v>864</v>
      </c>
      <c r="E1520" s="116">
        <v>864.5</v>
      </c>
      <c r="F1520" s="116">
        <v>17484.5</v>
      </c>
      <c r="G1520">
        <v>1927</v>
      </c>
      <c r="H1520" s="116"/>
      <c r="I1520" s="116"/>
      <c r="L1520" s="170">
        <v>44242</v>
      </c>
      <c r="M1520" s="116">
        <v>873.99249999999995</v>
      </c>
      <c r="N1520" s="116">
        <v>875.33749999999998</v>
      </c>
      <c r="O1520" s="116">
        <v>862.90250000000003</v>
      </c>
      <c r="P1520" s="116">
        <v>867.45</v>
      </c>
      <c r="Q1520" s="116">
        <v>17479.849999999999</v>
      </c>
      <c r="R1520">
        <v>110119</v>
      </c>
    </row>
    <row r="1521" spans="1:18" x14ac:dyDescent="0.25">
      <c r="A1521" s="170">
        <v>44243</v>
      </c>
      <c r="B1521" s="116">
        <v>881.73</v>
      </c>
      <c r="C1521" s="116">
        <v>861.12249999999995</v>
      </c>
      <c r="D1521" s="116">
        <v>857.0625</v>
      </c>
      <c r="E1521" s="116">
        <v>880</v>
      </c>
      <c r="F1521" s="116">
        <v>17222.45</v>
      </c>
      <c r="G1521">
        <v>7901</v>
      </c>
      <c r="H1521" s="116"/>
      <c r="I1521" s="116"/>
      <c r="L1521" s="170">
        <v>44243</v>
      </c>
      <c r="M1521" s="116">
        <v>860.86249999999995</v>
      </c>
      <c r="N1521" s="116">
        <v>882.3</v>
      </c>
      <c r="O1521" s="116">
        <v>856.95500000000004</v>
      </c>
      <c r="P1521" s="116">
        <v>877.75</v>
      </c>
      <c r="Q1521" s="116">
        <v>17217.25</v>
      </c>
      <c r="R1521">
        <v>229774</v>
      </c>
    </row>
    <row r="1522" spans="1:18" x14ac:dyDescent="0.25">
      <c r="A1522" s="170">
        <v>44244</v>
      </c>
      <c r="B1522" s="116">
        <v>845</v>
      </c>
      <c r="C1522" s="116">
        <v>836.995</v>
      </c>
      <c r="D1522" s="116">
        <v>818</v>
      </c>
      <c r="E1522" s="116">
        <v>845</v>
      </c>
      <c r="F1522" s="116">
        <v>16739.900000000001</v>
      </c>
      <c r="G1522">
        <v>28701</v>
      </c>
      <c r="H1522" s="116"/>
      <c r="I1522" s="116"/>
      <c r="L1522" s="170">
        <v>44244</v>
      </c>
      <c r="M1522" s="116">
        <v>837.06</v>
      </c>
      <c r="N1522" s="116">
        <v>845</v>
      </c>
      <c r="O1522" s="116">
        <v>817.5</v>
      </c>
      <c r="P1522" s="116">
        <v>845</v>
      </c>
      <c r="Q1522" s="116">
        <v>16741.2</v>
      </c>
      <c r="R1522">
        <v>599343</v>
      </c>
    </row>
    <row r="1523" spans="1:18" x14ac:dyDescent="0.25">
      <c r="A1523" s="170">
        <v>44245</v>
      </c>
      <c r="B1523" s="116">
        <v>852.5</v>
      </c>
      <c r="C1523" s="116">
        <v>818.70749999999998</v>
      </c>
      <c r="D1523" s="116">
        <v>815.35</v>
      </c>
      <c r="E1523" s="116">
        <v>852.5</v>
      </c>
      <c r="F1523" s="116">
        <v>16374.15</v>
      </c>
      <c r="G1523">
        <v>13711</v>
      </c>
      <c r="H1523" s="116"/>
      <c r="I1523" s="116"/>
      <c r="L1523" s="170">
        <v>44245</v>
      </c>
      <c r="M1523" s="116">
        <v>818.23500000000001</v>
      </c>
      <c r="N1523" s="116">
        <v>845</v>
      </c>
      <c r="O1523" s="116">
        <v>815</v>
      </c>
      <c r="P1523" s="116">
        <v>837.8</v>
      </c>
      <c r="Q1523" s="116">
        <v>16364.7</v>
      </c>
      <c r="R1523">
        <v>251066</v>
      </c>
    </row>
    <row r="1524" spans="1:18" x14ac:dyDescent="0.25">
      <c r="A1524" s="170">
        <v>44246</v>
      </c>
      <c r="B1524" s="116">
        <v>823.88</v>
      </c>
      <c r="C1524" s="116">
        <v>819.30499999999995</v>
      </c>
      <c r="D1524" s="116">
        <v>810.72249999999997</v>
      </c>
      <c r="E1524" s="116">
        <v>819.75</v>
      </c>
      <c r="F1524" s="116">
        <v>16386.099999999999</v>
      </c>
      <c r="G1524">
        <v>5777</v>
      </c>
      <c r="H1524" s="116"/>
      <c r="I1524" s="116"/>
      <c r="L1524" s="170">
        <v>44246</v>
      </c>
      <c r="M1524" s="116">
        <v>818.82</v>
      </c>
      <c r="N1524" s="116">
        <v>823.23500000000001</v>
      </c>
      <c r="O1524" s="116">
        <v>810.64750000000004</v>
      </c>
      <c r="P1524" s="116">
        <v>821.5</v>
      </c>
      <c r="Q1524" s="116">
        <v>16376.4</v>
      </c>
      <c r="R1524">
        <v>130275</v>
      </c>
    </row>
    <row r="1525" spans="1:18" x14ac:dyDescent="0.25">
      <c r="A1525" s="170">
        <v>44249</v>
      </c>
      <c r="B1525" s="116">
        <v>826.55250000000001</v>
      </c>
      <c r="C1525" s="116">
        <v>804.96</v>
      </c>
      <c r="D1525" s="116">
        <v>801.23</v>
      </c>
      <c r="E1525" s="116">
        <v>820</v>
      </c>
      <c r="F1525" s="116">
        <v>16099.2</v>
      </c>
      <c r="G1525">
        <v>9051</v>
      </c>
      <c r="H1525" s="116"/>
      <c r="I1525" s="116"/>
      <c r="L1525" s="170">
        <v>44249</v>
      </c>
      <c r="M1525" s="116">
        <v>804.81500000000005</v>
      </c>
      <c r="N1525" s="116">
        <v>826.5</v>
      </c>
      <c r="O1525" s="116">
        <v>801.23</v>
      </c>
      <c r="P1525" s="116">
        <v>820.55250000000001</v>
      </c>
      <c r="Q1525" s="116">
        <v>16096.3</v>
      </c>
      <c r="R1525">
        <v>214915</v>
      </c>
    </row>
    <row r="1526" spans="1:18" x14ac:dyDescent="0.25">
      <c r="A1526" s="170">
        <v>44250</v>
      </c>
      <c r="B1526" s="116">
        <v>812.5</v>
      </c>
      <c r="C1526" s="116">
        <v>808.26250000000005</v>
      </c>
      <c r="D1526" s="116">
        <v>800.15</v>
      </c>
      <c r="E1526" s="116">
        <v>806.15</v>
      </c>
      <c r="F1526" s="116">
        <v>16165.25</v>
      </c>
      <c r="G1526">
        <v>6261</v>
      </c>
      <c r="H1526" s="116"/>
      <c r="I1526" s="116"/>
      <c r="L1526" s="170">
        <v>44250</v>
      </c>
      <c r="M1526" s="116">
        <v>808.49749999999995</v>
      </c>
      <c r="N1526" s="116">
        <v>812.75</v>
      </c>
      <c r="O1526" s="116">
        <v>800.10500000000002</v>
      </c>
      <c r="P1526" s="116">
        <v>806.55</v>
      </c>
      <c r="Q1526" s="116">
        <v>16169.95</v>
      </c>
      <c r="R1526">
        <v>142998</v>
      </c>
    </row>
    <row r="1527" spans="1:18" x14ac:dyDescent="0.25">
      <c r="A1527" s="170">
        <v>44251</v>
      </c>
      <c r="B1527" s="116">
        <v>840</v>
      </c>
      <c r="C1527" s="116">
        <v>817.58749999999998</v>
      </c>
      <c r="D1527" s="116">
        <v>795</v>
      </c>
      <c r="E1527" s="116">
        <v>812.45</v>
      </c>
      <c r="F1527" s="116">
        <v>16351.75</v>
      </c>
      <c r="G1527">
        <v>18013</v>
      </c>
      <c r="H1527" s="116"/>
      <c r="I1527" s="116"/>
      <c r="L1527" s="170">
        <v>44251</v>
      </c>
      <c r="M1527" s="116">
        <v>817.3075</v>
      </c>
      <c r="N1527" s="116">
        <v>818.9</v>
      </c>
      <c r="O1527" s="116">
        <v>805</v>
      </c>
      <c r="P1527" s="116">
        <v>814.15</v>
      </c>
      <c r="Q1527" s="116">
        <v>16346.15</v>
      </c>
      <c r="R1527">
        <v>84342</v>
      </c>
    </row>
    <row r="1528" spans="1:18" x14ac:dyDescent="0.25">
      <c r="A1528" s="170">
        <v>44252</v>
      </c>
      <c r="B1528" s="116">
        <v>819.73500000000001</v>
      </c>
      <c r="C1528" s="116">
        <v>805.71749999999997</v>
      </c>
      <c r="D1528" s="116">
        <v>805.1</v>
      </c>
      <c r="E1528" s="116">
        <v>819.73500000000001</v>
      </c>
      <c r="F1528" s="116">
        <v>16114.35</v>
      </c>
      <c r="G1528">
        <v>18735</v>
      </c>
      <c r="H1528" s="116"/>
      <c r="I1528" s="116"/>
      <c r="L1528" s="170">
        <v>44252</v>
      </c>
      <c r="M1528" s="116">
        <v>805.69500000000005</v>
      </c>
      <c r="N1528" s="116">
        <v>818.66499999999996</v>
      </c>
      <c r="O1528" s="116">
        <v>805</v>
      </c>
      <c r="P1528" s="116">
        <v>815.3</v>
      </c>
      <c r="Q1528" s="116">
        <v>16113.9</v>
      </c>
      <c r="R1528">
        <v>185713</v>
      </c>
    </row>
    <row r="1529" spans="1:18" x14ac:dyDescent="0.25">
      <c r="A1529" s="170">
        <v>44253</v>
      </c>
      <c r="B1529" s="116">
        <v>814.36</v>
      </c>
      <c r="C1529" s="116">
        <v>804.88499999999999</v>
      </c>
      <c r="D1529" s="116">
        <v>800.5</v>
      </c>
      <c r="E1529" s="116">
        <v>803.75</v>
      </c>
      <c r="F1529" s="116">
        <v>16097.7</v>
      </c>
      <c r="G1529">
        <v>13733</v>
      </c>
      <c r="H1529" s="116"/>
      <c r="I1529" s="116"/>
      <c r="L1529" s="170">
        <v>44253</v>
      </c>
      <c r="M1529" s="116">
        <v>805.08</v>
      </c>
      <c r="N1529" s="116">
        <v>814.22</v>
      </c>
      <c r="O1529" s="116">
        <v>800.19500000000005</v>
      </c>
      <c r="P1529" s="116">
        <v>802.52499999999998</v>
      </c>
      <c r="Q1529" s="116">
        <v>16101.6</v>
      </c>
      <c r="R1529">
        <v>226873</v>
      </c>
    </row>
    <row r="1530" spans="1:18" x14ac:dyDescent="0.25">
      <c r="A1530" s="170">
        <v>44256</v>
      </c>
      <c r="B1530" s="116">
        <v>818</v>
      </c>
      <c r="C1530" s="116">
        <v>814.41</v>
      </c>
      <c r="D1530" s="116">
        <v>804.53499999999997</v>
      </c>
      <c r="E1530" s="116">
        <v>813.74749999999995</v>
      </c>
      <c r="F1530" s="116">
        <v>16288.2</v>
      </c>
      <c r="G1530">
        <v>4590</v>
      </c>
      <c r="H1530" s="116"/>
      <c r="I1530" s="116"/>
      <c r="L1530" s="170">
        <v>44256</v>
      </c>
      <c r="M1530" s="116">
        <v>814.62249999999995</v>
      </c>
      <c r="N1530" s="116">
        <v>818.38</v>
      </c>
      <c r="O1530" s="116">
        <v>805</v>
      </c>
      <c r="P1530" s="116">
        <v>811.8</v>
      </c>
      <c r="Q1530" s="116">
        <v>16292.45</v>
      </c>
      <c r="R1530">
        <v>90718</v>
      </c>
    </row>
    <row r="1531" spans="1:18" x14ac:dyDescent="0.25">
      <c r="A1531" s="170">
        <v>44257</v>
      </c>
      <c r="B1531" s="116">
        <v>831.57749999999999</v>
      </c>
      <c r="C1531" s="116">
        <v>828.59749999999997</v>
      </c>
      <c r="D1531" s="116">
        <v>814.51499999999999</v>
      </c>
      <c r="E1531" s="116">
        <v>819.95</v>
      </c>
      <c r="F1531" s="116">
        <v>16571.95</v>
      </c>
      <c r="G1531">
        <v>3793</v>
      </c>
      <c r="H1531" s="116"/>
      <c r="I1531" s="116"/>
      <c r="L1531" s="170">
        <v>44257</v>
      </c>
      <c r="M1531" s="116">
        <v>828.8075</v>
      </c>
      <c r="N1531" s="116">
        <v>831</v>
      </c>
      <c r="O1531" s="116">
        <v>814.48749999999995</v>
      </c>
      <c r="P1531" s="116">
        <v>815.1</v>
      </c>
      <c r="Q1531" s="116">
        <v>16576.150000000001</v>
      </c>
      <c r="R1531">
        <v>123097</v>
      </c>
    </row>
    <row r="1532" spans="1:18" x14ac:dyDescent="0.25">
      <c r="A1532" s="170">
        <v>44258</v>
      </c>
      <c r="B1532" s="116">
        <v>839</v>
      </c>
      <c r="C1532" s="116">
        <v>834.74249999999995</v>
      </c>
      <c r="D1532" s="116">
        <v>827.66499999999996</v>
      </c>
      <c r="E1532" s="116">
        <v>839</v>
      </c>
      <c r="F1532" s="116">
        <v>16694.849999999999</v>
      </c>
      <c r="G1532">
        <v>2047</v>
      </c>
      <c r="H1532" s="116"/>
      <c r="I1532" s="116"/>
      <c r="L1532" s="170">
        <v>44258</v>
      </c>
      <c r="M1532" s="116">
        <v>834.96249999999998</v>
      </c>
      <c r="N1532" s="116">
        <v>836</v>
      </c>
      <c r="O1532" s="116">
        <v>827.33249999999998</v>
      </c>
      <c r="P1532" s="116">
        <v>835.25</v>
      </c>
      <c r="Q1532" s="116">
        <v>16699.25</v>
      </c>
      <c r="R1532">
        <v>92873</v>
      </c>
    </row>
    <row r="1533" spans="1:18" x14ac:dyDescent="0.25">
      <c r="A1533" s="170">
        <v>44259</v>
      </c>
      <c r="B1533" s="116">
        <v>839.5</v>
      </c>
      <c r="C1533" s="116">
        <v>832.47</v>
      </c>
      <c r="D1533" s="116">
        <v>822.5</v>
      </c>
      <c r="E1533" s="116">
        <v>839.5</v>
      </c>
      <c r="F1533" s="116">
        <v>16649.400000000001</v>
      </c>
      <c r="G1533">
        <v>11982</v>
      </c>
      <c r="H1533" s="116"/>
      <c r="I1533" s="116"/>
      <c r="L1533" s="170">
        <v>44259</v>
      </c>
      <c r="M1533" s="116">
        <v>833.09</v>
      </c>
      <c r="N1533" s="116">
        <v>835.39750000000004</v>
      </c>
      <c r="O1533" s="116">
        <v>822.25</v>
      </c>
      <c r="P1533" s="116">
        <v>832.82749999999999</v>
      </c>
      <c r="Q1533" s="116">
        <v>16661.8</v>
      </c>
      <c r="R1533">
        <v>129981</v>
      </c>
    </row>
    <row r="1534" spans="1:18" x14ac:dyDescent="0.25">
      <c r="A1534" s="170">
        <v>44260</v>
      </c>
      <c r="B1534" s="116">
        <v>841.83500000000004</v>
      </c>
      <c r="C1534" s="116">
        <v>838.72249999999997</v>
      </c>
      <c r="D1534" s="116">
        <v>820.25750000000005</v>
      </c>
      <c r="E1534" s="116">
        <v>820.25750000000005</v>
      </c>
      <c r="F1534" s="116">
        <v>16774.45</v>
      </c>
      <c r="G1534">
        <v>3226</v>
      </c>
      <c r="H1534" s="116"/>
      <c r="I1534" s="116"/>
      <c r="L1534" s="170">
        <v>44260</v>
      </c>
      <c r="M1534" s="116">
        <v>839.14499999999998</v>
      </c>
      <c r="N1534" s="116">
        <v>842</v>
      </c>
      <c r="O1534" s="116">
        <v>822.8</v>
      </c>
      <c r="P1534" s="116">
        <v>825.8</v>
      </c>
      <c r="Q1534" s="116">
        <v>16782.900000000001</v>
      </c>
      <c r="R1534">
        <v>102741</v>
      </c>
    </row>
    <row r="1535" spans="1:18" x14ac:dyDescent="0.25">
      <c r="A1535" s="170">
        <v>44263</v>
      </c>
      <c r="B1535" s="116">
        <v>844.4</v>
      </c>
      <c r="C1535" s="116">
        <v>842.5675</v>
      </c>
      <c r="D1535" s="116">
        <v>831.55</v>
      </c>
      <c r="E1535" s="116">
        <v>839</v>
      </c>
      <c r="F1535" s="116">
        <v>16851.349999999999</v>
      </c>
      <c r="G1535">
        <v>5726</v>
      </c>
      <c r="H1535" s="116"/>
      <c r="I1535" s="116"/>
      <c r="L1535" s="170">
        <v>44263</v>
      </c>
      <c r="M1535" s="116">
        <v>842.62249999999995</v>
      </c>
      <c r="N1535" s="116">
        <v>845</v>
      </c>
      <c r="O1535" s="116">
        <v>830.35</v>
      </c>
      <c r="P1535" s="116">
        <v>836.25250000000005</v>
      </c>
      <c r="Q1535" s="116">
        <v>16852.45</v>
      </c>
      <c r="R1535">
        <v>91842</v>
      </c>
    </row>
    <row r="1536" spans="1:18" x14ac:dyDescent="0.25">
      <c r="A1536" s="170">
        <v>44264</v>
      </c>
      <c r="B1536" s="116">
        <v>846.5</v>
      </c>
      <c r="C1536" s="116">
        <v>844.96749999999997</v>
      </c>
      <c r="D1536" s="116">
        <v>833</v>
      </c>
      <c r="E1536" s="116">
        <v>845</v>
      </c>
      <c r="F1536" s="116">
        <v>16899.349999999999</v>
      </c>
      <c r="G1536">
        <v>1759</v>
      </c>
      <c r="H1536" s="116"/>
      <c r="I1536" s="116"/>
      <c r="L1536" s="170">
        <v>44264</v>
      </c>
      <c r="M1536" s="116">
        <v>845.54</v>
      </c>
      <c r="N1536" s="116">
        <v>847.49749999999995</v>
      </c>
      <c r="O1536" s="116">
        <v>833</v>
      </c>
      <c r="P1536" s="116">
        <v>845.51</v>
      </c>
      <c r="Q1536" s="116">
        <v>16910.8</v>
      </c>
      <c r="R1536">
        <v>92717</v>
      </c>
    </row>
    <row r="1537" spans="1:18" x14ac:dyDescent="0.25">
      <c r="A1537" s="170">
        <v>44265</v>
      </c>
      <c r="B1537" s="116">
        <v>849.96749999999997</v>
      </c>
      <c r="C1537" s="116">
        <v>846.83500000000004</v>
      </c>
      <c r="D1537" s="116">
        <v>839.27250000000004</v>
      </c>
      <c r="E1537" s="116">
        <v>845.66750000000002</v>
      </c>
      <c r="F1537" s="116">
        <v>16936.7</v>
      </c>
      <c r="G1537">
        <v>5417</v>
      </c>
      <c r="H1537" s="116"/>
      <c r="I1537" s="116"/>
      <c r="L1537" s="170">
        <v>44265</v>
      </c>
      <c r="M1537" s="116">
        <v>846.57249999999999</v>
      </c>
      <c r="N1537" s="116">
        <v>850</v>
      </c>
      <c r="O1537" s="116">
        <v>839.25</v>
      </c>
      <c r="P1537" s="116">
        <v>847.48500000000001</v>
      </c>
      <c r="Q1537" s="116">
        <v>16931.45</v>
      </c>
      <c r="R1537">
        <v>63788</v>
      </c>
    </row>
    <row r="1538" spans="1:18" x14ac:dyDescent="0.25">
      <c r="A1538" s="170">
        <v>44267</v>
      </c>
      <c r="B1538" s="116">
        <v>849.5</v>
      </c>
      <c r="C1538" s="116">
        <v>838.31</v>
      </c>
      <c r="D1538" s="116">
        <v>832.47</v>
      </c>
      <c r="E1538" s="116">
        <v>842.5</v>
      </c>
      <c r="F1538" s="116">
        <v>16766.2</v>
      </c>
      <c r="G1538">
        <v>7614</v>
      </c>
      <c r="H1538" s="116"/>
      <c r="I1538" s="116"/>
      <c r="L1538" s="170">
        <v>44267</v>
      </c>
      <c r="M1538" s="116">
        <v>836.12249999999995</v>
      </c>
      <c r="N1538" s="116">
        <v>850.49249999999995</v>
      </c>
      <c r="O1538" s="116">
        <v>832.5</v>
      </c>
      <c r="P1538" s="116">
        <v>848.85</v>
      </c>
      <c r="Q1538" s="116">
        <v>16722.45</v>
      </c>
      <c r="R1538">
        <v>84914</v>
      </c>
    </row>
    <row r="1539" spans="1:18" x14ac:dyDescent="0.25">
      <c r="A1539" s="170">
        <v>44270</v>
      </c>
      <c r="B1539" s="116">
        <v>843</v>
      </c>
      <c r="C1539" s="116">
        <v>841.5625</v>
      </c>
      <c r="D1539" s="116">
        <v>829.8</v>
      </c>
      <c r="E1539" s="116">
        <v>838.35</v>
      </c>
      <c r="F1539" s="116">
        <v>16831.25</v>
      </c>
      <c r="G1539">
        <v>4273</v>
      </c>
      <c r="H1539" s="116"/>
      <c r="I1539" s="116"/>
      <c r="L1539" s="170">
        <v>44270</v>
      </c>
      <c r="M1539" s="116">
        <v>841.65250000000003</v>
      </c>
      <c r="N1539" s="116">
        <v>843.99249999999995</v>
      </c>
      <c r="O1539" s="116">
        <v>831.5</v>
      </c>
      <c r="P1539" s="116">
        <v>843.99249999999995</v>
      </c>
      <c r="Q1539" s="116">
        <v>16833.05</v>
      </c>
      <c r="R1539">
        <v>68983</v>
      </c>
    </row>
    <row r="1540" spans="1:18" x14ac:dyDescent="0.25">
      <c r="A1540" s="170">
        <v>44271</v>
      </c>
      <c r="B1540" s="116">
        <v>851.55</v>
      </c>
      <c r="C1540" s="116">
        <v>837.46249999999998</v>
      </c>
      <c r="D1540" s="116">
        <v>834.5</v>
      </c>
      <c r="E1540" s="116">
        <v>842.50250000000005</v>
      </c>
      <c r="F1540" s="116">
        <v>16749.25</v>
      </c>
      <c r="G1540">
        <v>3315</v>
      </c>
      <c r="H1540" s="116"/>
      <c r="I1540" s="116"/>
      <c r="L1540" s="170">
        <v>44271</v>
      </c>
      <c r="M1540" s="116">
        <v>837.09749999999997</v>
      </c>
      <c r="N1540" s="116">
        <v>851</v>
      </c>
      <c r="O1540" s="116">
        <v>834.75</v>
      </c>
      <c r="P1540" s="116">
        <v>841.75</v>
      </c>
      <c r="Q1540" s="116">
        <v>16741.95</v>
      </c>
      <c r="R1540">
        <v>84470</v>
      </c>
    </row>
    <row r="1541" spans="1:18" x14ac:dyDescent="0.25">
      <c r="A1541" s="170">
        <v>44272</v>
      </c>
      <c r="B1541" s="116">
        <v>837.46749999999997</v>
      </c>
      <c r="C1541" s="116">
        <v>822.90499999999997</v>
      </c>
      <c r="D1541" s="116">
        <v>817.5</v>
      </c>
      <c r="E1541" s="116">
        <v>837.45</v>
      </c>
      <c r="F1541" s="116">
        <v>16458.099999999999</v>
      </c>
      <c r="G1541">
        <v>7288</v>
      </c>
      <c r="H1541" s="116"/>
      <c r="I1541" s="116"/>
      <c r="L1541" s="170">
        <v>44272</v>
      </c>
      <c r="M1541" s="116">
        <v>822.78750000000002</v>
      </c>
      <c r="N1541" s="116">
        <v>839.5</v>
      </c>
      <c r="O1541" s="116">
        <v>817.00250000000005</v>
      </c>
      <c r="P1541" s="116">
        <v>839.5</v>
      </c>
      <c r="Q1541" s="116">
        <v>16455.75</v>
      </c>
      <c r="R1541">
        <v>157173</v>
      </c>
    </row>
    <row r="1542" spans="1:18" x14ac:dyDescent="0.25">
      <c r="A1542" s="170">
        <v>44273</v>
      </c>
      <c r="B1542" s="116">
        <v>831.25</v>
      </c>
      <c r="C1542" s="116">
        <v>810.13499999999999</v>
      </c>
      <c r="D1542" s="116">
        <v>808.63750000000005</v>
      </c>
      <c r="E1542" s="116">
        <v>822.9</v>
      </c>
      <c r="F1542" s="116">
        <v>16202.7</v>
      </c>
      <c r="G1542">
        <v>4961</v>
      </c>
      <c r="H1542" s="116"/>
      <c r="I1542" s="116"/>
      <c r="L1542" s="170">
        <v>44273</v>
      </c>
      <c r="M1542" s="116">
        <v>810.0625</v>
      </c>
      <c r="N1542" s="116">
        <v>831.24749999999995</v>
      </c>
      <c r="O1542" s="116">
        <v>809</v>
      </c>
      <c r="P1542" s="116">
        <v>823.39499999999998</v>
      </c>
      <c r="Q1542" s="116">
        <v>16201.25</v>
      </c>
      <c r="R1542">
        <v>96365</v>
      </c>
    </row>
    <row r="1543" spans="1:18" x14ac:dyDescent="0.25">
      <c r="A1543" s="170">
        <v>44274</v>
      </c>
      <c r="B1543" s="116">
        <v>829.505</v>
      </c>
      <c r="C1543" s="116">
        <v>822.21749999999997</v>
      </c>
      <c r="D1543" s="116">
        <v>803.75750000000005</v>
      </c>
      <c r="E1543" s="116">
        <v>810.1</v>
      </c>
      <c r="F1543" s="116">
        <v>16444.349999999999</v>
      </c>
      <c r="G1543">
        <v>6378</v>
      </c>
      <c r="H1543" s="116"/>
      <c r="I1543" s="116"/>
      <c r="L1543" s="170">
        <v>44274</v>
      </c>
      <c r="M1543" s="116">
        <v>822.54250000000002</v>
      </c>
      <c r="N1543" s="116">
        <v>829.75</v>
      </c>
      <c r="O1543" s="116">
        <v>803.5</v>
      </c>
      <c r="P1543" s="116">
        <v>810</v>
      </c>
      <c r="Q1543" s="116">
        <v>16450.849999999999</v>
      </c>
      <c r="R1543">
        <v>199416</v>
      </c>
    </row>
    <row r="1544" spans="1:18" x14ac:dyDescent="0.25">
      <c r="A1544" s="170">
        <v>44277</v>
      </c>
      <c r="B1544" s="116">
        <v>833.63250000000005</v>
      </c>
      <c r="C1544" s="116">
        <v>829.71249999999998</v>
      </c>
      <c r="D1544" s="116">
        <v>817.50250000000005</v>
      </c>
      <c r="E1544" s="116">
        <v>820.75</v>
      </c>
      <c r="F1544" s="116">
        <v>16594.25</v>
      </c>
      <c r="G1544">
        <v>2728</v>
      </c>
      <c r="H1544" s="116"/>
      <c r="I1544" s="116"/>
      <c r="L1544" s="170">
        <v>44277</v>
      </c>
      <c r="M1544" s="116">
        <v>829.40250000000003</v>
      </c>
      <c r="N1544" s="116">
        <v>833.75</v>
      </c>
      <c r="O1544" s="116">
        <v>817.55</v>
      </c>
      <c r="P1544" s="116">
        <v>822.55</v>
      </c>
      <c r="Q1544" s="116">
        <v>16588.05</v>
      </c>
      <c r="R1544">
        <v>108786</v>
      </c>
    </row>
    <row r="1545" spans="1:18" x14ac:dyDescent="0.25">
      <c r="A1545" s="170">
        <v>44278</v>
      </c>
      <c r="B1545" s="116">
        <v>837.38499999999999</v>
      </c>
      <c r="C1545" s="116">
        <v>834.68</v>
      </c>
      <c r="D1545" s="116">
        <v>824.94500000000005</v>
      </c>
      <c r="E1545" s="116">
        <v>829.95</v>
      </c>
      <c r="F1545" s="116">
        <v>16693.599999999999</v>
      </c>
      <c r="G1545">
        <v>8275</v>
      </c>
      <c r="H1545" s="116"/>
      <c r="I1545" s="116"/>
      <c r="L1545" s="170">
        <v>44278</v>
      </c>
      <c r="M1545" s="116">
        <v>834.0675</v>
      </c>
      <c r="N1545" s="116">
        <v>837.5</v>
      </c>
      <c r="O1545" s="116">
        <v>825.32</v>
      </c>
      <c r="P1545" s="116">
        <v>828.75</v>
      </c>
      <c r="Q1545" s="116">
        <v>16681.349999999999</v>
      </c>
      <c r="R1545">
        <v>100358</v>
      </c>
    </row>
    <row r="1546" spans="1:18" x14ac:dyDescent="0.25">
      <c r="A1546" s="170">
        <v>44279</v>
      </c>
      <c r="B1546" s="116">
        <v>838.12249999999995</v>
      </c>
      <c r="C1546" s="116">
        <v>822.63</v>
      </c>
      <c r="D1546" s="116">
        <v>820.45</v>
      </c>
      <c r="E1546" s="116">
        <v>830</v>
      </c>
      <c r="F1546" s="116">
        <v>16452.599999999999</v>
      </c>
      <c r="G1546">
        <v>4073</v>
      </c>
      <c r="H1546" s="116"/>
      <c r="I1546" s="116"/>
      <c r="L1546" s="170">
        <v>44279</v>
      </c>
      <c r="M1546" s="116">
        <v>822.40499999999997</v>
      </c>
      <c r="N1546" s="116">
        <v>838.49</v>
      </c>
      <c r="O1546" s="116">
        <v>820.96249999999998</v>
      </c>
      <c r="P1546" s="116">
        <v>830</v>
      </c>
      <c r="Q1546" s="116">
        <v>16448.099999999999</v>
      </c>
      <c r="R1546">
        <v>75555</v>
      </c>
    </row>
    <row r="1547" spans="1:18" x14ac:dyDescent="0.25">
      <c r="A1547" s="170">
        <v>44280</v>
      </c>
      <c r="B1547" s="116">
        <v>829.15</v>
      </c>
      <c r="C1547" s="116">
        <v>808.6925</v>
      </c>
      <c r="D1547" s="116">
        <v>805.8</v>
      </c>
      <c r="E1547" s="116">
        <v>824.65</v>
      </c>
      <c r="F1547" s="116">
        <v>16173.85</v>
      </c>
      <c r="G1547">
        <v>4206</v>
      </c>
      <c r="H1547" s="116"/>
      <c r="I1547" s="116"/>
      <c r="L1547" s="170">
        <v>44280</v>
      </c>
      <c r="M1547" s="116">
        <v>808.505</v>
      </c>
      <c r="N1547" s="116">
        <v>829.22500000000002</v>
      </c>
      <c r="O1547" s="116">
        <v>805.8</v>
      </c>
      <c r="P1547" s="116">
        <v>821.25</v>
      </c>
      <c r="Q1547" s="116">
        <v>16170.1</v>
      </c>
      <c r="R1547">
        <v>108704</v>
      </c>
    </row>
    <row r="1548" spans="1:18" x14ac:dyDescent="0.25">
      <c r="A1548" s="170">
        <v>44281</v>
      </c>
      <c r="B1548" s="116">
        <v>830.00250000000005</v>
      </c>
      <c r="C1548" s="116">
        <v>828.41499999999996</v>
      </c>
      <c r="D1548" s="116">
        <v>812.52499999999998</v>
      </c>
      <c r="E1548" s="116">
        <v>819.9</v>
      </c>
      <c r="F1548" s="116">
        <v>16568.3</v>
      </c>
      <c r="G1548">
        <v>4096</v>
      </c>
      <c r="H1548" s="116"/>
      <c r="I1548" s="116"/>
      <c r="L1548" s="170">
        <v>44281</v>
      </c>
      <c r="M1548" s="116">
        <v>828.58749999999998</v>
      </c>
      <c r="N1548" s="116">
        <v>830.92250000000001</v>
      </c>
      <c r="O1548" s="116">
        <v>812.7</v>
      </c>
      <c r="P1548" s="116">
        <v>814.95</v>
      </c>
      <c r="Q1548" s="116">
        <v>16571.75</v>
      </c>
      <c r="R1548">
        <v>126578</v>
      </c>
    </row>
    <row r="1549" spans="1:18" x14ac:dyDescent="0.25">
      <c r="A1549" s="170">
        <v>44285</v>
      </c>
      <c r="B1549" s="116">
        <v>860.9</v>
      </c>
      <c r="C1549" s="116">
        <v>855.70249999999999</v>
      </c>
      <c r="D1549" s="116">
        <v>828.5</v>
      </c>
      <c r="E1549" s="116">
        <v>828.5</v>
      </c>
      <c r="F1549" s="116">
        <v>17114.05</v>
      </c>
      <c r="G1549">
        <v>5227</v>
      </c>
      <c r="H1549" s="116"/>
      <c r="I1549" s="116"/>
      <c r="L1549" s="170">
        <v>44285</v>
      </c>
      <c r="M1549" s="116">
        <v>858.25</v>
      </c>
      <c r="N1549" s="116">
        <v>862.67750000000001</v>
      </c>
      <c r="O1549" s="116">
        <v>830.5</v>
      </c>
      <c r="P1549" s="116">
        <v>830.5</v>
      </c>
      <c r="Q1549" s="116">
        <v>17165</v>
      </c>
      <c r="R1549">
        <v>148903</v>
      </c>
    </row>
    <row r="1550" spans="1:18" x14ac:dyDescent="0.25">
      <c r="A1550" s="170">
        <v>44286</v>
      </c>
      <c r="B1550" s="116">
        <v>863.07249999999999</v>
      </c>
      <c r="C1550" s="116">
        <v>858.51250000000005</v>
      </c>
      <c r="D1550" s="116">
        <v>847.64</v>
      </c>
      <c r="E1550" s="116">
        <v>856.75</v>
      </c>
      <c r="F1550" s="116">
        <v>17170.25</v>
      </c>
      <c r="G1550">
        <v>5052</v>
      </c>
      <c r="H1550" s="116"/>
      <c r="I1550" s="116"/>
      <c r="L1550" s="170">
        <v>44286</v>
      </c>
      <c r="M1550" s="116">
        <v>858.26</v>
      </c>
      <c r="N1550" s="116">
        <v>864.95</v>
      </c>
      <c r="O1550" s="116">
        <v>847.57749999999999</v>
      </c>
      <c r="P1550" s="116">
        <v>864.95</v>
      </c>
      <c r="Q1550" s="116">
        <v>17165.2</v>
      </c>
      <c r="R1550">
        <v>110331</v>
      </c>
    </row>
    <row r="1551" spans="1:18" x14ac:dyDescent="0.25">
      <c r="A1551" s="170">
        <v>44287</v>
      </c>
      <c r="B1551" s="116">
        <v>857.15250000000003</v>
      </c>
      <c r="C1551" s="116">
        <v>855.10749999999996</v>
      </c>
      <c r="D1551" s="116">
        <v>848.44500000000005</v>
      </c>
      <c r="E1551" s="116">
        <v>855.25</v>
      </c>
      <c r="F1551" s="116">
        <v>17102.150000000001</v>
      </c>
      <c r="G1551">
        <v>3554</v>
      </c>
      <c r="H1551" s="116"/>
      <c r="I1551" s="116"/>
      <c r="L1551" s="170">
        <v>44287</v>
      </c>
      <c r="M1551" s="116">
        <v>854.15750000000003</v>
      </c>
      <c r="N1551" s="116">
        <v>859.42750000000001</v>
      </c>
      <c r="O1551" s="116">
        <v>848.38</v>
      </c>
      <c r="P1551" s="116">
        <v>858.26</v>
      </c>
      <c r="Q1551" s="116">
        <v>17083.150000000001</v>
      </c>
      <c r="R1551">
        <v>83176</v>
      </c>
    </row>
    <row r="1552" spans="1:18" x14ac:dyDescent="0.25">
      <c r="A1552" s="170">
        <v>44291</v>
      </c>
      <c r="B1552" s="116">
        <v>857.48</v>
      </c>
      <c r="C1552" s="116">
        <v>845.46</v>
      </c>
      <c r="D1552" s="116">
        <v>836.09</v>
      </c>
      <c r="E1552" s="116">
        <v>856.25</v>
      </c>
      <c r="F1552" s="116">
        <v>16909.2</v>
      </c>
      <c r="G1552">
        <v>8833</v>
      </c>
      <c r="H1552" s="116"/>
      <c r="I1552" s="116"/>
      <c r="L1552" s="170">
        <v>44291</v>
      </c>
      <c r="M1552" s="116">
        <v>844.02750000000003</v>
      </c>
      <c r="N1552" s="116">
        <v>857.5</v>
      </c>
      <c r="O1552" s="116">
        <v>836.19500000000005</v>
      </c>
      <c r="P1552" s="116">
        <v>857.5</v>
      </c>
      <c r="Q1552" s="116">
        <v>16880.55</v>
      </c>
      <c r="R1552">
        <v>81557</v>
      </c>
    </row>
    <row r="1553" spans="1:18" x14ac:dyDescent="0.25">
      <c r="A1553" s="170">
        <v>44292</v>
      </c>
      <c r="B1553" s="116">
        <v>855.55</v>
      </c>
      <c r="C1553" s="116">
        <v>853.91499999999996</v>
      </c>
      <c r="D1553" s="116">
        <v>841</v>
      </c>
      <c r="E1553" s="116">
        <v>846.77499999999998</v>
      </c>
      <c r="F1553" s="116">
        <v>17078.3</v>
      </c>
      <c r="G1553">
        <v>2895</v>
      </c>
      <c r="H1553" s="116"/>
      <c r="I1553" s="116"/>
      <c r="L1553" s="170">
        <v>44292</v>
      </c>
      <c r="M1553" s="116">
        <v>854.08500000000004</v>
      </c>
      <c r="N1553" s="116">
        <v>856</v>
      </c>
      <c r="O1553" s="116">
        <v>840</v>
      </c>
      <c r="P1553" s="116">
        <v>845.5</v>
      </c>
      <c r="Q1553" s="116">
        <v>17081.7</v>
      </c>
      <c r="R1553">
        <v>64193</v>
      </c>
    </row>
    <row r="1554" spans="1:18" x14ac:dyDescent="0.25">
      <c r="A1554" s="170">
        <v>44293</v>
      </c>
      <c r="B1554" s="116">
        <v>893.1925</v>
      </c>
      <c r="C1554" s="116">
        <v>871.03250000000003</v>
      </c>
      <c r="D1554" s="116">
        <v>852.5</v>
      </c>
      <c r="E1554" s="116">
        <v>854</v>
      </c>
      <c r="F1554" s="116">
        <v>17420.650000000001</v>
      </c>
      <c r="G1554">
        <v>5029</v>
      </c>
      <c r="H1554" s="116"/>
      <c r="I1554" s="116"/>
      <c r="L1554" s="170">
        <v>44293</v>
      </c>
      <c r="M1554" s="116">
        <v>870.49249999999995</v>
      </c>
      <c r="N1554" s="116">
        <v>893.29750000000001</v>
      </c>
      <c r="O1554" s="116">
        <v>851.25</v>
      </c>
      <c r="P1554" s="116">
        <v>855</v>
      </c>
      <c r="Q1554" s="116">
        <v>17409.849999999999</v>
      </c>
      <c r="R1554">
        <v>178465</v>
      </c>
    </row>
    <row r="1555" spans="1:18" x14ac:dyDescent="0.25">
      <c r="A1555" s="170">
        <v>44294</v>
      </c>
      <c r="B1555" s="116">
        <v>887.5</v>
      </c>
      <c r="C1555" s="116">
        <v>883.39499999999998</v>
      </c>
      <c r="D1555" s="116">
        <v>866.12249999999995</v>
      </c>
      <c r="E1555" s="116">
        <v>871.05</v>
      </c>
      <c r="F1555" s="116">
        <v>17667.900000000001</v>
      </c>
      <c r="G1555">
        <v>21342</v>
      </c>
      <c r="H1555" s="116"/>
      <c r="I1555" s="116"/>
      <c r="L1555" s="170">
        <v>44294</v>
      </c>
      <c r="M1555" s="116">
        <v>884.495</v>
      </c>
      <c r="N1555" s="116">
        <v>887.95</v>
      </c>
      <c r="O1555" s="116">
        <v>866.34249999999997</v>
      </c>
      <c r="P1555" s="116">
        <v>871.25250000000005</v>
      </c>
      <c r="Q1555" s="116">
        <v>17689.900000000001</v>
      </c>
      <c r="R1555">
        <v>118006</v>
      </c>
    </row>
    <row r="1556" spans="1:18" x14ac:dyDescent="0.25">
      <c r="A1556" s="170">
        <v>44295</v>
      </c>
      <c r="B1556" s="116">
        <v>892.4</v>
      </c>
      <c r="C1556" s="116">
        <v>879.03</v>
      </c>
      <c r="D1556" s="116">
        <v>875.91499999999996</v>
      </c>
      <c r="E1556" s="116">
        <v>877.73500000000001</v>
      </c>
      <c r="F1556" s="116">
        <v>17580.599999999999</v>
      </c>
      <c r="G1556">
        <v>2037</v>
      </c>
      <c r="H1556" s="116"/>
      <c r="I1556" s="116"/>
      <c r="L1556" s="170">
        <v>44295</v>
      </c>
      <c r="M1556" s="116">
        <v>879.62</v>
      </c>
      <c r="N1556" s="116">
        <v>892.45</v>
      </c>
      <c r="O1556" s="116">
        <v>875</v>
      </c>
      <c r="P1556" s="116">
        <v>880.55499999999995</v>
      </c>
      <c r="Q1556" s="116">
        <v>17592.400000000001</v>
      </c>
      <c r="R1556">
        <v>73944</v>
      </c>
    </row>
    <row r="1557" spans="1:18" x14ac:dyDescent="0.25">
      <c r="A1557" s="170">
        <v>44298</v>
      </c>
      <c r="B1557" s="116">
        <v>881.03499999999997</v>
      </c>
      <c r="C1557" s="116">
        <v>874.78499999999997</v>
      </c>
      <c r="D1557" s="116">
        <v>867.08</v>
      </c>
      <c r="E1557" s="116">
        <v>870.06500000000005</v>
      </c>
      <c r="F1557" s="116">
        <v>17495.7</v>
      </c>
      <c r="G1557">
        <v>2886</v>
      </c>
      <c r="H1557" s="116"/>
      <c r="I1557" s="116"/>
      <c r="L1557" s="170">
        <v>44298</v>
      </c>
      <c r="M1557" s="116">
        <v>875.08500000000004</v>
      </c>
      <c r="N1557" s="116">
        <v>881</v>
      </c>
      <c r="O1557" s="116">
        <v>867.05499999999995</v>
      </c>
      <c r="P1557" s="116">
        <v>868.75750000000005</v>
      </c>
      <c r="Q1557" s="116">
        <v>17501.7</v>
      </c>
      <c r="R1557">
        <v>57532</v>
      </c>
    </row>
    <row r="1558" spans="1:18" x14ac:dyDescent="0.25">
      <c r="A1558" s="170">
        <v>44299</v>
      </c>
      <c r="B1558" s="116">
        <v>879.86</v>
      </c>
      <c r="C1558" s="116">
        <v>858.10749999999996</v>
      </c>
      <c r="D1558" s="116">
        <v>852.01</v>
      </c>
      <c r="E1558" s="116">
        <v>872.50250000000005</v>
      </c>
      <c r="F1558" s="116">
        <v>17162.150000000001</v>
      </c>
      <c r="G1558">
        <v>1729</v>
      </c>
      <c r="H1558" s="116"/>
      <c r="I1558" s="116"/>
      <c r="L1558" s="170">
        <v>44299</v>
      </c>
      <c r="M1558" s="116">
        <v>858.4425</v>
      </c>
      <c r="N1558" s="116">
        <v>879.99749999999995</v>
      </c>
      <c r="O1558" s="116">
        <v>852.005</v>
      </c>
      <c r="P1558" s="116">
        <v>879.35</v>
      </c>
      <c r="Q1558" s="116">
        <v>17168.849999999999</v>
      </c>
      <c r="R1558">
        <v>110527</v>
      </c>
    </row>
    <row r="1559" spans="1:18" x14ac:dyDescent="0.25">
      <c r="A1559" s="170">
        <v>44301</v>
      </c>
      <c r="B1559" s="116">
        <v>874.5</v>
      </c>
      <c r="C1559" s="116">
        <v>843.59500000000003</v>
      </c>
      <c r="D1559" s="116">
        <v>838.75</v>
      </c>
      <c r="E1559" s="116">
        <v>874.5</v>
      </c>
      <c r="F1559" s="116">
        <v>16871.900000000001</v>
      </c>
      <c r="G1559">
        <v>2712</v>
      </c>
      <c r="H1559" s="116"/>
      <c r="I1559" s="116"/>
      <c r="L1559" s="170">
        <v>44301</v>
      </c>
      <c r="M1559" s="116">
        <v>843.78250000000003</v>
      </c>
      <c r="N1559" s="116">
        <v>870</v>
      </c>
      <c r="O1559" s="116">
        <v>838.75</v>
      </c>
      <c r="P1559" s="116">
        <v>866.25</v>
      </c>
      <c r="Q1559" s="116">
        <v>16875.650000000001</v>
      </c>
      <c r="R1559">
        <v>118314</v>
      </c>
    </row>
    <row r="1560" spans="1:18" x14ac:dyDescent="0.25">
      <c r="A1560" s="170">
        <v>44302</v>
      </c>
      <c r="B1560" s="116">
        <v>866.4</v>
      </c>
      <c r="C1560" s="116">
        <v>861.90499999999997</v>
      </c>
      <c r="D1560" s="116">
        <v>843.51</v>
      </c>
      <c r="E1560" s="116">
        <v>850</v>
      </c>
      <c r="F1560" s="116">
        <v>17238.099999999999</v>
      </c>
      <c r="G1560">
        <v>1743</v>
      </c>
      <c r="H1560" s="116"/>
      <c r="I1560" s="116"/>
      <c r="L1560" s="170">
        <v>44302</v>
      </c>
      <c r="M1560" s="116">
        <v>862.60500000000002</v>
      </c>
      <c r="N1560" s="116">
        <v>866.75</v>
      </c>
      <c r="O1560" s="116">
        <v>843.14</v>
      </c>
      <c r="P1560" s="116">
        <v>848.45</v>
      </c>
      <c r="Q1560" s="116">
        <v>17252.099999999999</v>
      </c>
      <c r="R1560">
        <v>94190</v>
      </c>
    </row>
    <row r="1561" spans="1:18" x14ac:dyDescent="0.25">
      <c r="A1561" s="170">
        <v>44305</v>
      </c>
      <c r="B1561" s="116">
        <v>861.97500000000002</v>
      </c>
      <c r="C1561" s="116">
        <v>854.51750000000004</v>
      </c>
      <c r="D1561" s="116">
        <v>847.60500000000002</v>
      </c>
      <c r="E1561" s="116">
        <v>861.97500000000002</v>
      </c>
      <c r="F1561" s="116">
        <v>17090.349999999999</v>
      </c>
      <c r="G1561">
        <v>1282</v>
      </c>
      <c r="H1561" s="116"/>
      <c r="I1561" s="116"/>
      <c r="L1561" s="170">
        <v>44305</v>
      </c>
      <c r="M1561" s="116">
        <v>854.49749999999995</v>
      </c>
      <c r="N1561" s="116">
        <v>862</v>
      </c>
      <c r="O1561" s="116">
        <v>847.5</v>
      </c>
      <c r="P1561" s="116">
        <v>860.05250000000001</v>
      </c>
      <c r="Q1561" s="116">
        <v>17089.95</v>
      </c>
      <c r="R1561">
        <v>50938</v>
      </c>
    </row>
    <row r="1562" spans="1:18" x14ac:dyDescent="0.25">
      <c r="A1562" s="170">
        <v>44306</v>
      </c>
      <c r="B1562" s="116">
        <v>868.57500000000005</v>
      </c>
      <c r="C1562" s="116">
        <v>854.3125</v>
      </c>
      <c r="D1562" s="116">
        <v>844.27499999999998</v>
      </c>
      <c r="E1562" s="116">
        <v>865.11</v>
      </c>
      <c r="F1562" s="116">
        <v>17086.25</v>
      </c>
      <c r="G1562">
        <v>3872</v>
      </c>
      <c r="H1562" s="116"/>
      <c r="I1562" s="116"/>
      <c r="L1562" s="170">
        <v>44306</v>
      </c>
      <c r="M1562" s="116">
        <v>854.78250000000003</v>
      </c>
      <c r="N1562" s="116">
        <v>871</v>
      </c>
      <c r="O1562" s="116">
        <v>844.50250000000005</v>
      </c>
      <c r="P1562" s="116">
        <v>871</v>
      </c>
      <c r="Q1562" s="116">
        <v>17095.650000000001</v>
      </c>
      <c r="R1562">
        <v>103687</v>
      </c>
    </row>
    <row r="1563" spans="1:18" x14ac:dyDescent="0.25">
      <c r="A1563" s="170">
        <v>44308</v>
      </c>
      <c r="B1563" s="116">
        <v>859.95</v>
      </c>
      <c r="C1563" s="116">
        <v>838.9325</v>
      </c>
      <c r="D1563" s="116">
        <v>827.63</v>
      </c>
      <c r="E1563" s="116">
        <v>859.95</v>
      </c>
      <c r="F1563" s="116">
        <v>16778.650000000001</v>
      </c>
      <c r="G1563">
        <v>11575</v>
      </c>
      <c r="H1563" s="116"/>
      <c r="I1563" s="116"/>
      <c r="L1563" s="170">
        <v>44308</v>
      </c>
      <c r="M1563" s="116">
        <v>839.52250000000004</v>
      </c>
      <c r="N1563" s="116">
        <v>859.5</v>
      </c>
      <c r="O1563" s="116">
        <v>827.5625</v>
      </c>
      <c r="P1563" s="116">
        <v>859.5</v>
      </c>
      <c r="Q1563" s="116">
        <v>16790.45</v>
      </c>
      <c r="R1563">
        <v>204431</v>
      </c>
    </row>
    <row r="1564" spans="1:18" x14ac:dyDescent="0.25">
      <c r="A1564" s="170">
        <v>44309</v>
      </c>
      <c r="B1564" s="116">
        <v>842.5</v>
      </c>
      <c r="C1564" s="116">
        <v>831.22249999999997</v>
      </c>
      <c r="D1564" s="116">
        <v>829</v>
      </c>
      <c r="E1564" s="116">
        <v>842.5</v>
      </c>
      <c r="F1564" s="116">
        <v>16624.45</v>
      </c>
      <c r="G1564">
        <v>3178</v>
      </c>
      <c r="H1564" s="116"/>
      <c r="I1564" s="116"/>
      <c r="L1564" s="170">
        <v>44309</v>
      </c>
      <c r="M1564" s="116">
        <v>831.28499999999997</v>
      </c>
      <c r="N1564" s="116">
        <v>839.96500000000003</v>
      </c>
      <c r="O1564" s="116">
        <v>830.25</v>
      </c>
      <c r="P1564" s="116">
        <v>839.25</v>
      </c>
      <c r="Q1564" s="116">
        <v>16625.7</v>
      </c>
      <c r="R1564">
        <v>68600</v>
      </c>
    </row>
    <row r="1565" spans="1:18" x14ac:dyDescent="0.25">
      <c r="A1565" s="170">
        <v>44312</v>
      </c>
      <c r="B1565" s="116">
        <v>844.39499999999998</v>
      </c>
      <c r="C1565" s="116">
        <v>843.32249999999999</v>
      </c>
      <c r="D1565" s="116">
        <v>835</v>
      </c>
      <c r="E1565" s="116">
        <v>840.00250000000005</v>
      </c>
      <c r="F1565" s="116">
        <v>16866.45</v>
      </c>
      <c r="G1565">
        <v>1948</v>
      </c>
      <c r="H1565" s="116"/>
      <c r="I1565" s="116"/>
      <c r="L1565" s="170">
        <v>44312</v>
      </c>
      <c r="M1565" s="116">
        <v>843.53</v>
      </c>
      <c r="N1565" s="116">
        <v>844.75</v>
      </c>
      <c r="O1565" s="116">
        <v>833.1825</v>
      </c>
      <c r="P1565" s="116">
        <v>839.95249999999999</v>
      </c>
      <c r="Q1565" s="116">
        <v>16870.599999999999</v>
      </c>
      <c r="R1565">
        <v>152362</v>
      </c>
    </row>
    <row r="1566" spans="1:18" x14ac:dyDescent="0.25">
      <c r="A1566" s="170">
        <v>44313</v>
      </c>
      <c r="B1566" s="116">
        <v>845.50250000000005</v>
      </c>
      <c r="C1566" s="116">
        <v>839.16</v>
      </c>
      <c r="D1566" s="116">
        <v>837.75750000000005</v>
      </c>
      <c r="E1566" s="116">
        <v>843.5</v>
      </c>
      <c r="F1566" s="116">
        <v>16783.2</v>
      </c>
      <c r="G1566">
        <v>1609</v>
      </c>
      <c r="H1566" s="116"/>
      <c r="I1566" s="116"/>
      <c r="L1566" s="170">
        <v>44313</v>
      </c>
      <c r="M1566" s="116">
        <v>838.95</v>
      </c>
      <c r="N1566" s="116">
        <v>846.5</v>
      </c>
      <c r="O1566" s="116">
        <v>837.5</v>
      </c>
      <c r="P1566" s="116">
        <v>844.95</v>
      </c>
      <c r="Q1566" s="116">
        <v>16779</v>
      </c>
      <c r="R1566">
        <v>44651</v>
      </c>
    </row>
    <row r="1567" spans="1:18" x14ac:dyDescent="0.25">
      <c r="A1567" s="170">
        <v>44314</v>
      </c>
      <c r="B1567" s="116">
        <v>842.45</v>
      </c>
      <c r="C1567" s="116">
        <v>831.1</v>
      </c>
      <c r="D1567" s="116">
        <v>830.0675</v>
      </c>
      <c r="E1567" s="116">
        <v>842.45</v>
      </c>
      <c r="F1567" s="116">
        <v>16622</v>
      </c>
      <c r="G1567">
        <v>23031</v>
      </c>
      <c r="H1567" s="116"/>
      <c r="I1567" s="116"/>
      <c r="L1567" s="170">
        <v>44314</v>
      </c>
      <c r="M1567" s="116">
        <v>831.69</v>
      </c>
      <c r="N1567" s="116">
        <v>841.55499999999995</v>
      </c>
      <c r="O1567" s="116">
        <v>830.55</v>
      </c>
      <c r="P1567" s="116">
        <v>838.75</v>
      </c>
      <c r="Q1567" s="116">
        <v>16633.8</v>
      </c>
      <c r="R1567">
        <v>86876</v>
      </c>
    </row>
    <row r="1568" spans="1:18" x14ac:dyDescent="0.25">
      <c r="A1568" s="170">
        <v>44315</v>
      </c>
      <c r="B1568" s="116">
        <v>835.49749999999995</v>
      </c>
      <c r="C1568" s="116">
        <v>825.34749999999997</v>
      </c>
      <c r="D1568" s="116">
        <v>824.5</v>
      </c>
      <c r="E1568" s="116">
        <v>834.85</v>
      </c>
      <c r="F1568" s="116">
        <v>16506.95</v>
      </c>
      <c r="G1568">
        <v>2328</v>
      </c>
      <c r="H1568" s="116"/>
      <c r="I1568" s="116"/>
      <c r="L1568" s="170">
        <v>44315</v>
      </c>
      <c r="M1568" s="116">
        <v>825.12750000000005</v>
      </c>
      <c r="N1568" s="116">
        <v>835.73</v>
      </c>
      <c r="O1568" s="116">
        <v>824</v>
      </c>
      <c r="P1568" s="116">
        <v>833.95</v>
      </c>
      <c r="Q1568" s="116">
        <v>16502.55</v>
      </c>
      <c r="R1568">
        <v>80207</v>
      </c>
    </row>
    <row r="1569" spans="1:18" x14ac:dyDescent="0.25">
      <c r="A1569" s="170">
        <v>44316</v>
      </c>
      <c r="B1569" s="116">
        <v>828.38750000000005</v>
      </c>
      <c r="C1569" s="116">
        <v>815.55499999999995</v>
      </c>
      <c r="D1569" s="116">
        <v>813.57249999999999</v>
      </c>
      <c r="E1569" s="116">
        <v>825.5</v>
      </c>
      <c r="F1569" s="116">
        <v>16311.1</v>
      </c>
      <c r="G1569">
        <v>4122</v>
      </c>
      <c r="H1569" s="116"/>
      <c r="I1569" s="116"/>
      <c r="L1569" s="170">
        <v>44316</v>
      </c>
      <c r="M1569" s="116">
        <v>815.46249999999998</v>
      </c>
      <c r="N1569" s="116">
        <v>828.46</v>
      </c>
      <c r="O1569" s="116">
        <v>812.75</v>
      </c>
      <c r="P1569" s="116">
        <v>825</v>
      </c>
      <c r="Q1569" s="116">
        <v>16309.25</v>
      </c>
      <c r="R1569">
        <v>97783</v>
      </c>
    </row>
    <row r="1570" spans="1:18" x14ac:dyDescent="0.25">
      <c r="A1570" s="170">
        <v>44319</v>
      </c>
      <c r="B1570" s="116">
        <v>828.5</v>
      </c>
      <c r="C1570" s="116">
        <v>825.03499999999997</v>
      </c>
      <c r="D1570" s="116">
        <v>813.35249999999996</v>
      </c>
      <c r="E1570" s="116">
        <v>817.6</v>
      </c>
      <c r="F1570" s="116">
        <v>16500.7</v>
      </c>
      <c r="G1570">
        <v>3965</v>
      </c>
      <c r="H1570" s="116"/>
      <c r="I1570" s="116"/>
      <c r="L1570" s="170">
        <v>44319</v>
      </c>
      <c r="M1570" s="116">
        <v>825.33749999999998</v>
      </c>
      <c r="N1570" s="116">
        <v>828.74749999999995</v>
      </c>
      <c r="O1570" s="116">
        <v>813.63250000000005</v>
      </c>
      <c r="P1570" s="116">
        <v>818</v>
      </c>
      <c r="Q1570" s="116">
        <v>16506.75</v>
      </c>
      <c r="R1570">
        <v>64048</v>
      </c>
    </row>
    <row r="1571" spans="1:18" x14ac:dyDescent="0.25">
      <c r="A1571" s="170">
        <v>44320</v>
      </c>
      <c r="B1571" s="116">
        <v>831.375</v>
      </c>
      <c r="C1571" s="116">
        <v>826.90499999999997</v>
      </c>
      <c r="D1571" s="116">
        <v>819.57500000000005</v>
      </c>
      <c r="E1571" s="116">
        <v>828.24</v>
      </c>
      <c r="F1571" s="116">
        <v>16538.099999999999</v>
      </c>
      <c r="G1571">
        <v>2003</v>
      </c>
      <c r="H1571" s="116"/>
      <c r="I1571" s="116"/>
      <c r="L1571" s="170">
        <v>44320</v>
      </c>
      <c r="M1571" s="116">
        <v>827.33</v>
      </c>
      <c r="N1571" s="116">
        <v>831</v>
      </c>
      <c r="O1571" s="116">
        <v>819</v>
      </c>
      <c r="P1571" s="116">
        <v>825.51250000000005</v>
      </c>
      <c r="Q1571" s="116">
        <v>16546.599999999999</v>
      </c>
      <c r="R1571">
        <v>105796</v>
      </c>
    </row>
    <row r="1572" spans="1:18" x14ac:dyDescent="0.25">
      <c r="A1572" s="170">
        <v>44321</v>
      </c>
      <c r="B1572" s="116">
        <v>830.1</v>
      </c>
      <c r="C1572" s="116">
        <v>827.51</v>
      </c>
      <c r="D1572" s="116">
        <v>822.89</v>
      </c>
      <c r="E1572" s="116">
        <v>829.25</v>
      </c>
      <c r="F1572" s="116">
        <v>16550.2</v>
      </c>
      <c r="G1572">
        <v>792</v>
      </c>
      <c r="H1572" s="116"/>
      <c r="I1572" s="116"/>
      <c r="L1572" s="170">
        <v>44321</v>
      </c>
      <c r="M1572" s="116">
        <v>827.46249999999998</v>
      </c>
      <c r="N1572" s="116">
        <v>830.5</v>
      </c>
      <c r="O1572" s="116">
        <v>822.87249999999995</v>
      </c>
      <c r="P1572" s="116">
        <v>828.05250000000001</v>
      </c>
      <c r="Q1572" s="116">
        <v>16549.25</v>
      </c>
      <c r="R1572">
        <v>35322</v>
      </c>
    </row>
    <row r="1573" spans="1:18" x14ac:dyDescent="0.25">
      <c r="A1573" s="170">
        <v>44322</v>
      </c>
      <c r="B1573" s="116">
        <v>838.35</v>
      </c>
      <c r="C1573" s="116">
        <v>836.35</v>
      </c>
      <c r="D1573" s="116">
        <v>828.06</v>
      </c>
      <c r="E1573" s="116">
        <v>829.4</v>
      </c>
      <c r="F1573" s="116">
        <v>16727</v>
      </c>
      <c r="G1573">
        <v>3968</v>
      </c>
      <c r="H1573" s="116"/>
      <c r="I1573" s="116"/>
      <c r="L1573" s="170">
        <v>44322</v>
      </c>
      <c r="M1573" s="116">
        <v>835.88</v>
      </c>
      <c r="N1573" s="116">
        <v>838.49</v>
      </c>
      <c r="O1573" s="116">
        <v>826.25250000000005</v>
      </c>
      <c r="P1573" s="116">
        <v>826.25250000000005</v>
      </c>
      <c r="Q1573" s="116">
        <v>16717.599999999999</v>
      </c>
      <c r="R1573">
        <v>70319</v>
      </c>
    </row>
    <row r="1574" spans="1:18" x14ac:dyDescent="0.25">
      <c r="A1574" s="170">
        <v>44323</v>
      </c>
      <c r="B1574" s="116">
        <v>839.75</v>
      </c>
      <c r="C1574" s="116">
        <v>837.67750000000001</v>
      </c>
      <c r="D1574" s="116">
        <v>833.005</v>
      </c>
      <c r="E1574" s="116">
        <v>839</v>
      </c>
      <c r="F1574" s="116">
        <v>16753.55</v>
      </c>
      <c r="G1574">
        <v>2470</v>
      </c>
      <c r="H1574" s="116"/>
      <c r="I1574" s="116"/>
      <c r="L1574" s="170">
        <v>44323</v>
      </c>
      <c r="M1574" s="116">
        <v>838.0675</v>
      </c>
      <c r="N1574" s="116">
        <v>839.90499999999997</v>
      </c>
      <c r="O1574" s="116">
        <v>833.25</v>
      </c>
      <c r="P1574" s="116">
        <v>839.42750000000001</v>
      </c>
      <c r="Q1574" s="116">
        <v>16761.349999999999</v>
      </c>
      <c r="R1574">
        <v>37666</v>
      </c>
    </row>
    <row r="1575" spans="1:18" x14ac:dyDescent="0.25">
      <c r="A1575" s="170">
        <v>44326</v>
      </c>
      <c r="B1575" s="116">
        <v>842.22</v>
      </c>
      <c r="C1575" s="116">
        <v>838.18</v>
      </c>
      <c r="D1575" s="116">
        <v>833.68</v>
      </c>
      <c r="E1575" s="116">
        <v>838.35</v>
      </c>
      <c r="F1575" s="116">
        <v>16763.599999999999</v>
      </c>
      <c r="G1575">
        <v>1989</v>
      </c>
      <c r="H1575" s="116"/>
      <c r="I1575" s="116"/>
      <c r="L1575" s="170">
        <v>44326</v>
      </c>
      <c r="M1575" s="116">
        <v>839.36500000000001</v>
      </c>
      <c r="N1575" s="116">
        <v>842.5</v>
      </c>
      <c r="O1575" s="116">
        <v>833.5</v>
      </c>
      <c r="P1575" s="116">
        <v>841.5</v>
      </c>
      <c r="Q1575" s="116">
        <v>16787.3</v>
      </c>
      <c r="R1575">
        <v>47658</v>
      </c>
    </row>
    <row r="1576" spans="1:18" x14ac:dyDescent="0.25">
      <c r="A1576" s="170">
        <v>44327</v>
      </c>
      <c r="B1576" s="116">
        <v>847.27750000000003</v>
      </c>
      <c r="C1576" s="116">
        <v>843.54750000000001</v>
      </c>
      <c r="D1576" s="116">
        <v>835.35</v>
      </c>
      <c r="E1576" s="116">
        <v>838</v>
      </c>
      <c r="F1576" s="116">
        <v>16870.95</v>
      </c>
      <c r="G1576">
        <v>1340</v>
      </c>
      <c r="H1576" s="116"/>
      <c r="I1576" s="116"/>
      <c r="L1576" s="170">
        <v>44327</v>
      </c>
      <c r="M1576" s="116">
        <v>843.505</v>
      </c>
      <c r="N1576" s="116">
        <v>847.45</v>
      </c>
      <c r="O1576" s="116">
        <v>835.51750000000004</v>
      </c>
      <c r="P1576" s="116">
        <v>837.45</v>
      </c>
      <c r="Q1576" s="116">
        <v>16870.099999999999</v>
      </c>
      <c r="R1576">
        <v>60063</v>
      </c>
    </row>
    <row r="1577" spans="1:18" x14ac:dyDescent="0.25">
      <c r="A1577" s="170">
        <v>44328</v>
      </c>
      <c r="B1577" s="116">
        <v>846.99749999999995</v>
      </c>
      <c r="C1577" s="116">
        <v>835.6875</v>
      </c>
      <c r="D1577" s="116">
        <v>831.05</v>
      </c>
      <c r="E1577" s="116">
        <v>846.99749999999995</v>
      </c>
      <c r="F1577" s="116">
        <v>16713.75</v>
      </c>
      <c r="G1577">
        <v>2318</v>
      </c>
      <c r="H1577" s="116"/>
      <c r="I1577" s="116"/>
      <c r="L1577" s="170">
        <v>44328</v>
      </c>
      <c r="M1577" s="116">
        <v>835.89499999999998</v>
      </c>
      <c r="N1577" s="116">
        <v>842.87</v>
      </c>
      <c r="O1577" s="116">
        <v>831</v>
      </c>
      <c r="P1577" s="116">
        <v>838.51250000000005</v>
      </c>
      <c r="Q1577" s="116">
        <v>16717.900000000001</v>
      </c>
      <c r="R1577">
        <v>60576</v>
      </c>
    </row>
    <row r="1578" spans="1:18" x14ac:dyDescent="0.25">
      <c r="A1578" s="170">
        <v>44330</v>
      </c>
      <c r="B1578" s="116">
        <v>862.5</v>
      </c>
      <c r="C1578" s="116">
        <v>860.87750000000005</v>
      </c>
      <c r="D1578" s="116">
        <v>835.7</v>
      </c>
      <c r="E1578" s="116">
        <v>837.5</v>
      </c>
      <c r="F1578" s="116">
        <v>17217.55</v>
      </c>
      <c r="G1578">
        <v>3356</v>
      </c>
      <c r="H1578" s="116"/>
      <c r="I1578" s="116"/>
      <c r="L1578" s="170">
        <v>44330</v>
      </c>
      <c r="M1578" s="116">
        <v>861.20749999999998</v>
      </c>
      <c r="N1578" s="116">
        <v>863</v>
      </c>
      <c r="O1578" s="116">
        <v>830.25</v>
      </c>
      <c r="P1578" s="116">
        <v>835.85</v>
      </c>
      <c r="Q1578" s="116">
        <v>17224.150000000001</v>
      </c>
      <c r="R1578">
        <v>96582</v>
      </c>
    </row>
    <row r="1579" spans="1:18" x14ac:dyDescent="0.25">
      <c r="A1579" s="170">
        <v>44333</v>
      </c>
      <c r="B1579" s="116">
        <v>864.05499999999995</v>
      </c>
      <c r="C1579" s="116">
        <v>851.85</v>
      </c>
      <c r="D1579" s="116">
        <v>850.20249999999999</v>
      </c>
      <c r="E1579" s="116">
        <v>862.5</v>
      </c>
      <c r="F1579" s="116">
        <v>17037</v>
      </c>
      <c r="G1579">
        <v>1725</v>
      </c>
      <c r="H1579" s="116"/>
      <c r="I1579" s="116"/>
      <c r="L1579" s="170">
        <v>44333</v>
      </c>
      <c r="M1579" s="116">
        <v>851.89750000000004</v>
      </c>
      <c r="N1579" s="116">
        <v>865</v>
      </c>
      <c r="O1579" s="116">
        <v>850.03</v>
      </c>
      <c r="P1579" s="116">
        <v>861</v>
      </c>
      <c r="Q1579" s="116">
        <v>17037.95</v>
      </c>
      <c r="R1579">
        <v>60703</v>
      </c>
    </row>
    <row r="1580" spans="1:18" x14ac:dyDescent="0.25">
      <c r="A1580" s="170">
        <v>44334</v>
      </c>
      <c r="B1580" s="116">
        <v>862.43</v>
      </c>
      <c r="C1580" s="116">
        <v>858.6925</v>
      </c>
      <c r="D1580" s="116">
        <v>851.75</v>
      </c>
      <c r="E1580" s="116">
        <v>851.75</v>
      </c>
      <c r="F1580" s="116">
        <v>17173.849999999999</v>
      </c>
      <c r="G1580">
        <v>1630</v>
      </c>
      <c r="H1580" s="116"/>
      <c r="I1580" s="116"/>
      <c r="L1580" s="170">
        <v>44334</v>
      </c>
      <c r="M1580" s="116">
        <v>859.03</v>
      </c>
      <c r="N1580" s="116">
        <v>862.44749999999999</v>
      </c>
      <c r="O1580" s="116">
        <v>852.1</v>
      </c>
      <c r="P1580" s="116">
        <v>856.01</v>
      </c>
      <c r="Q1580" s="116">
        <v>17180.599999999999</v>
      </c>
      <c r="R1580">
        <v>55439</v>
      </c>
    </row>
    <row r="1581" spans="1:18" x14ac:dyDescent="0.25">
      <c r="A1581" s="170">
        <v>44335</v>
      </c>
      <c r="B1581" s="116">
        <v>873.38750000000005</v>
      </c>
      <c r="C1581" s="116">
        <v>872.21249999999998</v>
      </c>
      <c r="D1581" s="116">
        <v>860</v>
      </c>
      <c r="E1581" s="116">
        <v>860</v>
      </c>
      <c r="F1581" s="116">
        <v>17444.25</v>
      </c>
      <c r="G1581">
        <v>2757</v>
      </c>
      <c r="H1581" s="116"/>
      <c r="I1581" s="116"/>
      <c r="L1581" s="170">
        <v>44335</v>
      </c>
      <c r="M1581" s="116">
        <v>872.46749999999997</v>
      </c>
      <c r="N1581" s="116">
        <v>873.25</v>
      </c>
      <c r="O1581" s="116">
        <v>859.35</v>
      </c>
      <c r="P1581" s="116">
        <v>859.35</v>
      </c>
      <c r="Q1581" s="116">
        <v>17449.349999999999</v>
      </c>
      <c r="R1581">
        <v>88437</v>
      </c>
    </row>
    <row r="1582" spans="1:18" x14ac:dyDescent="0.25">
      <c r="A1582" s="170">
        <v>44336</v>
      </c>
      <c r="B1582" s="116">
        <v>875</v>
      </c>
      <c r="C1582" s="116">
        <v>863.85500000000002</v>
      </c>
      <c r="D1582" s="116">
        <v>860.88750000000005</v>
      </c>
      <c r="E1582" s="116">
        <v>874</v>
      </c>
      <c r="F1582" s="116">
        <v>17277.099999999999</v>
      </c>
      <c r="G1582">
        <v>2147</v>
      </c>
      <c r="H1582" s="116"/>
      <c r="I1582" s="116"/>
      <c r="L1582" s="170">
        <v>44336</v>
      </c>
      <c r="M1582" s="116">
        <v>864.26750000000004</v>
      </c>
      <c r="N1582" s="116">
        <v>874.98249999999996</v>
      </c>
      <c r="O1582" s="116">
        <v>861.1</v>
      </c>
      <c r="P1582" s="116">
        <v>873</v>
      </c>
      <c r="Q1582" s="116">
        <v>17285.349999999999</v>
      </c>
      <c r="R1582">
        <v>49253</v>
      </c>
    </row>
    <row r="1583" spans="1:18" x14ac:dyDescent="0.25">
      <c r="A1583" s="170">
        <v>44337</v>
      </c>
      <c r="B1583" s="116">
        <v>877.5</v>
      </c>
      <c r="C1583" s="116">
        <v>874.59749999999997</v>
      </c>
      <c r="D1583" s="116">
        <v>863.96249999999998</v>
      </c>
      <c r="E1583" s="116">
        <v>867.5</v>
      </c>
      <c r="F1583" s="116">
        <v>17491.95</v>
      </c>
      <c r="G1583">
        <v>1872</v>
      </c>
      <c r="H1583" s="116"/>
      <c r="I1583" s="116"/>
      <c r="L1583" s="170">
        <v>44337</v>
      </c>
      <c r="M1583" s="116">
        <v>874.85500000000002</v>
      </c>
      <c r="N1583" s="116">
        <v>877.5</v>
      </c>
      <c r="O1583" s="116">
        <v>864.01250000000005</v>
      </c>
      <c r="P1583" s="116">
        <v>869.26750000000004</v>
      </c>
      <c r="Q1583" s="116">
        <v>17497.099999999999</v>
      </c>
      <c r="R1583">
        <v>67260</v>
      </c>
    </row>
    <row r="1584" spans="1:18" x14ac:dyDescent="0.25">
      <c r="A1584" s="170">
        <v>44340</v>
      </c>
      <c r="B1584" s="116">
        <v>878.88</v>
      </c>
      <c r="C1584" s="116">
        <v>868.78750000000002</v>
      </c>
      <c r="D1584" s="116">
        <v>865.51250000000005</v>
      </c>
      <c r="E1584" s="116">
        <v>872.5</v>
      </c>
      <c r="F1584" s="116">
        <v>17375.75</v>
      </c>
      <c r="G1584">
        <v>2585</v>
      </c>
      <c r="H1584" s="116"/>
      <c r="I1584" s="116"/>
      <c r="L1584" s="170">
        <v>44340</v>
      </c>
      <c r="M1584" s="116">
        <v>868.01499999999999</v>
      </c>
      <c r="N1584" s="116">
        <v>879.40250000000003</v>
      </c>
      <c r="O1584" s="116">
        <v>865.03750000000002</v>
      </c>
      <c r="P1584" s="116">
        <v>870.00250000000005</v>
      </c>
      <c r="Q1584" s="116">
        <v>17360.3</v>
      </c>
      <c r="R1584">
        <v>57206</v>
      </c>
    </row>
    <row r="1585" spans="1:18" x14ac:dyDescent="0.25">
      <c r="A1585" s="170">
        <v>44341</v>
      </c>
      <c r="B1585" s="116">
        <v>887.5</v>
      </c>
      <c r="C1585" s="116">
        <v>876.45</v>
      </c>
      <c r="D1585" s="116">
        <v>872.5</v>
      </c>
      <c r="E1585" s="116">
        <v>875.5</v>
      </c>
      <c r="F1585" s="116">
        <v>17529</v>
      </c>
      <c r="G1585">
        <v>4951</v>
      </c>
      <c r="H1585" s="116"/>
      <c r="I1585" s="116"/>
      <c r="L1585" s="170">
        <v>44341</v>
      </c>
      <c r="M1585" s="116">
        <v>875.80499999999995</v>
      </c>
      <c r="N1585" s="116">
        <v>887.94</v>
      </c>
      <c r="O1585" s="116">
        <v>871.10249999999996</v>
      </c>
      <c r="P1585" s="116">
        <v>874.85</v>
      </c>
      <c r="Q1585" s="116">
        <v>17516.099999999999</v>
      </c>
      <c r="R1585">
        <v>71952</v>
      </c>
    </row>
    <row r="1586" spans="1:18" x14ac:dyDescent="0.25">
      <c r="A1586" s="170">
        <v>44342</v>
      </c>
      <c r="B1586" s="116">
        <v>879.52250000000004</v>
      </c>
      <c r="C1586" s="116">
        <v>876.34</v>
      </c>
      <c r="D1586" s="116">
        <v>868.50250000000005</v>
      </c>
      <c r="E1586" s="116">
        <v>876.25</v>
      </c>
      <c r="F1586" s="116">
        <v>17526.8</v>
      </c>
      <c r="G1586">
        <v>2091</v>
      </c>
      <c r="H1586" s="116"/>
      <c r="I1586" s="116"/>
      <c r="L1586" s="170">
        <v>44342</v>
      </c>
      <c r="M1586" s="116">
        <v>877.06500000000005</v>
      </c>
      <c r="N1586" s="116">
        <v>880.86749999999995</v>
      </c>
      <c r="O1586" s="116">
        <v>868.4</v>
      </c>
      <c r="P1586" s="116">
        <v>875.80499999999995</v>
      </c>
      <c r="Q1586" s="116">
        <v>17541.3</v>
      </c>
      <c r="R1586">
        <v>45803</v>
      </c>
    </row>
    <row r="1587" spans="1:18" x14ac:dyDescent="0.25">
      <c r="A1587" s="170">
        <v>44343</v>
      </c>
      <c r="B1587" s="116">
        <v>894.7</v>
      </c>
      <c r="C1587" s="116">
        <v>888.62750000000005</v>
      </c>
      <c r="D1587" s="116">
        <v>871.56</v>
      </c>
      <c r="E1587" s="116">
        <v>876.5</v>
      </c>
      <c r="F1587" s="116">
        <v>17772.55</v>
      </c>
      <c r="G1587">
        <v>1471</v>
      </c>
      <c r="H1587" s="116"/>
      <c r="I1587" s="116"/>
      <c r="L1587" s="170">
        <v>44343</v>
      </c>
      <c r="M1587" s="116">
        <v>887.33500000000004</v>
      </c>
      <c r="N1587" s="116">
        <v>895</v>
      </c>
      <c r="O1587" s="116">
        <v>871.76499999999999</v>
      </c>
      <c r="P1587" s="116">
        <v>877.5</v>
      </c>
      <c r="Q1587" s="116">
        <v>17746.7</v>
      </c>
      <c r="R1587">
        <v>119663</v>
      </c>
    </row>
    <row r="1588" spans="1:18" x14ac:dyDescent="0.25">
      <c r="A1588" s="170">
        <v>44344</v>
      </c>
      <c r="B1588" s="116">
        <v>891.46</v>
      </c>
      <c r="C1588" s="116">
        <v>875.38</v>
      </c>
      <c r="D1588" s="116">
        <v>873.79750000000001</v>
      </c>
      <c r="E1588" s="116">
        <v>881</v>
      </c>
      <c r="F1588" s="116">
        <v>17507.599999999999</v>
      </c>
      <c r="G1588">
        <v>2812</v>
      </c>
      <c r="H1588" s="116"/>
      <c r="I1588" s="116"/>
      <c r="L1588" s="170">
        <v>44344</v>
      </c>
      <c r="M1588" s="116">
        <v>875.47</v>
      </c>
      <c r="N1588" s="116">
        <v>890.71749999999997</v>
      </c>
      <c r="O1588" s="116">
        <v>875</v>
      </c>
      <c r="P1588" s="116">
        <v>888.5</v>
      </c>
      <c r="Q1588" s="116">
        <v>17509.400000000001</v>
      </c>
      <c r="R1588">
        <v>53162</v>
      </c>
    </row>
    <row r="1589" spans="1:18" x14ac:dyDescent="0.25">
      <c r="A1589" s="170">
        <v>44347</v>
      </c>
      <c r="B1589" s="116">
        <v>887.04750000000001</v>
      </c>
      <c r="C1589" s="116">
        <v>884.63499999999999</v>
      </c>
      <c r="D1589" s="116">
        <v>871.05</v>
      </c>
      <c r="E1589" s="116">
        <v>875.5</v>
      </c>
      <c r="F1589" s="116">
        <v>17692.7</v>
      </c>
      <c r="G1589">
        <v>1861</v>
      </c>
      <c r="H1589" s="116"/>
      <c r="I1589" s="116"/>
      <c r="L1589" s="170">
        <v>44347</v>
      </c>
      <c r="M1589" s="116">
        <v>884.77750000000003</v>
      </c>
      <c r="N1589" s="116">
        <v>887.26250000000005</v>
      </c>
      <c r="O1589" s="116">
        <v>870.76250000000005</v>
      </c>
      <c r="P1589" s="116">
        <v>875.45</v>
      </c>
      <c r="Q1589" s="116">
        <v>17695.55</v>
      </c>
      <c r="R1589">
        <v>57023</v>
      </c>
    </row>
    <row r="1590" spans="1:18" x14ac:dyDescent="0.25">
      <c r="A1590" s="170">
        <v>44348</v>
      </c>
      <c r="B1590" s="116">
        <v>890</v>
      </c>
      <c r="C1590" s="116">
        <v>888.27499999999998</v>
      </c>
      <c r="D1590" s="116">
        <v>875</v>
      </c>
      <c r="E1590" s="116">
        <v>880</v>
      </c>
      <c r="F1590" s="116">
        <v>17765.5</v>
      </c>
      <c r="G1590">
        <v>1969</v>
      </c>
      <c r="H1590" s="116"/>
      <c r="I1590" s="116"/>
      <c r="L1590" s="170">
        <v>44348</v>
      </c>
      <c r="M1590" s="116">
        <v>887.92499999999995</v>
      </c>
      <c r="N1590" s="116">
        <v>890.5</v>
      </c>
      <c r="O1590" s="116">
        <v>873.95749999999998</v>
      </c>
      <c r="P1590" s="116">
        <v>879.95</v>
      </c>
      <c r="Q1590" s="116">
        <v>17758.5</v>
      </c>
      <c r="R1590">
        <v>57751</v>
      </c>
    </row>
    <row r="1591" spans="1:18" x14ac:dyDescent="0.25">
      <c r="A1591" s="170">
        <v>44349</v>
      </c>
      <c r="B1591" s="116">
        <v>890.4</v>
      </c>
      <c r="C1591" s="116">
        <v>882.29250000000002</v>
      </c>
      <c r="D1591" s="116">
        <v>876</v>
      </c>
      <c r="E1591" s="116">
        <v>881.6825</v>
      </c>
      <c r="F1591" s="116">
        <v>17645.849999999999</v>
      </c>
      <c r="G1591">
        <v>3155</v>
      </c>
      <c r="H1591" s="116"/>
      <c r="I1591" s="116"/>
      <c r="L1591" s="170">
        <v>44349</v>
      </c>
      <c r="M1591" s="116">
        <v>882.67499999999995</v>
      </c>
      <c r="N1591" s="116">
        <v>890.66</v>
      </c>
      <c r="O1591" s="116">
        <v>875.505</v>
      </c>
      <c r="P1591" s="116">
        <v>875.81</v>
      </c>
      <c r="Q1591" s="116">
        <v>17653.5</v>
      </c>
      <c r="R1591">
        <v>74262</v>
      </c>
    </row>
    <row r="1592" spans="1:18" x14ac:dyDescent="0.25">
      <c r="A1592" s="170">
        <v>44350</v>
      </c>
      <c r="B1592" s="116">
        <v>892.5</v>
      </c>
      <c r="C1592" s="116">
        <v>889.78499999999997</v>
      </c>
      <c r="D1592" s="116">
        <v>877.87249999999995</v>
      </c>
      <c r="E1592" s="116">
        <v>883.5</v>
      </c>
      <c r="F1592" s="116">
        <v>17795.7</v>
      </c>
      <c r="G1592">
        <v>1304</v>
      </c>
      <c r="H1592" s="116"/>
      <c r="I1592" s="116"/>
      <c r="L1592" s="170">
        <v>44350</v>
      </c>
      <c r="M1592" s="116">
        <v>889.97</v>
      </c>
      <c r="N1592" s="116">
        <v>892.74749999999995</v>
      </c>
      <c r="O1592" s="116">
        <v>878</v>
      </c>
      <c r="P1592" s="116">
        <v>882.5</v>
      </c>
      <c r="Q1592" s="116">
        <v>17799.400000000001</v>
      </c>
      <c r="R1592">
        <v>50399</v>
      </c>
    </row>
    <row r="1593" spans="1:18" x14ac:dyDescent="0.25">
      <c r="A1593" s="170">
        <v>44351</v>
      </c>
      <c r="B1593" s="116">
        <v>884.1875</v>
      </c>
      <c r="C1593" s="116">
        <v>872.25750000000005</v>
      </c>
      <c r="D1593" s="116">
        <v>869.36</v>
      </c>
      <c r="E1593" s="116">
        <v>882</v>
      </c>
      <c r="F1593" s="116">
        <v>17445.150000000001</v>
      </c>
      <c r="G1593">
        <v>9003</v>
      </c>
      <c r="H1593" s="116"/>
      <c r="I1593" s="116"/>
      <c r="L1593" s="170">
        <v>44351</v>
      </c>
      <c r="M1593" s="116">
        <v>871.34</v>
      </c>
      <c r="N1593" s="116">
        <v>885.32</v>
      </c>
      <c r="O1593" s="116">
        <v>869</v>
      </c>
      <c r="P1593" s="116">
        <v>884.55250000000001</v>
      </c>
      <c r="Q1593" s="116">
        <v>17426.8</v>
      </c>
      <c r="R1593">
        <v>201822</v>
      </c>
    </row>
    <row r="1594" spans="1:18" x14ac:dyDescent="0.25">
      <c r="A1594" s="170">
        <v>44354</v>
      </c>
      <c r="B1594" s="116">
        <v>879.40250000000003</v>
      </c>
      <c r="C1594" s="116">
        <v>876.61</v>
      </c>
      <c r="D1594" s="116">
        <v>867.50750000000005</v>
      </c>
      <c r="E1594" s="116">
        <v>872.50250000000005</v>
      </c>
      <c r="F1594" s="116">
        <v>17532.2</v>
      </c>
      <c r="G1594">
        <v>3648</v>
      </c>
      <c r="H1594" s="116"/>
      <c r="I1594" s="116"/>
      <c r="L1594" s="170">
        <v>44354</v>
      </c>
      <c r="M1594" s="116">
        <v>876.62750000000005</v>
      </c>
      <c r="N1594" s="116">
        <v>879.5</v>
      </c>
      <c r="O1594" s="116">
        <v>867.67499999999995</v>
      </c>
      <c r="P1594" s="116">
        <v>873.72749999999996</v>
      </c>
      <c r="Q1594" s="116">
        <v>17532.55</v>
      </c>
      <c r="R1594">
        <v>49436</v>
      </c>
    </row>
    <row r="1595" spans="1:18" x14ac:dyDescent="0.25">
      <c r="A1595" s="170">
        <v>44355</v>
      </c>
      <c r="B1595" s="116">
        <v>880.82249999999999</v>
      </c>
      <c r="C1595" s="116">
        <v>874.38250000000005</v>
      </c>
      <c r="D1595" s="116">
        <v>870.73</v>
      </c>
      <c r="E1595" s="116">
        <v>876.75</v>
      </c>
      <c r="F1595" s="116">
        <v>17487.650000000001</v>
      </c>
      <c r="G1595">
        <v>1347</v>
      </c>
      <c r="H1595" s="116"/>
      <c r="I1595" s="116"/>
      <c r="L1595" s="170">
        <v>44355</v>
      </c>
      <c r="M1595" s="116">
        <v>874.13</v>
      </c>
      <c r="N1595" s="116">
        <v>880.64750000000004</v>
      </c>
      <c r="O1595" s="116">
        <v>870.17</v>
      </c>
      <c r="P1595" s="116">
        <v>876.50250000000005</v>
      </c>
      <c r="Q1595" s="116">
        <v>17482.599999999999</v>
      </c>
      <c r="R1595">
        <v>47447</v>
      </c>
    </row>
    <row r="1596" spans="1:18" x14ac:dyDescent="0.25">
      <c r="A1596" s="170">
        <v>44356</v>
      </c>
      <c r="B1596" s="116">
        <v>880.6</v>
      </c>
      <c r="C1596" s="116">
        <v>878.11249999999995</v>
      </c>
      <c r="D1596" s="116">
        <v>871.80250000000001</v>
      </c>
      <c r="E1596" s="116">
        <v>874.45</v>
      </c>
      <c r="F1596" s="116">
        <v>17562.25</v>
      </c>
      <c r="G1596">
        <v>2309</v>
      </c>
      <c r="H1596" s="116"/>
      <c r="I1596" s="116"/>
      <c r="L1596" s="170">
        <v>44356</v>
      </c>
      <c r="M1596" s="116">
        <v>877.85749999999996</v>
      </c>
      <c r="N1596" s="116">
        <v>881.28</v>
      </c>
      <c r="O1596" s="116">
        <v>872</v>
      </c>
      <c r="P1596" s="116">
        <v>873</v>
      </c>
      <c r="Q1596" s="116">
        <v>17557.150000000001</v>
      </c>
      <c r="R1596">
        <v>41878</v>
      </c>
    </row>
    <row r="1597" spans="1:18" x14ac:dyDescent="0.25">
      <c r="A1597" s="170">
        <v>44357</v>
      </c>
      <c r="B1597" s="116">
        <v>883.5</v>
      </c>
      <c r="C1597" s="116">
        <v>877.35500000000002</v>
      </c>
      <c r="D1597" s="116">
        <v>874.27750000000003</v>
      </c>
      <c r="E1597" s="116">
        <v>878.1</v>
      </c>
      <c r="F1597" s="116">
        <v>17547.099999999999</v>
      </c>
      <c r="G1597">
        <v>2369</v>
      </c>
      <c r="H1597" s="116"/>
      <c r="I1597" s="116"/>
      <c r="L1597" s="170">
        <v>44357</v>
      </c>
      <c r="M1597" s="116">
        <v>877.80499999999995</v>
      </c>
      <c r="N1597" s="116">
        <v>883.75</v>
      </c>
      <c r="O1597" s="116">
        <v>874.5</v>
      </c>
      <c r="P1597" s="116">
        <v>876.25</v>
      </c>
      <c r="Q1597" s="116">
        <v>17556.099999999999</v>
      </c>
      <c r="R1597">
        <v>42053</v>
      </c>
    </row>
    <row r="1598" spans="1:18" x14ac:dyDescent="0.25">
      <c r="A1598" s="170">
        <v>44358</v>
      </c>
      <c r="B1598" s="116">
        <v>880.00250000000005</v>
      </c>
      <c r="C1598" s="116">
        <v>877.15250000000003</v>
      </c>
      <c r="D1598" s="116">
        <v>868.45500000000004</v>
      </c>
      <c r="E1598" s="116">
        <v>880</v>
      </c>
      <c r="F1598" s="116">
        <v>17543.05</v>
      </c>
      <c r="G1598">
        <v>1613</v>
      </c>
      <c r="H1598" s="116"/>
      <c r="I1598" s="116"/>
      <c r="L1598" s="170">
        <v>44358</v>
      </c>
      <c r="M1598" s="116">
        <v>876.82</v>
      </c>
      <c r="N1598" s="116">
        <v>880.45</v>
      </c>
      <c r="O1598" s="116">
        <v>868.25</v>
      </c>
      <c r="P1598" s="116">
        <v>880.45</v>
      </c>
      <c r="Q1598" s="116">
        <v>17536.400000000001</v>
      </c>
      <c r="R1598">
        <v>48997</v>
      </c>
    </row>
    <row r="1599" spans="1:18" x14ac:dyDescent="0.25">
      <c r="A1599" s="170">
        <v>44361</v>
      </c>
      <c r="B1599" s="116">
        <v>881.3</v>
      </c>
      <c r="C1599" s="116">
        <v>878.75750000000005</v>
      </c>
      <c r="D1599" s="116">
        <v>870.53250000000003</v>
      </c>
      <c r="E1599" s="116">
        <v>874.75</v>
      </c>
      <c r="F1599" s="116">
        <v>17575.150000000001</v>
      </c>
      <c r="G1599">
        <v>2727</v>
      </c>
      <c r="H1599" s="116"/>
      <c r="I1599" s="116"/>
      <c r="L1599" s="170">
        <v>44361</v>
      </c>
      <c r="M1599" s="116">
        <v>878.875</v>
      </c>
      <c r="N1599" s="116">
        <v>881.5</v>
      </c>
      <c r="O1599" s="116">
        <v>870.88</v>
      </c>
      <c r="P1599" s="116">
        <v>873.07</v>
      </c>
      <c r="Q1599" s="116">
        <v>17577.5</v>
      </c>
      <c r="R1599">
        <v>36523</v>
      </c>
    </row>
    <row r="1600" spans="1:18" x14ac:dyDescent="0.25">
      <c r="A1600" s="170">
        <v>44362</v>
      </c>
      <c r="B1600" s="116">
        <v>885.5</v>
      </c>
      <c r="C1600" s="116">
        <v>883.97500000000002</v>
      </c>
      <c r="D1600" s="116">
        <v>875.91</v>
      </c>
      <c r="E1600" s="116">
        <v>884.9</v>
      </c>
      <c r="F1600" s="116">
        <v>17679.5</v>
      </c>
      <c r="G1600">
        <v>15162</v>
      </c>
      <c r="H1600" s="116"/>
      <c r="I1600" s="116"/>
      <c r="L1600" s="170">
        <v>44362</v>
      </c>
      <c r="M1600" s="116">
        <v>884.24</v>
      </c>
      <c r="N1600" s="116">
        <v>885.5</v>
      </c>
      <c r="O1600" s="116">
        <v>875.55</v>
      </c>
      <c r="P1600" s="116">
        <v>882.3</v>
      </c>
      <c r="Q1600" s="116">
        <v>17684.8</v>
      </c>
      <c r="R1600">
        <v>47196</v>
      </c>
    </row>
    <row r="1601" spans="1:18" x14ac:dyDescent="0.25">
      <c r="A1601" s="170">
        <v>44363</v>
      </c>
      <c r="B1601" s="116">
        <v>902.59749999999997</v>
      </c>
      <c r="C1601" s="116">
        <v>898.62249999999995</v>
      </c>
      <c r="D1601" s="116">
        <v>879.99749999999995</v>
      </c>
      <c r="E1601" s="116">
        <v>885</v>
      </c>
      <c r="F1601" s="116">
        <v>17972.45</v>
      </c>
      <c r="G1601">
        <v>4830</v>
      </c>
      <c r="H1601" s="116"/>
      <c r="I1601" s="116"/>
      <c r="L1601" s="170">
        <v>44363</v>
      </c>
      <c r="M1601" s="116">
        <v>898.26</v>
      </c>
      <c r="N1601" s="116">
        <v>903.42499999999995</v>
      </c>
      <c r="O1601" s="116">
        <v>880.65250000000003</v>
      </c>
      <c r="P1601" s="116">
        <v>882.51</v>
      </c>
      <c r="Q1601" s="116">
        <v>17965.2</v>
      </c>
      <c r="R1601">
        <v>116962</v>
      </c>
    </row>
    <row r="1602" spans="1:18" x14ac:dyDescent="0.25">
      <c r="A1602" s="170">
        <v>44364</v>
      </c>
      <c r="B1602" s="116">
        <v>908.75</v>
      </c>
      <c r="C1602" s="116">
        <v>902.67499999999995</v>
      </c>
      <c r="D1602" s="116">
        <v>894.82</v>
      </c>
      <c r="E1602" s="116">
        <v>898.62249999999995</v>
      </c>
      <c r="F1602" s="116">
        <v>18053.5</v>
      </c>
      <c r="G1602">
        <v>5327</v>
      </c>
      <c r="H1602" s="116"/>
      <c r="I1602" s="116"/>
      <c r="L1602" s="170">
        <v>44364</v>
      </c>
      <c r="M1602" s="116">
        <v>902.95249999999999</v>
      </c>
      <c r="N1602" s="116">
        <v>909.46500000000003</v>
      </c>
      <c r="O1602" s="116">
        <v>895</v>
      </c>
      <c r="P1602" s="116">
        <v>895.75</v>
      </c>
      <c r="Q1602" s="116">
        <v>18059.05</v>
      </c>
      <c r="R1602">
        <v>75787</v>
      </c>
    </row>
    <row r="1603" spans="1:18" x14ac:dyDescent="0.25">
      <c r="A1603" s="170">
        <v>44365</v>
      </c>
      <c r="B1603" s="116">
        <v>903.79</v>
      </c>
      <c r="C1603" s="116">
        <v>883.91499999999996</v>
      </c>
      <c r="D1603" s="116">
        <v>880</v>
      </c>
      <c r="E1603" s="116">
        <v>902.39499999999998</v>
      </c>
      <c r="F1603" s="116">
        <v>17678.3</v>
      </c>
      <c r="G1603">
        <v>3298</v>
      </c>
      <c r="H1603" s="116"/>
      <c r="I1603" s="116"/>
      <c r="L1603" s="170">
        <v>44365</v>
      </c>
      <c r="M1603" s="116">
        <v>883.53250000000003</v>
      </c>
      <c r="N1603" s="116">
        <v>904.94749999999999</v>
      </c>
      <c r="O1603" s="116">
        <v>880</v>
      </c>
      <c r="P1603" s="116">
        <v>902.95</v>
      </c>
      <c r="Q1603" s="116">
        <v>17670.650000000001</v>
      </c>
      <c r="R1603">
        <v>147670</v>
      </c>
    </row>
    <row r="1604" spans="1:18" x14ac:dyDescent="0.25">
      <c r="A1604" s="170">
        <v>44368</v>
      </c>
      <c r="B1604" s="116">
        <v>884.64499999999998</v>
      </c>
      <c r="C1604" s="116">
        <v>882.125</v>
      </c>
      <c r="D1604" s="116">
        <v>875.65499999999997</v>
      </c>
      <c r="E1604" s="116">
        <v>882.5</v>
      </c>
      <c r="F1604" s="116">
        <v>17642.5</v>
      </c>
      <c r="G1604">
        <v>3170</v>
      </c>
      <c r="H1604" s="116"/>
      <c r="I1604" s="116"/>
      <c r="L1604" s="170">
        <v>44368</v>
      </c>
      <c r="M1604" s="116">
        <v>882.45749999999998</v>
      </c>
      <c r="N1604" s="116">
        <v>885.50250000000005</v>
      </c>
      <c r="O1604" s="116">
        <v>875.65</v>
      </c>
      <c r="P1604" s="116">
        <v>881.57</v>
      </c>
      <c r="Q1604" s="116">
        <v>17649.150000000001</v>
      </c>
      <c r="R1604">
        <v>40180</v>
      </c>
    </row>
    <row r="1605" spans="1:18" x14ac:dyDescent="0.25">
      <c r="A1605" s="170">
        <v>44369</v>
      </c>
      <c r="B1605" s="116">
        <v>889.94749999999999</v>
      </c>
      <c r="C1605" s="116">
        <v>872.56</v>
      </c>
      <c r="D1605" s="116">
        <v>870.75</v>
      </c>
      <c r="E1605" s="116">
        <v>889.94749999999999</v>
      </c>
      <c r="F1605" s="116">
        <v>17451.2</v>
      </c>
      <c r="G1605">
        <v>2315</v>
      </c>
      <c r="H1605" s="116"/>
      <c r="I1605" s="116"/>
      <c r="L1605" s="170">
        <v>44369</v>
      </c>
      <c r="M1605" s="116">
        <v>871.82749999999999</v>
      </c>
      <c r="N1605" s="116">
        <v>887.39750000000004</v>
      </c>
      <c r="O1605" s="116">
        <v>870.5</v>
      </c>
      <c r="P1605" s="116">
        <v>883.5</v>
      </c>
      <c r="Q1605" s="116">
        <v>17436.55</v>
      </c>
      <c r="R1605">
        <v>70532</v>
      </c>
    </row>
    <row r="1606" spans="1:18" x14ac:dyDescent="0.25">
      <c r="A1606" s="170">
        <v>44370</v>
      </c>
      <c r="B1606" s="116">
        <v>877.65</v>
      </c>
      <c r="C1606" s="116">
        <v>870.30250000000001</v>
      </c>
      <c r="D1606" s="116">
        <v>868.35749999999996</v>
      </c>
      <c r="E1606" s="116">
        <v>875</v>
      </c>
      <c r="F1606" s="116">
        <v>17406.05</v>
      </c>
      <c r="G1606">
        <v>16777</v>
      </c>
      <c r="H1606" s="116"/>
      <c r="I1606" s="116"/>
      <c r="L1606" s="170">
        <v>44370</v>
      </c>
      <c r="M1606" s="116">
        <v>870.74</v>
      </c>
      <c r="N1606" s="116">
        <v>878</v>
      </c>
      <c r="O1606" s="116">
        <v>868.5</v>
      </c>
      <c r="P1606" s="116">
        <v>874.99749999999995</v>
      </c>
      <c r="Q1606" s="116">
        <v>17414.8</v>
      </c>
      <c r="R1606">
        <v>37084</v>
      </c>
    </row>
    <row r="1607" spans="1:18" x14ac:dyDescent="0.25">
      <c r="A1607" s="170">
        <v>44371</v>
      </c>
      <c r="B1607" s="116">
        <v>883.51750000000004</v>
      </c>
      <c r="C1607" s="116">
        <v>879.82</v>
      </c>
      <c r="D1607" s="116">
        <v>866.71749999999997</v>
      </c>
      <c r="E1607" s="116">
        <v>872.5</v>
      </c>
      <c r="F1607" s="116">
        <v>17596.400000000001</v>
      </c>
      <c r="G1607">
        <v>2735</v>
      </c>
      <c r="H1607" s="116"/>
      <c r="I1607" s="116"/>
      <c r="L1607" s="170">
        <v>44371</v>
      </c>
      <c r="M1607" s="116">
        <v>880.98749999999995</v>
      </c>
      <c r="N1607" s="116">
        <v>883.5</v>
      </c>
      <c r="O1607" s="116">
        <v>866.12</v>
      </c>
      <c r="P1607" s="116">
        <v>870.75250000000005</v>
      </c>
      <c r="Q1607" s="116">
        <v>17619.75</v>
      </c>
      <c r="R1607">
        <v>65045</v>
      </c>
    </row>
    <row r="1608" spans="1:18" x14ac:dyDescent="0.25">
      <c r="A1608" s="170">
        <v>44372</v>
      </c>
      <c r="B1608" s="116">
        <v>882.56500000000005</v>
      </c>
      <c r="C1608" s="116">
        <v>875.07500000000005</v>
      </c>
      <c r="D1608" s="116">
        <v>872</v>
      </c>
      <c r="E1608" s="116">
        <v>880</v>
      </c>
      <c r="F1608" s="116">
        <v>17501.5</v>
      </c>
      <c r="G1608">
        <v>1036</v>
      </c>
      <c r="H1608" s="116"/>
      <c r="I1608" s="116"/>
      <c r="L1608" s="170">
        <v>44372</v>
      </c>
      <c r="M1608" s="116">
        <v>875.33500000000004</v>
      </c>
      <c r="N1608" s="116">
        <v>882.5</v>
      </c>
      <c r="O1608" s="116">
        <v>871.75</v>
      </c>
      <c r="P1608" s="116">
        <v>878.51250000000005</v>
      </c>
      <c r="Q1608" s="116">
        <v>17506.7</v>
      </c>
      <c r="R1608">
        <v>39000</v>
      </c>
    </row>
    <row r="1609" spans="1:18" x14ac:dyDescent="0.25">
      <c r="A1609" s="170">
        <v>44375</v>
      </c>
      <c r="B1609" s="116">
        <v>880.53250000000003</v>
      </c>
      <c r="C1609" s="116">
        <v>875.40499999999997</v>
      </c>
      <c r="D1609" s="116">
        <v>873.42750000000001</v>
      </c>
      <c r="E1609" s="116">
        <v>875.25</v>
      </c>
      <c r="F1609" s="116">
        <v>17508.099999999999</v>
      </c>
      <c r="G1609">
        <v>654</v>
      </c>
      <c r="H1609" s="116"/>
      <c r="I1609" s="116"/>
      <c r="L1609" s="170">
        <v>44375</v>
      </c>
      <c r="M1609" s="116">
        <v>875.3075</v>
      </c>
      <c r="N1609" s="116">
        <v>881</v>
      </c>
      <c r="O1609" s="116">
        <v>872.67499999999995</v>
      </c>
      <c r="P1609" s="116">
        <v>875.35249999999996</v>
      </c>
      <c r="Q1609" s="116">
        <v>17506.150000000001</v>
      </c>
      <c r="R1609">
        <v>40450</v>
      </c>
    </row>
    <row r="1610" spans="1:18" x14ac:dyDescent="0.25">
      <c r="A1610" s="170">
        <v>44376</v>
      </c>
      <c r="B1610" s="116">
        <v>885.99749999999995</v>
      </c>
      <c r="C1610" s="116">
        <v>878.93499999999995</v>
      </c>
      <c r="D1610" s="116">
        <v>875.09500000000003</v>
      </c>
      <c r="E1610" s="116">
        <v>878.5</v>
      </c>
      <c r="F1610" s="116">
        <v>17578.7</v>
      </c>
      <c r="G1610">
        <v>3017</v>
      </c>
      <c r="H1610" s="116"/>
      <c r="I1610" s="116"/>
      <c r="L1610" s="170">
        <v>44376</v>
      </c>
      <c r="M1610" s="116">
        <v>879.96249999999998</v>
      </c>
      <c r="N1610" s="116">
        <v>887.5</v>
      </c>
      <c r="O1610" s="116">
        <v>874.48249999999996</v>
      </c>
      <c r="P1610" s="116">
        <v>879.5</v>
      </c>
      <c r="Q1610" s="116">
        <v>17599.25</v>
      </c>
      <c r="R1610">
        <v>71096</v>
      </c>
    </row>
    <row r="1611" spans="1:18" x14ac:dyDescent="0.25">
      <c r="A1611" s="170">
        <v>44377</v>
      </c>
      <c r="B1611" s="116">
        <v>887.3075</v>
      </c>
      <c r="C1611" s="116">
        <v>883.83749999999998</v>
      </c>
      <c r="D1611" s="116">
        <v>878.77750000000003</v>
      </c>
      <c r="E1611" s="116">
        <v>882.5</v>
      </c>
      <c r="F1611" s="116">
        <v>17676.75</v>
      </c>
      <c r="G1611">
        <v>1441</v>
      </c>
      <c r="H1611" s="116"/>
      <c r="I1611" s="116"/>
      <c r="L1611" s="170">
        <v>44377</v>
      </c>
      <c r="M1611" s="116">
        <v>881.65</v>
      </c>
      <c r="N1611" s="116">
        <v>887.25</v>
      </c>
      <c r="O1611" s="116">
        <v>878.75</v>
      </c>
      <c r="P1611" s="116">
        <v>882</v>
      </c>
      <c r="Q1611" s="116">
        <v>17633</v>
      </c>
      <c r="R1611">
        <v>51567</v>
      </c>
    </row>
    <row r="1612" spans="1:18" x14ac:dyDescent="0.25">
      <c r="A1612" s="170">
        <v>44378</v>
      </c>
      <c r="B1612" s="116">
        <v>888.25</v>
      </c>
      <c r="C1612" s="116">
        <v>882.08</v>
      </c>
      <c r="D1612" s="116">
        <v>878.745</v>
      </c>
      <c r="E1612" s="116">
        <v>888.25</v>
      </c>
      <c r="F1612" s="116">
        <v>17641.599999999999</v>
      </c>
      <c r="G1612">
        <v>1194</v>
      </c>
      <c r="H1612" s="116"/>
      <c r="I1612" s="116"/>
      <c r="L1612" s="170">
        <v>44378</v>
      </c>
      <c r="M1612" s="116">
        <v>882.31</v>
      </c>
      <c r="N1612" s="116">
        <v>886.25</v>
      </c>
      <c r="O1612" s="116">
        <v>878.47500000000002</v>
      </c>
      <c r="P1612" s="116">
        <v>881.5</v>
      </c>
      <c r="Q1612" s="116">
        <v>17646.2</v>
      </c>
      <c r="R1612">
        <v>26700</v>
      </c>
    </row>
    <row r="1613" spans="1:18" x14ac:dyDescent="0.25">
      <c r="A1613" s="170">
        <v>44379</v>
      </c>
      <c r="B1613" s="116">
        <v>882.08</v>
      </c>
      <c r="C1613" s="116">
        <v>880.13750000000005</v>
      </c>
      <c r="D1613" s="116">
        <v>874.85</v>
      </c>
      <c r="E1613" s="116">
        <v>882.08</v>
      </c>
      <c r="F1613" s="116">
        <v>17602.75</v>
      </c>
      <c r="G1613">
        <v>798</v>
      </c>
      <c r="H1613" s="116"/>
      <c r="I1613" s="116"/>
      <c r="L1613" s="170">
        <v>44379</v>
      </c>
      <c r="M1613" s="116">
        <v>880.1</v>
      </c>
      <c r="N1613" s="116">
        <v>884</v>
      </c>
      <c r="O1613" s="116">
        <v>874.3</v>
      </c>
      <c r="P1613" s="116">
        <v>883.95</v>
      </c>
      <c r="Q1613" s="116">
        <v>17602</v>
      </c>
      <c r="R1613">
        <v>30723</v>
      </c>
    </row>
    <row r="1614" spans="1:18" x14ac:dyDescent="0.25">
      <c r="A1614" s="170">
        <v>44382</v>
      </c>
      <c r="B1614" s="116">
        <v>885.3</v>
      </c>
      <c r="C1614" s="116">
        <v>881.72749999999996</v>
      </c>
      <c r="D1614" s="116">
        <v>876.56500000000005</v>
      </c>
      <c r="E1614" s="116">
        <v>884.24749999999995</v>
      </c>
      <c r="F1614" s="116">
        <v>17634.55</v>
      </c>
      <c r="G1614">
        <v>1282</v>
      </c>
      <c r="H1614" s="116"/>
      <c r="I1614" s="116"/>
      <c r="L1614" s="170">
        <v>44382</v>
      </c>
      <c r="M1614" s="116">
        <v>882.0675</v>
      </c>
      <c r="N1614" s="116">
        <v>885.6</v>
      </c>
      <c r="O1614" s="116">
        <v>876.16499999999996</v>
      </c>
      <c r="P1614" s="116">
        <v>880.255</v>
      </c>
      <c r="Q1614" s="116">
        <v>17641.349999999999</v>
      </c>
      <c r="R1614">
        <v>34322</v>
      </c>
    </row>
    <row r="1615" spans="1:18" x14ac:dyDescent="0.25">
      <c r="A1615" s="170">
        <v>44383</v>
      </c>
      <c r="B1615" s="116">
        <v>880.30250000000001</v>
      </c>
      <c r="C1615" s="116">
        <v>874.48249999999996</v>
      </c>
      <c r="D1615" s="116">
        <v>871.25</v>
      </c>
      <c r="E1615" s="116">
        <v>880.05</v>
      </c>
      <c r="F1615" s="116">
        <v>17489.650000000001</v>
      </c>
      <c r="G1615">
        <v>1643</v>
      </c>
      <c r="H1615" s="116"/>
      <c r="I1615" s="116"/>
      <c r="L1615" s="170">
        <v>44383</v>
      </c>
      <c r="M1615" s="116">
        <v>873.505</v>
      </c>
      <c r="N1615" s="116">
        <v>881.89250000000004</v>
      </c>
      <c r="O1615" s="116">
        <v>870.85</v>
      </c>
      <c r="P1615" s="116">
        <v>881.77750000000003</v>
      </c>
      <c r="Q1615" s="116">
        <v>17470.099999999999</v>
      </c>
      <c r="R1615">
        <v>62551</v>
      </c>
    </row>
    <row r="1616" spans="1:18" x14ac:dyDescent="0.25">
      <c r="A1616" s="170">
        <v>44384</v>
      </c>
      <c r="B1616" s="116">
        <v>888.8</v>
      </c>
      <c r="C1616" s="116">
        <v>885.74</v>
      </c>
      <c r="D1616" s="116">
        <v>868.09749999999997</v>
      </c>
      <c r="E1616" s="116">
        <v>876.09</v>
      </c>
      <c r="F1616" s="116">
        <v>17714.8</v>
      </c>
      <c r="G1616">
        <v>3568</v>
      </c>
      <c r="H1616" s="116"/>
      <c r="I1616" s="116"/>
      <c r="L1616" s="170">
        <v>44384</v>
      </c>
      <c r="M1616" s="116">
        <v>885.84749999999997</v>
      </c>
      <c r="N1616" s="116">
        <v>890</v>
      </c>
      <c r="O1616" s="116">
        <v>868.01250000000005</v>
      </c>
      <c r="P1616" s="116">
        <v>870</v>
      </c>
      <c r="Q1616" s="116">
        <v>17716.95</v>
      </c>
      <c r="R1616">
        <v>54519</v>
      </c>
    </row>
    <row r="1617" spans="1:18" x14ac:dyDescent="0.25">
      <c r="A1617" s="170">
        <v>44385</v>
      </c>
      <c r="B1617" s="116">
        <v>884.17499999999995</v>
      </c>
      <c r="C1617" s="116">
        <v>880.94</v>
      </c>
      <c r="D1617" s="116">
        <v>877.25</v>
      </c>
      <c r="E1617" s="116">
        <v>880</v>
      </c>
      <c r="F1617" s="116">
        <v>17618.8</v>
      </c>
      <c r="G1617">
        <v>635</v>
      </c>
      <c r="H1617" s="116"/>
      <c r="I1617" s="116"/>
      <c r="L1617" s="170">
        <v>44385</v>
      </c>
      <c r="M1617" s="116">
        <v>880.94500000000005</v>
      </c>
      <c r="N1617" s="116">
        <v>884.99249999999995</v>
      </c>
      <c r="O1617" s="116">
        <v>876.90499999999997</v>
      </c>
      <c r="P1617" s="116">
        <v>880.8</v>
      </c>
      <c r="Q1617" s="116">
        <v>17618.900000000001</v>
      </c>
      <c r="R1617">
        <v>29868</v>
      </c>
    </row>
    <row r="1618" spans="1:18" x14ac:dyDescent="0.25">
      <c r="A1618" s="170">
        <v>44386</v>
      </c>
      <c r="B1618" s="116">
        <v>883.45</v>
      </c>
      <c r="C1618" s="116">
        <v>882.03750000000002</v>
      </c>
      <c r="D1618" s="116">
        <v>877.88750000000005</v>
      </c>
      <c r="E1618" s="116">
        <v>881</v>
      </c>
      <c r="F1618" s="116">
        <v>17640.75</v>
      </c>
      <c r="G1618">
        <v>1630</v>
      </c>
      <c r="H1618" s="116"/>
      <c r="I1618" s="116"/>
      <c r="L1618" s="170">
        <v>44386</v>
      </c>
      <c r="M1618" s="116">
        <v>881.8</v>
      </c>
      <c r="N1618" s="116">
        <v>884</v>
      </c>
      <c r="O1618" s="116">
        <v>877.5</v>
      </c>
      <c r="P1618" s="116">
        <v>877.75250000000005</v>
      </c>
      <c r="Q1618" s="116">
        <v>17636</v>
      </c>
      <c r="R1618">
        <v>26941</v>
      </c>
    </row>
    <row r="1619" spans="1:18" x14ac:dyDescent="0.25">
      <c r="A1619" s="170">
        <v>44389</v>
      </c>
      <c r="B1619" s="116">
        <v>886.25</v>
      </c>
      <c r="C1619" s="116">
        <v>882.26750000000004</v>
      </c>
      <c r="D1619" s="116">
        <v>878.7</v>
      </c>
      <c r="E1619" s="116">
        <v>881.55</v>
      </c>
      <c r="F1619" s="116">
        <v>17645.349999999999</v>
      </c>
      <c r="G1619">
        <v>16969</v>
      </c>
      <c r="H1619" s="116"/>
      <c r="I1619" s="116"/>
      <c r="L1619" s="170">
        <v>44389</v>
      </c>
      <c r="M1619" s="116">
        <v>882.07</v>
      </c>
      <c r="N1619" s="116">
        <v>887.76750000000004</v>
      </c>
      <c r="O1619" s="116">
        <v>878.58</v>
      </c>
      <c r="P1619" s="116">
        <v>887.76499999999999</v>
      </c>
      <c r="Q1619" s="116">
        <v>17641.400000000001</v>
      </c>
      <c r="R1619">
        <v>33301</v>
      </c>
    </row>
    <row r="1620" spans="1:18" x14ac:dyDescent="0.25">
      <c r="A1620" s="170">
        <v>44390</v>
      </c>
      <c r="B1620" s="116">
        <v>886.33</v>
      </c>
      <c r="C1620" s="116">
        <v>883.69</v>
      </c>
      <c r="D1620" s="116">
        <v>881.26</v>
      </c>
      <c r="E1620" s="116">
        <v>882.5</v>
      </c>
      <c r="F1620" s="116">
        <v>17673.8</v>
      </c>
      <c r="G1620">
        <v>1549</v>
      </c>
      <c r="H1620" s="116"/>
      <c r="I1620" s="116"/>
      <c r="L1620" s="170">
        <v>44390</v>
      </c>
      <c r="M1620" s="116">
        <v>884.59500000000003</v>
      </c>
      <c r="N1620" s="116">
        <v>886.65</v>
      </c>
      <c r="O1620" s="116">
        <v>880.05499999999995</v>
      </c>
      <c r="P1620" s="116">
        <v>886.5</v>
      </c>
      <c r="Q1620" s="116">
        <v>17691.900000000001</v>
      </c>
      <c r="R1620">
        <v>25004</v>
      </c>
    </row>
    <row r="1621" spans="1:18" x14ac:dyDescent="0.25">
      <c r="A1621" s="170">
        <v>44391</v>
      </c>
      <c r="B1621" s="116">
        <v>886</v>
      </c>
      <c r="C1621" s="116">
        <v>876.77750000000003</v>
      </c>
      <c r="D1621" s="116">
        <v>875.44749999999999</v>
      </c>
      <c r="E1621" s="116">
        <v>886</v>
      </c>
      <c r="F1621" s="116">
        <v>17535.55</v>
      </c>
      <c r="G1621">
        <v>884</v>
      </c>
      <c r="H1621" s="116"/>
      <c r="I1621" s="116"/>
      <c r="L1621" s="170">
        <v>44391</v>
      </c>
      <c r="M1621" s="116">
        <v>876.98500000000001</v>
      </c>
      <c r="N1621" s="116">
        <v>884.59500000000003</v>
      </c>
      <c r="O1621" s="116">
        <v>876</v>
      </c>
      <c r="P1621" s="116">
        <v>884.59500000000003</v>
      </c>
      <c r="Q1621" s="116">
        <v>17539.7</v>
      </c>
      <c r="R1621">
        <v>50861</v>
      </c>
    </row>
    <row r="1622" spans="1:18" x14ac:dyDescent="0.25">
      <c r="A1622" s="170">
        <v>44392</v>
      </c>
      <c r="B1622" s="116">
        <v>882.5</v>
      </c>
      <c r="C1622" s="116">
        <v>880.94</v>
      </c>
      <c r="D1622" s="116">
        <v>872.38499999999999</v>
      </c>
      <c r="E1622" s="116">
        <v>877.5</v>
      </c>
      <c r="F1622" s="116">
        <v>17618.8</v>
      </c>
      <c r="G1622">
        <v>1291</v>
      </c>
      <c r="H1622" s="116"/>
      <c r="I1622" s="116"/>
      <c r="L1622" s="170">
        <v>44392</v>
      </c>
      <c r="M1622" s="116">
        <v>881.09249999999997</v>
      </c>
      <c r="N1622" s="116">
        <v>882.89</v>
      </c>
      <c r="O1622" s="116">
        <v>872.5</v>
      </c>
      <c r="P1622" s="116">
        <v>876.25</v>
      </c>
      <c r="Q1622" s="116">
        <v>17621.849999999999</v>
      </c>
      <c r="R1622">
        <v>27839</v>
      </c>
    </row>
    <row r="1623" spans="1:18" x14ac:dyDescent="0.25">
      <c r="A1623" s="170">
        <v>44393</v>
      </c>
      <c r="B1623" s="116">
        <v>885.73500000000001</v>
      </c>
      <c r="C1623" s="116">
        <v>882.505</v>
      </c>
      <c r="D1623" s="116">
        <v>877.48249999999996</v>
      </c>
      <c r="E1623" s="116">
        <v>884.9</v>
      </c>
      <c r="F1623" s="116">
        <v>17650.099999999999</v>
      </c>
      <c r="G1623">
        <v>623</v>
      </c>
      <c r="H1623" s="116"/>
      <c r="I1623" s="116"/>
      <c r="L1623" s="170">
        <v>44393</v>
      </c>
      <c r="M1623" s="116">
        <v>882.71</v>
      </c>
      <c r="N1623" s="116">
        <v>885.75</v>
      </c>
      <c r="O1623" s="116">
        <v>876.89750000000004</v>
      </c>
      <c r="P1623" s="116">
        <v>882.75</v>
      </c>
      <c r="Q1623" s="116">
        <v>17654.2</v>
      </c>
      <c r="R1623">
        <v>36685</v>
      </c>
    </row>
    <row r="1624" spans="1:18" x14ac:dyDescent="0.25">
      <c r="A1624" s="170">
        <v>44396</v>
      </c>
      <c r="B1624" s="116">
        <v>892.43</v>
      </c>
      <c r="C1624" s="116">
        <v>887.46</v>
      </c>
      <c r="D1624" s="116">
        <v>878.75</v>
      </c>
      <c r="E1624" s="116">
        <v>878.75</v>
      </c>
      <c r="F1624" s="116">
        <v>17749.2</v>
      </c>
      <c r="G1624">
        <v>17252</v>
      </c>
      <c r="H1624" s="116"/>
      <c r="I1624" s="116"/>
      <c r="L1624" s="170">
        <v>44396</v>
      </c>
      <c r="M1624" s="116">
        <v>887.62249999999995</v>
      </c>
      <c r="N1624" s="116">
        <v>892.25</v>
      </c>
      <c r="O1624" s="116">
        <v>877.5</v>
      </c>
      <c r="P1624" s="116">
        <v>877.5</v>
      </c>
      <c r="Q1624" s="116">
        <v>17752.45</v>
      </c>
      <c r="R1624">
        <v>51402</v>
      </c>
    </row>
    <row r="1625" spans="1:18" x14ac:dyDescent="0.25">
      <c r="A1625" s="170">
        <v>44397</v>
      </c>
      <c r="B1625" s="116">
        <v>894.92250000000001</v>
      </c>
      <c r="C1625" s="116">
        <v>891.47</v>
      </c>
      <c r="D1625" s="116">
        <v>885.505</v>
      </c>
      <c r="E1625" s="116">
        <v>889.95</v>
      </c>
      <c r="F1625" s="116">
        <v>17829.400000000001</v>
      </c>
      <c r="G1625">
        <v>1428</v>
      </c>
      <c r="H1625" s="116"/>
      <c r="I1625" s="116"/>
      <c r="L1625" s="170">
        <v>44397</v>
      </c>
      <c r="M1625" s="116">
        <v>892.80499999999995</v>
      </c>
      <c r="N1625" s="116">
        <v>895.35</v>
      </c>
      <c r="O1625" s="116">
        <v>885.05</v>
      </c>
      <c r="P1625" s="116">
        <v>887.49749999999995</v>
      </c>
      <c r="Q1625" s="116">
        <v>17856.099999999999</v>
      </c>
      <c r="R1625">
        <v>44594</v>
      </c>
    </row>
    <row r="1626" spans="1:18" x14ac:dyDescent="0.25">
      <c r="A1626" s="170">
        <v>44399</v>
      </c>
      <c r="B1626" s="116">
        <v>901.32</v>
      </c>
      <c r="C1626" s="116">
        <v>899.76</v>
      </c>
      <c r="D1626" s="116">
        <v>886.1825</v>
      </c>
      <c r="E1626" s="116">
        <v>894.75</v>
      </c>
      <c r="F1626" s="116">
        <v>17995.2</v>
      </c>
      <c r="G1626">
        <v>2935</v>
      </c>
      <c r="H1626" s="116"/>
      <c r="I1626" s="116"/>
      <c r="L1626" s="170">
        <v>44399</v>
      </c>
      <c r="M1626" s="116">
        <v>899.74</v>
      </c>
      <c r="N1626" s="116">
        <v>902.32249999999999</v>
      </c>
      <c r="O1626" s="116">
        <v>885</v>
      </c>
      <c r="P1626" s="116">
        <v>892.80499999999995</v>
      </c>
      <c r="Q1626" s="116">
        <v>17994.8</v>
      </c>
      <c r="R1626">
        <v>113317</v>
      </c>
    </row>
    <row r="1627" spans="1:18" x14ac:dyDescent="0.25">
      <c r="A1627" s="170">
        <v>44400</v>
      </c>
      <c r="B1627" s="116">
        <v>910.9</v>
      </c>
      <c r="C1627" s="116">
        <v>906.14250000000004</v>
      </c>
      <c r="D1627" s="116">
        <v>894.54499999999996</v>
      </c>
      <c r="E1627" s="116">
        <v>899.95</v>
      </c>
      <c r="F1627" s="116">
        <v>18122.849999999999</v>
      </c>
      <c r="G1627">
        <v>3224</v>
      </c>
      <c r="H1627" s="116"/>
      <c r="I1627" s="116"/>
      <c r="L1627" s="170">
        <v>44400</v>
      </c>
      <c r="M1627" s="116">
        <v>907.19749999999999</v>
      </c>
      <c r="N1627" s="116">
        <v>911.2</v>
      </c>
      <c r="O1627" s="116">
        <v>894.11249999999995</v>
      </c>
      <c r="P1627" s="116">
        <v>896.51750000000004</v>
      </c>
      <c r="Q1627" s="116">
        <v>18143.95</v>
      </c>
      <c r="R1627">
        <v>75231</v>
      </c>
    </row>
    <row r="1628" spans="1:18" x14ac:dyDescent="0.25">
      <c r="A1628" s="170">
        <v>44403</v>
      </c>
      <c r="B1628" s="116">
        <v>908.69749999999999</v>
      </c>
      <c r="C1628" s="116">
        <v>903.87750000000005</v>
      </c>
      <c r="D1628" s="116">
        <v>900</v>
      </c>
      <c r="E1628" s="116">
        <v>900</v>
      </c>
      <c r="F1628" s="116">
        <v>18077.55</v>
      </c>
      <c r="G1628">
        <v>1257</v>
      </c>
      <c r="H1628" s="116"/>
      <c r="I1628" s="116"/>
      <c r="L1628" s="170">
        <v>44403</v>
      </c>
      <c r="M1628" s="116">
        <v>905.0675</v>
      </c>
      <c r="N1628" s="116">
        <v>909.38750000000005</v>
      </c>
      <c r="O1628" s="116">
        <v>900.54</v>
      </c>
      <c r="P1628" s="116">
        <v>903.59249999999997</v>
      </c>
      <c r="Q1628" s="116">
        <v>18101.349999999999</v>
      </c>
      <c r="R1628">
        <v>53495</v>
      </c>
    </row>
    <row r="1629" spans="1:18" x14ac:dyDescent="0.25">
      <c r="A1629" s="170">
        <v>44404</v>
      </c>
      <c r="B1629" s="116">
        <v>922.32749999999999</v>
      </c>
      <c r="C1629" s="116">
        <v>911.92250000000001</v>
      </c>
      <c r="D1629" s="116">
        <v>898.96249999999998</v>
      </c>
      <c r="E1629" s="116">
        <v>900.01</v>
      </c>
      <c r="F1629" s="116">
        <v>18238.45</v>
      </c>
      <c r="G1629">
        <v>2511</v>
      </c>
      <c r="H1629" s="116"/>
      <c r="I1629" s="116"/>
      <c r="L1629" s="170">
        <v>44404</v>
      </c>
      <c r="M1629" s="116">
        <v>911.30499999999995</v>
      </c>
      <c r="N1629" s="116">
        <v>922.45</v>
      </c>
      <c r="O1629" s="116">
        <v>898.625</v>
      </c>
      <c r="P1629" s="116">
        <v>900.6</v>
      </c>
      <c r="Q1629" s="116">
        <v>18226.099999999999</v>
      </c>
      <c r="R1629">
        <v>139157</v>
      </c>
    </row>
    <row r="1630" spans="1:18" x14ac:dyDescent="0.25">
      <c r="A1630" s="170">
        <v>44405</v>
      </c>
      <c r="B1630" s="116">
        <v>916.9</v>
      </c>
      <c r="C1630" s="116">
        <v>900.63</v>
      </c>
      <c r="D1630" s="116">
        <v>895</v>
      </c>
      <c r="E1630" s="116">
        <v>916.9</v>
      </c>
      <c r="F1630" s="116">
        <v>18012.599999999999</v>
      </c>
      <c r="G1630">
        <v>4804</v>
      </c>
      <c r="H1630" s="116"/>
      <c r="I1630" s="116"/>
      <c r="L1630" s="170">
        <v>44405</v>
      </c>
      <c r="M1630" s="116">
        <v>901.12750000000005</v>
      </c>
      <c r="N1630" s="116">
        <v>916.7</v>
      </c>
      <c r="O1630" s="116">
        <v>895.05</v>
      </c>
      <c r="P1630" s="116">
        <v>916.7</v>
      </c>
      <c r="Q1630" s="116">
        <v>18022.55</v>
      </c>
      <c r="R1630">
        <v>87637</v>
      </c>
    </row>
    <row r="1631" spans="1:18" x14ac:dyDescent="0.25">
      <c r="A1631" s="170">
        <v>44406</v>
      </c>
      <c r="B1631" s="116">
        <v>907.79499999999996</v>
      </c>
      <c r="C1631" s="116">
        <v>895.495</v>
      </c>
      <c r="D1631" s="116">
        <v>889.8125</v>
      </c>
      <c r="E1631" s="116">
        <v>898.35</v>
      </c>
      <c r="F1631" s="116">
        <v>17909.900000000001</v>
      </c>
      <c r="G1631">
        <v>2547</v>
      </c>
      <c r="H1631" s="116"/>
      <c r="I1631" s="116"/>
      <c r="L1631" s="170">
        <v>44406</v>
      </c>
      <c r="M1631" s="116">
        <v>895.73749999999995</v>
      </c>
      <c r="N1631" s="116">
        <v>910</v>
      </c>
      <c r="O1631" s="116">
        <v>889</v>
      </c>
      <c r="P1631" s="116">
        <v>897.5</v>
      </c>
      <c r="Q1631" s="116">
        <v>17914.75</v>
      </c>
      <c r="R1631">
        <v>135536</v>
      </c>
    </row>
    <row r="1632" spans="1:18" x14ac:dyDescent="0.25">
      <c r="A1632" s="170">
        <v>44407</v>
      </c>
      <c r="B1632" s="116">
        <v>896.63499999999999</v>
      </c>
      <c r="C1632" s="116">
        <v>885.13750000000005</v>
      </c>
      <c r="D1632" s="116">
        <v>883.245</v>
      </c>
      <c r="E1632" s="116">
        <v>895.7</v>
      </c>
      <c r="F1632" s="116">
        <v>17702.75</v>
      </c>
      <c r="G1632">
        <v>1799</v>
      </c>
      <c r="H1632" s="116"/>
      <c r="I1632" s="116"/>
      <c r="L1632" s="170">
        <v>44407</v>
      </c>
      <c r="M1632" s="116">
        <v>885.13250000000005</v>
      </c>
      <c r="N1632" s="116">
        <v>897.79750000000001</v>
      </c>
      <c r="O1632" s="116">
        <v>882.75250000000005</v>
      </c>
      <c r="P1632" s="116">
        <v>895.73749999999995</v>
      </c>
      <c r="Q1632" s="116">
        <v>17702.650000000001</v>
      </c>
      <c r="R1632">
        <v>83370</v>
      </c>
    </row>
    <row r="1633" spans="1:18" x14ac:dyDescent="0.25">
      <c r="A1633" s="170">
        <v>44410</v>
      </c>
      <c r="B1633" s="116">
        <v>895</v>
      </c>
      <c r="C1633" s="116">
        <v>885.45249999999999</v>
      </c>
      <c r="D1633" s="116">
        <v>883.75250000000005</v>
      </c>
      <c r="E1633" s="116">
        <v>885.15250000000003</v>
      </c>
      <c r="F1633" s="116">
        <v>17709.05</v>
      </c>
      <c r="G1633">
        <v>1649</v>
      </c>
      <c r="H1633" s="116"/>
      <c r="I1633" s="116"/>
      <c r="L1633" s="170">
        <v>44410</v>
      </c>
      <c r="M1633" s="116">
        <v>885.73249999999996</v>
      </c>
      <c r="N1633" s="116">
        <v>895.04</v>
      </c>
      <c r="O1633" s="116">
        <v>883.75</v>
      </c>
      <c r="P1633" s="116">
        <v>889.79</v>
      </c>
      <c r="Q1633" s="116">
        <v>17714.650000000001</v>
      </c>
      <c r="R1633">
        <v>31974</v>
      </c>
    </row>
    <row r="1634" spans="1:18" x14ac:dyDescent="0.25">
      <c r="A1634" s="170">
        <v>44411</v>
      </c>
      <c r="B1634" s="116">
        <v>920.45</v>
      </c>
      <c r="C1634" s="116">
        <v>914.39</v>
      </c>
      <c r="D1634" s="116">
        <v>883.32249999999999</v>
      </c>
      <c r="E1634" s="116">
        <v>886.75</v>
      </c>
      <c r="F1634" s="116">
        <v>18287.8</v>
      </c>
      <c r="G1634">
        <v>2854</v>
      </c>
      <c r="H1634" s="116"/>
      <c r="I1634" s="116"/>
      <c r="L1634" s="170">
        <v>44411</v>
      </c>
      <c r="M1634" s="116">
        <v>914.20500000000004</v>
      </c>
      <c r="N1634" s="116">
        <v>919</v>
      </c>
      <c r="O1634" s="116">
        <v>882.7</v>
      </c>
      <c r="P1634" s="116">
        <v>883.51</v>
      </c>
      <c r="Q1634" s="116">
        <v>18284.099999999999</v>
      </c>
      <c r="R1634">
        <v>63128</v>
      </c>
    </row>
    <row r="1635" spans="1:18" x14ac:dyDescent="0.25">
      <c r="A1635" s="170">
        <v>44412</v>
      </c>
      <c r="B1635" s="116">
        <v>916.80499999999995</v>
      </c>
      <c r="C1635" s="116">
        <v>902.54</v>
      </c>
      <c r="D1635" s="116">
        <v>900.5</v>
      </c>
      <c r="E1635" s="116">
        <v>916</v>
      </c>
      <c r="F1635" s="116">
        <v>18050.8</v>
      </c>
      <c r="G1635">
        <v>1965</v>
      </c>
      <c r="H1635" s="116"/>
      <c r="I1635" s="116"/>
      <c r="L1635" s="170">
        <v>44412</v>
      </c>
      <c r="M1635" s="116">
        <v>902.86749999999995</v>
      </c>
      <c r="N1635" s="116">
        <v>917.49749999999995</v>
      </c>
      <c r="O1635" s="116">
        <v>900.85500000000002</v>
      </c>
      <c r="P1635" s="116">
        <v>914.70500000000004</v>
      </c>
      <c r="Q1635" s="116">
        <v>18057.349999999999</v>
      </c>
      <c r="R1635">
        <v>40822</v>
      </c>
    </row>
    <row r="1636" spans="1:18" x14ac:dyDescent="0.25">
      <c r="A1636" s="170">
        <v>44413</v>
      </c>
      <c r="B1636" s="116">
        <v>914.005</v>
      </c>
      <c r="C1636" s="116">
        <v>910.71249999999998</v>
      </c>
      <c r="D1636" s="116">
        <v>900</v>
      </c>
      <c r="E1636" s="116">
        <v>909</v>
      </c>
      <c r="F1636" s="116">
        <v>18214.25</v>
      </c>
      <c r="G1636">
        <v>1366</v>
      </c>
      <c r="H1636" s="116"/>
      <c r="I1636" s="116"/>
      <c r="L1636" s="170">
        <v>44413</v>
      </c>
      <c r="M1636" s="116">
        <v>910.4375</v>
      </c>
      <c r="N1636" s="116">
        <v>914.20500000000004</v>
      </c>
      <c r="O1636" s="116">
        <v>900.1</v>
      </c>
      <c r="P1636" s="116">
        <v>907.5</v>
      </c>
      <c r="Q1636" s="116">
        <v>18208.75</v>
      </c>
      <c r="R1636">
        <v>37964</v>
      </c>
    </row>
    <row r="1637" spans="1:18" x14ac:dyDescent="0.25">
      <c r="A1637" s="170">
        <v>44414</v>
      </c>
      <c r="B1637" s="116">
        <v>914</v>
      </c>
      <c r="C1637" s="116">
        <v>904.75250000000005</v>
      </c>
      <c r="D1637" s="116">
        <v>899.4</v>
      </c>
      <c r="E1637" s="116">
        <v>914</v>
      </c>
      <c r="F1637" s="116">
        <v>18095.05</v>
      </c>
      <c r="G1637">
        <v>2551</v>
      </c>
      <c r="H1637" s="116"/>
      <c r="I1637" s="116"/>
      <c r="L1637" s="170">
        <v>44414</v>
      </c>
      <c r="M1637" s="116">
        <v>901.03250000000003</v>
      </c>
      <c r="N1637" s="116">
        <v>910.4</v>
      </c>
      <c r="O1637" s="116">
        <v>899</v>
      </c>
      <c r="P1637" s="116">
        <v>910</v>
      </c>
      <c r="Q1637" s="116">
        <v>18020.650000000001</v>
      </c>
      <c r="R1637">
        <v>38374</v>
      </c>
    </row>
    <row r="1638" spans="1:18" x14ac:dyDescent="0.25">
      <c r="A1638" s="170">
        <v>44417</v>
      </c>
      <c r="B1638" s="116">
        <v>911.4</v>
      </c>
      <c r="C1638" s="116">
        <v>909.84249999999997</v>
      </c>
      <c r="D1638" s="116">
        <v>901.09500000000003</v>
      </c>
      <c r="E1638" s="116">
        <v>907.5</v>
      </c>
      <c r="F1638" s="116">
        <v>18196.849999999999</v>
      </c>
      <c r="G1638">
        <v>1477</v>
      </c>
      <c r="H1638" s="116"/>
      <c r="I1638" s="116"/>
      <c r="L1638" s="170">
        <v>44417</v>
      </c>
      <c r="M1638" s="116">
        <v>910.11500000000001</v>
      </c>
      <c r="N1638" s="116">
        <v>911.75</v>
      </c>
      <c r="O1638" s="116">
        <v>901.03250000000003</v>
      </c>
      <c r="P1638" s="116">
        <v>903.5</v>
      </c>
      <c r="Q1638" s="116">
        <v>18202.3</v>
      </c>
      <c r="R1638">
        <v>30636</v>
      </c>
    </row>
    <row r="1639" spans="1:18" x14ac:dyDescent="0.25">
      <c r="A1639" s="170">
        <v>44418</v>
      </c>
      <c r="B1639" s="116">
        <v>918</v>
      </c>
      <c r="C1639" s="116">
        <v>913.89499999999998</v>
      </c>
      <c r="D1639" s="116">
        <v>904.43499999999995</v>
      </c>
      <c r="E1639" s="116">
        <v>915.55</v>
      </c>
      <c r="F1639" s="116">
        <v>18277.900000000001</v>
      </c>
      <c r="G1639">
        <v>1016</v>
      </c>
      <c r="H1639" s="116"/>
      <c r="I1639" s="116"/>
      <c r="L1639" s="170">
        <v>44418</v>
      </c>
      <c r="M1639" s="116">
        <v>913.66499999999996</v>
      </c>
      <c r="N1639" s="116">
        <v>918.53499999999997</v>
      </c>
      <c r="O1639" s="116">
        <v>904.255</v>
      </c>
      <c r="P1639" s="116">
        <v>910.5</v>
      </c>
      <c r="Q1639" s="116">
        <v>18273.3</v>
      </c>
      <c r="R1639">
        <v>61467</v>
      </c>
    </row>
    <row r="1640" spans="1:18" x14ac:dyDescent="0.25">
      <c r="A1640" s="170">
        <v>44419</v>
      </c>
      <c r="B1640" s="116">
        <v>913.85</v>
      </c>
      <c r="C1640" s="116">
        <v>908.20749999999998</v>
      </c>
      <c r="D1640" s="116">
        <v>901.25</v>
      </c>
      <c r="E1640" s="116">
        <v>912.5</v>
      </c>
      <c r="F1640" s="116">
        <v>18164.150000000001</v>
      </c>
      <c r="G1640">
        <v>1190</v>
      </c>
      <c r="H1640" s="116"/>
      <c r="I1640" s="116"/>
      <c r="L1640" s="170">
        <v>44419</v>
      </c>
      <c r="M1640" s="116">
        <v>908.39</v>
      </c>
      <c r="N1640" s="116">
        <v>915.75</v>
      </c>
      <c r="O1640" s="116">
        <v>901.26750000000004</v>
      </c>
      <c r="P1640" s="116">
        <v>915.75</v>
      </c>
      <c r="Q1640" s="116">
        <v>18167.8</v>
      </c>
      <c r="R1640">
        <v>34985</v>
      </c>
    </row>
    <row r="1641" spans="1:18" x14ac:dyDescent="0.25">
      <c r="A1641" s="170">
        <v>44420</v>
      </c>
      <c r="B1641" s="116">
        <v>911.76</v>
      </c>
      <c r="C1641" s="116">
        <v>906.82749999999999</v>
      </c>
      <c r="D1641" s="116">
        <v>903.64</v>
      </c>
      <c r="E1641" s="116">
        <v>906.92499999999995</v>
      </c>
      <c r="F1641" s="116">
        <v>18136.55</v>
      </c>
      <c r="G1641">
        <v>923</v>
      </c>
      <c r="H1641" s="116"/>
      <c r="I1641" s="116"/>
      <c r="L1641" s="170">
        <v>44420</v>
      </c>
      <c r="M1641" s="116">
        <v>906.6925</v>
      </c>
      <c r="N1641" s="116">
        <v>912.39750000000004</v>
      </c>
      <c r="O1641" s="116">
        <v>904</v>
      </c>
      <c r="P1641" s="116">
        <v>909.04</v>
      </c>
      <c r="Q1641" s="116">
        <v>18133.849999999999</v>
      </c>
      <c r="R1641">
        <v>24494</v>
      </c>
    </row>
    <row r="1642" spans="1:18" x14ac:dyDescent="0.25">
      <c r="A1642" s="170">
        <v>44421</v>
      </c>
      <c r="B1642" s="116">
        <v>914.03250000000003</v>
      </c>
      <c r="C1642" s="116">
        <v>913.41499999999996</v>
      </c>
      <c r="D1642" s="116">
        <v>906.82749999999999</v>
      </c>
      <c r="E1642" s="116">
        <v>906.82749999999999</v>
      </c>
      <c r="F1642" s="116">
        <v>18268.3</v>
      </c>
      <c r="G1642">
        <v>1408</v>
      </c>
      <c r="H1642" s="116"/>
      <c r="I1642" s="116"/>
      <c r="L1642" s="170">
        <v>44421</v>
      </c>
      <c r="M1642" s="116">
        <v>913.47749999999996</v>
      </c>
      <c r="N1642" s="116">
        <v>914.50250000000005</v>
      </c>
      <c r="O1642" s="116">
        <v>906.58500000000004</v>
      </c>
      <c r="P1642" s="116">
        <v>909.98500000000001</v>
      </c>
      <c r="Q1642" s="116">
        <v>18269.55</v>
      </c>
      <c r="R1642">
        <v>41123</v>
      </c>
    </row>
    <row r="1643" spans="1:18" x14ac:dyDescent="0.25">
      <c r="A1643" s="170">
        <v>44424</v>
      </c>
      <c r="B1643" s="116">
        <v>924.4</v>
      </c>
      <c r="C1643" s="116">
        <v>914.85</v>
      </c>
      <c r="D1643" s="116">
        <v>910.8175</v>
      </c>
      <c r="E1643" s="116">
        <v>912.5</v>
      </c>
      <c r="F1643" s="116">
        <v>18297</v>
      </c>
      <c r="G1643">
        <v>1161</v>
      </c>
      <c r="H1643" s="116"/>
      <c r="I1643" s="116"/>
      <c r="L1643" s="170">
        <v>44424</v>
      </c>
      <c r="M1643" s="116">
        <v>914.76250000000005</v>
      </c>
      <c r="N1643" s="116">
        <v>924.95</v>
      </c>
      <c r="O1643" s="116">
        <v>908.85749999999996</v>
      </c>
      <c r="P1643" s="116">
        <v>913.47749999999996</v>
      </c>
      <c r="Q1643" s="116">
        <v>18295.25</v>
      </c>
      <c r="R1643">
        <v>44971</v>
      </c>
    </row>
    <row r="1644" spans="1:18" x14ac:dyDescent="0.25">
      <c r="A1644" s="170">
        <v>44425</v>
      </c>
      <c r="B1644" s="116">
        <v>939.5</v>
      </c>
      <c r="C1644" s="116">
        <v>936.49749999999995</v>
      </c>
      <c r="D1644" s="116">
        <v>915</v>
      </c>
      <c r="E1644" s="116">
        <v>915</v>
      </c>
      <c r="F1644" s="116">
        <v>18729.95</v>
      </c>
      <c r="G1644">
        <v>3796</v>
      </c>
      <c r="H1644" s="116"/>
      <c r="I1644" s="116"/>
      <c r="L1644" s="170">
        <v>44425</v>
      </c>
      <c r="M1644" s="116">
        <v>936.62750000000005</v>
      </c>
      <c r="N1644" s="116">
        <v>939.87249999999995</v>
      </c>
      <c r="O1644" s="116">
        <v>915.07</v>
      </c>
      <c r="P1644" s="116">
        <v>917.5</v>
      </c>
      <c r="Q1644" s="116">
        <v>18732.55</v>
      </c>
      <c r="R1644">
        <v>75201</v>
      </c>
    </row>
    <row r="1645" spans="1:18" x14ac:dyDescent="0.25">
      <c r="A1645" s="170">
        <v>44426</v>
      </c>
      <c r="B1645" s="116">
        <v>947.90750000000003</v>
      </c>
      <c r="C1645" s="116">
        <v>945.5</v>
      </c>
      <c r="D1645" s="116">
        <v>936.5</v>
      </c>
      <c r="E1645" s="116">
        <v>936.5</v>
      </c>
      <c r="F1645" s="116">
        <v>18910</v>
      </c>
      <c r="G1645">
        <v>1298</v>
      </c>
      <c r="H1645" s="116"/>
      <c r="I1645" s="116"/>
      <c r="L1645" s="170">
        <v>44426</v>
      </c>
      <c r="M1645" s="116">
        <v>945.55</v>
      </c>
      <c r="N1645" s="116">
        <v>948.45</v>
      </c>
      <c r="O1645" s="116">
        <v>937.50250000000005</v>
      </c>
      <c r="P1645" s="116">
        <v>937.55</v>
      </c>
      <c r="Q1645" s="116">
        <v>18911</v>
      </c>
      <c r="R1645">
        <v>39988</v>
      </c>
    </row>
    <row r="1646" spans="1:18" x14ac:dyDescent="0.25">
      <c r="A1646" s="170">
        <v>44428</v>
      </c>
      <c r="B1646" s="116">
        <v>981.61249999999995</v>
      </c>
      <c r="C1646" s="116">
        <v>977.64</v>
      </c>
      <c r="D1646" s="116">
        <v>929.9375</v>
      </c>
      <c r="E1646" s="116">
        <v>934.5</v>
      </c>
      <c r="F1646" s="116">
        <v>19552.8</v>
      </c>
      <c r="G1646">
        <v>4132</v>
      </c>
      <c r="H1646" s="116"/>
      <c r="I1646" s="116"/>
      <c r="L1646" s="170">
        <v>44428</v>
      </c>
      <c r="M1646" s="116">
        <v>978.5625</v>
      </c>
      <c r="N1646" s="116">
        <v>982.05499999999995</v>
      </c>
      <c r="O1646" s="116">
        <v>927.76250000000005</v>
      </c>
      <c r="P1646" s="116">
        <v>927.76250000000005</v>
      </c>
      <c r="Q1646" s="116">
        <v>19571.25</v>
      </c>
      <c r="R1646">
        <v>143107</v>
      </c>
    </row>
    <row r="1647" spans="1:18" x14ac:dyDescent="0.25">
      <c r="A1647" s="170">
        <v>44431</v>
      </c>
      <c r="B1647" s="116">
        <v>1004.1875</v>
      </c>
      <c r="C1647" s="116">
        <v>1000.825</v>
      </c>
      <c r="D1647" s="116">
        <v>977.8</v>
      </c>
      <c r="E1647" s="116">
        <v>985</v>
      </c>
      <c r="F1647" s="116">
        <v>20016.5</v>
      </c>
      <c r="G1647">
        <v>4153</v>
      </c>
      <c r="H1647" s="116"/>
      <c r="I1647" s="116"/>
      <c r="L1647" s="170">
        <v>44431</v>
      </c>
      <c r="M1647" s="116">
        <v>1001.0525</v>
      </c>
      <c r="N1647" s="116">
        <v>1004.75</v>
      </c>
      <c r="O1647" s="116">
        <v>977.88250000000005</v>
      </c>
      <c r="P1647" s="116">
        <v>985</v>
      </c>
      <c r="Q1647" s="116">
        <v>20021.05</v>
      </c>
      <c r="R1647">
        <v>148742</v>
      </c>
    </row>
    <row r="1648" spans="1:18" x14ac:dyDescent="0.25">
      <c r="A1648" s="170">
        <v>44432</v>
      </c>
      <c r="B1648" s="116">
        <v>1007.205</v>
      </c>
      <c r="C1648" s="116">
        <v>989.26</v>
      </c>
      <c r="D1648" s="116">
        <v>983.32500000000005</v>
      </c>
      <c r="E1648" s="116">
        <v>1004</v>
      </c>
      <c r="F1648" s="116">
        <v>19785.2</v>
      </c>
      <c r="G1648">
        <v>3061</v>
      </c>
      <c r="H1648" s="116"/>
      <c r="I1648" s="116"/>
      <c r="L1648" s="170">
        <v>44432</v>
      </c>
      <c r="M1648" s="116">
        <v>988.99249999999995</v>
      </c>
      <c r="N1648" s="116">
        <v>1009.95</v>
      </c>
      <c r="O1648" s="116">
        <v>983.25</v>
      </c>
      <c r="P1648" s="116">
        <v>1005</v>
      </c>
      <c r="Q1648" s="116">
        <v>19779.849999999999</v>
      </c>
      <c r="R1648">
        <v>83084</v>
      </c>
    </row>
    <row r="1649" spans="1:18" x14ac:dyDescent="0.25">
      <c r="A1649" s="170">
        <v>44433</v>
      </c>
      <c r="B1649" s="116">
        <v>1016.69</v>
      </c>
      <c r="C1649" s="116">
        <v>995.37</v>
      </c>
      <c r="D1649" s="116">
        <v>990.5</v>
      </c>
      <c r="E1649" s="116">
        <v>990.5</v>
      </c>
      <c r="F1649" s="116">
        <v>19907.400000000001</v>
      </c>
      <c r="G1649">
        <v>4279</v>
      </c>
      <c r="H1649" s="116"/>
      <c r="I1649" s="116"/>
      <c r="L1649" s="170">
        <v>44433</v>
      </c>
      <c r="M1649" s="116">
        <v>995.49249999999995</v>
      </c>
      <c r="N1649" s="116">
        <v>1016.25</v>
      </c>
      <c r="O1649" s="116">
        <v>989.3</v>
      </c>
      <c r="P1649" s="116">
        <v>989.3</v>
      </c>
      <c r="Q1649" s="116">
        <v>19909.849999999999</v>
      </c>
      <c r="R1649">
        <v>100159</v>
      </c>
    </row>
    <row r="1650" spans="1:18" x14ac:dyDescent="0.25">
      <c r="A1650" s="170">
        <v>44434</v>
      </c>
      <c r="B1650" s="116">
        <v>1005.6425</v>
      </c>
      <c r="C1650" s="116">
        <v>1002.34</v>
      </c>
      <c r="D1650" s="116">
        <v>990.8075</v>
      </c>
      <c r="E1650" s="116">
        <v>999.95</v>
      </c>
      <c r="F1650" s="116">
        <v>20046.8</v>
      </c>
      <c r="G1650">
        <v>1740</v>
      </c>
      <c r="H1650" s="116"/>
      <c r="I1650" s="116"/>
      <c r="L1650" s="170">
        <v>44434</v>
      </c>
      <c r="M1650" s="116">
        <v>1002.635</v>
      </c>
      <c r="N1650" s="116">
        <v>1005.985</v>
      </c>
      <c r="O1650" s="116">
        <v>990.27750000000003</v>
      </c>
      <c r="P1650" s="116">
        <v>998.74749999999995</v>
      </c>
      <c r="Q1650" s="116">
        <v>20052.7</v>
      </c>
      <c r="R1650">
        <v>63204</v>
      </c>
    </row>
    <row r="1651" spans="1:18" x14ac:dyDescent="0.25">
      <c r="A1651" s="170">
        <v>44435</v>
      </c>
      <c r="B1651" s="116">
        <v>1007.4974999999999</v>
      </c>
      <c r="C1651" s="116">
        <v>997.69749999999999</v>
      </c>
      <c r="D1651" s="116">
        <v>995.76750000000004</v>
      </c>
      <c r="E1651" s="116">
        <v>1007.4974999999999</v>
      </c>
      <c r="F1651" s="116">
        <v>19953.95</v>
      </c>
      <c r="G1651">
        <v>832</v>
      </c>
      <c r="H1651" s="116"/>
      <c r="I1651" s="116"/>
      <c r="L1651" s="170">
        <v>44435</v>
      </c>
      <c r="M1651" s="116">
        <v>997.86749999999995</v>
      </c>
      <c r="N1651" s="116">
        <v>1005</v>
      </c>
      <c r="O1651" s="116">
        <v>994.8</v>
      </c>
      <c r="P1651" s="116">
        <v>1005</v>
      </c>
      <c r="Q1651" s="116">
        <v>19957.349999999999</v>
      </c>
      <c r="R1651">
        <v>35104</v>
      </c>
    </row>
    <row r="1652" spans="1:18" x14ac:dyDescent="0.25">
      <c r="A1652" s="170">
        <v>44438</v>
      </c>
      <c r="B1652" s="116">
        <v>1004.62</v>
      </c>
      <c r="C1652" s="116">
        <v>988.18</v>
      </c>
      <c r="D1652" s="116">
        <v>985.05</v>
      </c>
      <c r="E1652" s="116">
        <v>1000</v>
      </c>
      <c r="F1652" s="116">
        <v>19763.599999999999</v>
      </c>
      <c r="G1652">
        <v>1880</v>
      </c>
      <c r="H1652" s="116"/>
      <c r="I1652" s="116"/>
      <c r="L1652" s="170">
        <v>44438</v>
      </c>
      <c r="M1652" s="116">
        <v>987.11249999999995</v>
      </c>
      <c r="N1652" s="116">
        <v>1006.125</v>
      </c>
      <c r="O1652" s="116">
        <v>984.21249999999998</v>
      </c>
      <c r="P1652" s="116">
        <v>1002.5</v>
      </c>
      <c r="Q1652" s="116">
        <v>19742.25</v>
      </c>
      <c r="R1652">
        <v>133958</v>
      </c>
    </row>
    <row r="1653" spans="1:18" x14ac:dyDescent="0.25">
      <c r="A1653" s="170">
        <v>44439</v>
      </c>
      <c r="B1653" s="116">
        <v>991.55</v>
      </c>
      <c r="C1653" s="116">
        <v>972.90499999999997</v>
      </c>
      <c r="D1653" s="116">
        <v>967.61</v>
      </c>
      <c r="E1653" s="116">
        <v>990</v>
      </c>
      <c r="F1653" s="116">
        <v>19458.099999999999</v>
      </c>
      <c r="G1653">
        <v>4899</v>
      </c>
      <c r="H1653" s="116"/>
      <c r="I1653" s="116"/>
      <c r="L1653" s="170">
        <v>44439</v>
      </c>
      <c r="M1653" s="116">
        <v>973.38750000000005</v>
      </c>
      <c r="N1653" s="116">
        <v>991.99749999999995</v>
      </c>
      <c r="O1653" s="116">
        <v>967.5</v>
      </c>
      <c r="P1653" s="116">
        <v>987.25</v>
      </c>
      <c r="Q1653" s="116">
        <v>19467.75</v>
      </c>
      <c r="R1653">
        <v>227370</v>
      </c>
    </row>
    <row r="1654" spans="1:18" x14ac:dyDescent="0.25">
      <c r="A1654" s="170">
        <v>44440</v>
      </c>
      <c r="B1654" s="116">
        <v>994.17250000000001</v>
      </c>
      <c r="C1654" s="116">
        <v>991.63</v>
      </c>
      <c r="D1654" s="116">
        <v>979.05</v>
      </c>
      <c r="E1654" s="116">
        <v>989.89750000000004</v>
      </c>
      <c r="F1654" s="116">
        <v>19832.599999999999</v>
      </c>
      <c r="G1654">
        <v>2275</v>
      </c>
      <c r="H1654" s="116"/>
      <c r="I1654" s="116"/>
      <c r="L1654" s="170">
        <v>44440</v>
      </c>
      <c r="M1654" s="116">
        <v>991.34249999999997</v>
      </c>
      <c r="N1654" s="116">
        <v>994.5</v>
      </c>
      <c r="O1654" s="116">
        <v>977.60500000000002</v>
      </c>
      <c r="P1654" s="116">
        <v>987.34</v>
      </c>
      <c r="Q1654" s="116">
        <v>19826.849999999999</v>
      </c>
      <c r="R1654">
        <v>104843</v>
      </c>
    </row>
    <row r="1655" spans="1:18" x14ac:dyDescent="0.25">
      <c r="A1655" s="170">
        <v>44441</v>
      </c>
      <c r="B1655" s="116">
        <v>1014.2375</v>
      </c>
      <c r="C1655" s="116">
        <v>1012.115</v>
      </c>
      <c r="D1655" s="116">
        <v>988.72</v>
      </c>
      <c r="E1655" s="116">
        <v>990.05250000000001</v>
      </c>
      <c r="F1655" s="116">
        <v>20242.3</v>
      </c>
      <c r="G1655">
        <v>3305</v>
      </c>
      <c r="H1655" s="116"/>
      <c r="I1655" s="116"/>
      <c r="L1655" s="170">
        <v>44441</v>
      </c>
      <c r="M1655" s="116">
        <v>1012.03</v>
      </c>
      <c r="N1655" s="116">
        <v>1014.5</v>
      </c>
      <c r="O1655" s="116">
        <v>988.05</v>
      </c>
      <c r="P1655" s="116">
        <v>993.7</v>
      </c>
      <c r="Q1655" s="116">
        <v>20240.599999999999</v>
      </c>
      <c r="R1655">
        <v>78577</v>
      </c>
    </row>
    <row r="1656" spans="1:18" x14ac:dyDescent="0.25">
      <c r="A1656" s="170">
        <v>44442</v>
      </c>
      <c r="B1656" s="116">
        <v>1016.665</v>
      </c>
      <c r="C1656" s="116">
        <v>1013.0075000000001</v>
      </c>
      <c r="D1656" s="116">
        <v>1005.1275000000001</v>
      </c>
      <c r="E1656" s="116">
        <v>1012.75</v>
      </c>
      <c r="F1656" s="116">
        <v>20260.150000000001</v>
      </c>
      <c r="G1656">
        <v>1811</v>
      </c>
      <c r="H1656" s="116"/>
      <c r="I1656" s="116"/>
      <c r="L1656" s="170">
        <v>44442</v>
      </c>
      <c r="M1656" s="116">
        <v>1013.3325</v>
      </c>
      <c r="N1656" s="116">
        <v>1017.15</v>
      </c>
      <c r="O1656" s="116">
        <v>1005.0525</v>
      </c>
      <c r="P1656" s="116">
        <v>1012.5</v>
      </c>
      <c r="Q1656" s="116">
        <v>20266.650000000001</v>
      </c>
      <c r="R1656">
        <v>46978</v>
      </c>
    </row>
    <row r="1657" spans="1:18" x14ac:dyDescent="0.25">
      <c r="A1657" s="170">
        <v>44445</v>
      </c>
      <c r="B1657" s="116">
        <v>1017.3425</v>
      </c>
      <c r="C1657" s="116">
        <v>1010.4725</v>
      </c>
      <c r="D1657" s="116">
        <v>1008.4775</v>
      </c>
      <c r="E1657" s="116">
        <v>1013.25</v>
      </c>
      <c r="F1657" s="116">
        <v>20209.45</v>
      </c>
      <c r="G1657">
        <v>1250</v>
      </c>
      <c r="H1657" s="116"/>
      <c r="I1657" s="116"/>
      <c r="L1657" s="170">
        <v>44445</v>
      </c>
      <c r="M1657" s="116">
        <v>1011.16</v>
      </c>
      <c r="N1657" s="116">
        <v>1017.4</v>
      </c>
      <c r="O1657" s="116">
        <v>1008</v>
      </c>
      <c r="P1657" s="116">
        <v>1013.0075000000001</v>
      </c>
      <c r="Q1657" s="116">
        <v>20223.2</v>
      </c>
      <c r="R1657">
        <v>34069</v>
      </c>
    </row>
    <row r="1658" spans="1:18" x14ac:dyDescent="0.25">
      <c r="A1658" s="170">
        <v>44446</v>
      </c>
      <c r="B1658" s="116">
        <v>1019.865</v>
      </c>
      <c r="C1658" s="116">
        <v>1018.6625</v>
      </c>
      <c r="D1658" s="116">
        <v>1010.885</v>
      </c>
      <c r="E1658" s="116">
        <v>1012.5</v>
      </c>
      <c r="F1658" s="116">
        <v>20373.25</v>
      </c>
      <c r="G1658">
        <v>1531</v>
      </c>
      <c r="H1658" s="116"/>
      <c r="I1658" s="116"/>
      <c r="L1658" s="170">
        <v>44446</v>
      </c>
      <c r="M1658" s="116">
        <v>1018.4225</v>
      </c>
      <c r="N1658" s="116">
        <v>1019.635</v>
      </c>
      <c r="O1658" s="116">
        <v>1008.3075</v>
      </c>
      <c r="P1658" s="116">
        <v>1008.3075</v>
      </c>
      <c r="Q1658" s="116">
        <v>20368.45</v>
      </c>
      <c r="R1658">
        <v>34153</v>
      </c>
    </row>
    <row r="1659" spans="1:18" x14ac:dyDescent="0.25">
      <c r="A1659" s="170">
        <v>44447</v>
      </c>
      <c r="B1659" s="116">
        <v>1025.895</v>
      </c>
      <c r="C1659" s="116">
        <v>993.83249999999998</v>
      </c>
      <c r="D1659" s="116">
        <v>989.18</v>
      </c>
      <c r="E1659" s="116">
        <v>1018.5</v>
      </c>
      <c r="F1659" s="116">
        <v>19876.650000000001</v>
      </c>
      <c r="G1659">
        <v>4485</v>
      </c>
      <c r="H1659" s="116"/>
      <c r="I1659" s="116"/>
      <c r="L1659" s="170">
        <v>44447</v>
      </c>
      <c r="M1659" s="116">
        <v>991.98</v>
      </c>
      <c r="N1659" s="116">
        <v>1026.5</v>
      </c>
      <c r="O1659" s="116">
        <v>989.25</v>
      </c>
      <c r="P1659" s="116">
        <v>1015</v>
      </c>
      <c r="Q1659" s="116">
        <v>19839.599999999999</v>
      </c>
      <c r="R1659">
        <v>172373</v>
      </c>
    </row>
    <row r="1660" spans="1:18" x14ac:dyDescent="0.25">
      <c r="A1660" s="170">
        <v>44448</v>
      </c>
      <c r="B1660" s="116">
        <v>1026.355</v>
      </c>
      <c r="C1660" s="116">
        <v>1021.9725</v>
      </c>
      <c r="D1660" s="116">
        <v>992.5</v>
      </c>
      <c r="E1660" s="116">
        <v>997</v>
      </c>
      <c r="F1660" s="116">
        <v>20439.45</v>
      </c>
      <c r="G1660">
        <v>8650</v>
      </c>
      <c r="H1660" s="116"/>
      <c r="I1660" s="116"/>
      <c r="L1660" s="170">
        <v>44448</v>
      </c>
      <c r="M1660" s="116">
        <v>1022.86</v>
      </c>
      <c r="N1660" s="116">
        <v>1026.25</v>
      </c>
      <c r="O1660" s="116">
        <v>992.02</v>
      </c>
      <c r="P1660" s="116">
        <v>995.5</v>
      </c>
      <c r="Q1660" s="116">
        <v>20457.2</v>
      </c>
      <c r="R1660">
        <v>110361</v>
      </c>
    </row>
    <row r="1661" spans="1:18" x14ac:dyDescent="0.25">
      <c r="A1661" s="170">
        <v>44452</v>
      </c>
      <c r="B1661" s="116">
        <v>1025.0125</v>
      </c>
      <c r="C1661" s="116">
        <v>1021.73</v>
      </c>
      <c r="D1661" s="116">
        <v>1012.19</v>
      </c>
      <c r="E1661" s="116">
        <v>1020</v>
      </c>
      <c r="F1661" s="116">
        <v>20434.599999999999</v>
      </c>
      <c r="G1661">
        <v>1203</v>
      </c>
      <c r="H1661" s="116"/>
      <c r="I1661" s="116"/>
      <c r="L1661" s="170">
        <v>44452</v>
      </c>
      <c r="M1661" s="116">
        <v>1022.6125</v>
      </c>
      <c r="N1661" s="116">
        <v>1025</v>
      </c>
      <c r="O1661" s="116">
        <v>1011.5</v>
      </c>
      <c r="P1661" s="116">
        <v>1015</v>
      </c>
      <c r="Q1661" s="116">
        <v>20452.25</v>
      </c>
      <c r="R1661">
        <v>37503</v>
      </c>
    </row>
    <row r="1662" spans="1:18" x14ac:dyDescent="0.25">
      <c r="A1662" s="170">
        <v>44453</v>
      </c>
      <c r="B1662" s="116">
        <v>1029.9974999999999</v>
      </c>
      <c r="C1662" s="116">
        <v>1011.61</v>
      </c>
      <c r="D1662" s="116">
        <v>1008.9425</v>
      </c>
      <c r="E1662" s="116">
        <v>1022.6</v>
      </c>
      <c r="F1662" s="116">
        <v>20232.2</v>
      </c>
      <c r="G1662">
        <v>1347</v>
      </c>
      <c r="H1662" s="116"/>
      <c r="I1662" s="116"/>
      <c r="L1662" s="170">
        <v>44453</v>
      </c>
      <c r="M1662" s="116">
        <v>1011.5225</v>
      </c>
      <c r="N1662" s="116">
        <v>1030.4575</v>
      </c>
      <c r="O1662" s="116">
        <v>1009</v>
      </c>
      <c r="P1662" s="116">
        <v>1022.5</v>
      </c>
      <c r="Q1662" s="116">
        <v>20230.45</v>
      </c>
      <c r="R1662">
        <v>59185</v>
      </c>
    </row>
    <row r="1663" spans="1:18" x14ac:dyDescent="0.25">
      <c r="A1663" s="170">
        <v>44454</v>
      </c>
      <c r="B1663" s="116">
        <v>1020</v>
      </c>
      <c r="C1663" s="116">
        <v>1005.91</v>
      </c>
      <c r="D1663" s="116">
        <v>1004.5</v>
      </c>
      <c r="E1663" s="116">
        <v>1020</v>
      </c>
      <c r="F1663" s="116">
        <v>20118.2</v>
      </c>
      <c r="G1663">
        <v>1239</v>
      </c>
      <c r="H1663" s="116"/>
      <c r="I1663" s="116"/>
      <c r="L1663" s="170">
        <v>44454</v>
      </c>
      <c r="M1663" s="116">
        <v>1005.96</v>
      </c>
      <c r="N1663" s="116">
        <v>1018.5</v>
      </c>
      <c r="O1663" s="116">
        <v>1004.395</v>
      </c>
      <c r="P1663" s="116">
        <v>1018.4924999999999</v>
      </c>
      <c r="Q1663" s="116">
        <v>20119.2</v>
      </c>
      <c r="R1663">
        <v>37606</v>
      </c>
    </row>
    <row r="1664" spans="1:18" x14ac:dyDescent="0.25">
      <c r="A1664" s="170">
        <v>44455</v>
      </c>
      <c r="B1664" s="116">
        <v>1012.9675</v>
      </c>
      <c r="C1664" s="116">
        <v>1002.1925</v>
      </c>
      <c r="D1664" s="116">
        <v>998.79250000000002</v>
      </c>
      <c r="E1664" s="116">
        <v>1012.9675</v>
      </c>
      <c r="F1664" s="116">
        <v>20043.849999999999</v>
      </c>
      <c r="G1664">
        <v>1697</v>
      </c>
      <c r="H1664" s="116"/>
      <c r="I1664" s="116"/>
      <c r="L1664" s="170">
        <v>44455</v>
      </c>
      <c r="M1664" s="116">
        <v>1001.3925</v>
      </c>
      <c r="N1664" s="116">
        <v>1012.085</v>
      </c>
      <c r="O1664" s="116">
        <v>998.5</v>
      </c>
      <c r="P1664" s="116">
        <v>1005.3025</v>
      </c>
      <c r="Q1664" s="116">
        <v>20027.849999999999</v>
      </c>
      <c r="R1664">
        <v>51265</v>
      </c>
    </row>
    <row r="1665" spans="1:18" x14ac:dyDescent="0.25">
      <c r="A1665" s="170">
        <v>44456</v>
      </c>
      <c r="B1665" s="116">
        <v>1014.3674999999999</v>
      </c>
      <c r="C1665" s="116">
        <v>1008.9725</v>
      </c>
      <c r="D1665" s="116">
        <v>1004.89</v>
      </c>
      <c r="E1665" s="116">
        <v>1012</v>
      </c>
      <c r="F1665" s="116">
        <v>20179.45</v>
      </c>
      <c r="G1665">
        <v>2696</v>
      </c>
      <c r="H1665" s="116"/>
      <c r="I1665" s="116"/>
      <c r="L1665" s="170">
        <v>44456</v>
      </c>
      <c r="M1665" s="116">
        <v>1008.785</v>
      </c>
      <c r="N1665" s="116">
        <v>1014.95</v>
      </c>
      <c r="O1665" s="116">
        <v>1005.0025000000001</v>
      </c>
      <c r="P1665" s="116">
        <v>1007.75</v>
      </c>
      <c r="Q1665" s="116">
        <v>20175.7</v>
      </c>
      <c r="R1665">
        <v>95129</v>
      </c>
    </row>
    <row r="1666" spans="1:18" x14ac:dyDescent="0.25">
      <c r="A1666" s="170">
        <v>44459</v>
      </c>
      <c r="B1666" s="116">
        <v>1019.495</v>
      </c>
      <c r="C1666" s="116">
        <v>1015.6025</v>
      </c>
      <c r="D1666" s="116">
        <v>1005.5025000000001</v>
      </c>
      <c r="E1666" s="116">
        <v>1009.95</v>
      </c>
      <c r="F1666" s="116">
        <v>20312.05</v>
      </c>
      <c r="G1666">
        <v>2192</v>
      </c>
      <c r="H1666" s="116"/>
      <c r="I1666" s="116"/>
      <c r="L1666" s="170">
        <v>44459</v>
      </c>
      <c r="M1666" s="116">
        <v>1016.13</v>
      </c>
      <c r="N1666" s="116">
        <v>1019.3</v>
      </c>
      <c r="O1666" s="116">
        <v>1005.05</v>
      </c>
      <c r="P1666" s="116">
        <v>1006.25</v>
      </c>
      <c r="Q1666" s="116">
        <v>20322.599999999999</v>
      </c>
      <c r="R1666">
        <v>91513</v>
      </c>
    </row>
    <row r="1667" spans="1:18" x14ac:dyDescent="0.25">
      <c r="A1667" s="170">
        <v>44460</v>
      </c>
      <c r="B1667" s="116">
        <v>1017.5</v>
      </c>
      <c r="C1667" s="116">
        <v>1007.6</v>
      </c>
      <c r="D1667" s="116">
        <v>1001.25</v>
      </c>
      <c r="E1667" s="116">
        <v>1017.5</v>
      </c>
      <c r="F1667" s="116">
        <v>20152</v>
      </c>
      <c r="G1667">
        <v>888</v>
      </c>
      <c r="H1667" s="116"/>
      <c r="I1667" s="116"/>
      <c r="L1667" s="170">
        <v>44460</v>
      </c>
      <c r="M1667" s="116">
        <v>1009.4775</v>
      </c>
      <c r="N1667" s="116">
        <v>1016.5</v>
      </c>
      <c r="O1667" s="116">
        <v>1000.1075</v>
      </c>
      <c r="P1667" s="116">
        <v>1010</v>
      </c>
      <c r="Q1667" s="116">
        <v>20189.55</v>
      </c>
      <c r="R1667">
        <v>108411</v>
      </c>
    </row>
    <row r="1668" spans="1:18" x14ac:dyDescent="0.25">
      <c r="A1668" s="170">
        <v>44461</v>
      </c>
      <c r="B1668" s="116">
        <v>1007.65</v>
      </c>
      <c r="C1668" s="116">
        <v>996.49</v>
      </c>
      <c r="D1668" s="116">
        <v>992.51750000000004</v>
      </c>
      <c r="E1668" s="116">
        <v>1007.65</v>
      </c>
      <c r="F1668" s="116">
        <v>19929.8</v>
      </c>
      <c r="G1668">
        <v>5499</v>
      </c>
      <c r="H1668" s="116"/>
      <c r="I1668" s="116"/>
      <c r="L1668" s="170">
        <v>44461</v>
      </c>
      <c r="M1668" s="116">
        <v>996.26</v>
      </c>
      <c r="N1668" s="116">
        <v>1008.6925</v>
      </c>
      <c r="O1668" s="116">
        <v>990.505</v>
      </c>
      <c r="P1668" s="116">
        <v>1008.6925</v>
      </c>
      <c r="Q1668" s="116">
        <v>19925.2</v>
      </c>
      <c r="R1668">
        <v>107523</v>
      </c>
    </row>
    <row r="1669" spans="1:18" x14ac:dyDescent="0.25">
      <c r="A1669" s="170">
        <v>44462</v>
      </c>
      <c r="B1669" s="116">
        <v>1006.4450000000001</v>
      </c>
      <c r="C1669" s="116">
        <v>992.08500000000004</v>
      </c>
      <c r="D1669" s="116">
        <v>990.75</v>
      </c>
      <c r="E1669" s="116">
        <v>1006.4450000000001</v>
      </c>
      <c r="F1669" s="116">
        <v>19841.7</v>
      </c>
      <c r="G1669">
        <v>33471</v>
      </c>
      <c r="H1669" s="116"/>
      <c r="I1669" s="116"/>
      <c r="L1669" s="170">
        <v>44462</v>
      </c>
      <c r="M1669" s="116">
        <v>991.95</v>
      </c>
      <c r="N1669" s="116">
        <v>1006.05</v>
      </c>
      <c r="O1669" s="116">
        <v>991</v>
      </c>
      <c r="P1669" s="116">
        <v>1000</v>
      </c>
      <c r="Q1669" s="116">
        <v>19839</v>
      </c>
      <c r="R1669">
        <v>53724</v>
      </c>
    </row>
    <row r="1670" spans="1:18" x14ac:dyDescent="0.25">
      <c r="A1670" s="170">
        <v>44463</v>
      </c>
      <c r="B1670" s="116">
        <v>998.99249999999995</v>
      </c>
      <c r="C1670" s="116">
        <v>994.6</v>
      </c>
      <c r="D1670" s="116">
        <v>989.54</v>
      </c>
      <c r="E1670" s="116">
        <v>992.75</v>
      </c>
      <c r="F1670" s="116">
        <v>19892</v>
      </c>
      <c r="G1670">
        <v>2694</v>
      </c>
      <c r="H1670" s="116"/>
      <c r="I1670" s="116"/>
      <c r="L1670" s="170">
        <v>44463</v>
      </c>
      <c r="M1670" s="116">
        <v>993.21249999999998</v>
      </c>
      <c r="N1670" s="116">
        <v>999</v>
      </c>
      <c r="O1670" s="116">
        <v>990</v>
      </c>
      <c r="P1670" s="116">
        <v>996.35</v>
      </c>
      <c r="Q1670" s="116">
        <v>19864.25</v>
      </c>
      <c r="R1670">
        <v>41894</v>
      </c>
    </row>
    <row r="1671" spans="1:18" x14ac:dyDescent="0.25">
      <c r="A1671" s="170">
        <v>44466</v>
      </c>
      <c r="B1671" s="116">
        <v>994.97500000000002</v>
      </c>
      <c r="C1671" s="116">
        <v>982.83500000000004</v>
      </c>
      <c r="D1671" s="116">
        <v>981</v>
      </c>
      <c r="E1671" s="116">
        <v>992.5</v>
      </c>
      <c r="F1671" s="116">
        <v>19656.7</v>
      </c>
      <c r="G1671">
        <v>3141</v>
      </c>
      <c r="H1671" s="116"/>
      <c r="I1671" s="116"/>
      <c r="L1671" s="170">
        <v>44466</v>
      </c>
      <c r="M1671" s="116">
        <v>982.11</v>
      </c>
      <c r="N1671" s="116">
        <v>995</v>
      </c>
      <c r="O1671" s="116">
        <v>980.05499999999995</v>
      </c>
      <c r="P1671" s="116">
        <v>995</v>
      </c>
      <c r="Q1671" s="116">
        <v>19642.2</v>
      </c>
      <c r="R1671">
        <v>45974</v>
      </c>
    </row>
    <row r="1672" spans="1:18" x14ac:dyDescent="0.25">
      <c r="A1672" s="170">
        <v>44467</v>
      </c>
      <c r="B1672" s="116">
        <v>985.71</v>
      </c>
      <c r="C1672" s="116">
        <v>977.75</v>
      </c>
      <c r="D1672" s="116">
        <v>974</v>
      </c>
      <c r="E1672" s="116">
        <v>984.85</v>
      </c>
      <c r="F1672" s="116">
        <v>19555</v>
      </c>
      <c r="G1672">
        <v>2073</v>
      </c>
      <c r="H1672" s="116"/>
      <c r="I1672" s="116"/>
      <c r="L1672" s="170">
        <v>44467</v>
      </c>
      <c r="M1672" s="116">
        <v>977.23749999999995</v>
      </c>
      <c r="N1672" s="116">
        <v>985.9325</v>
      </c>
      <c r="O1672" s="116">
        <v>972.95249999999999</v>
      </c>
      <c r="P1672" s="116">
        <v>984.5</v>
      </c>
      <c r="Q1672" s="116">
        <v>19544.75</v>
      </c>
      <c r="R1672">
        <v>57686</v>
      </c>
    </row>
    <row r="1673" spans="1:18" x14ac:dyDescent="0.25">
      <c r="A1673" s="170">
        <v>44468</v>
      </c>
      <c r="B1673" s="116">
        <v>985.21749999999997</v>
      </c>
      <c r="C1673" s="116">
        <v>973.62</v>
      </c>
      <c r="D1673" s="116">
        <v>971.20749999999998</v>
      </c>
      <c r="E1673" s="116">
        <v>974</v>
      </c>
      <c r="F1673" s="116">
        <v>19472.400000000001</v>
      </c>
      <c r="G1673">
        <v>4908</v>
      </c>
      <c r="H1673" s="116"/>
      <c r="I1673" s="116"/>
      <c r="L1673" s="170">
        <v>44468</v>
      </c>
      <c r="M1673" s="116">
        <v>975.33749999999998</v>
      </c>
      <c r="N1673" s="116">
        <v>985</v>
      </c>
      <c r="O1673" s="116">
        <v>971.08249999999998</v>
      </c>
      <c r="P1673" s="116">
        <v>977.23749999999995</v>
      </c>
      <c r="Q1673" s="116">
        <v>19506.75</v>
      </c>
      <c r="R1673">
        <v>46295</v>
      </c>
    </row>
    <row r="1674" spans="1:18" x14ac:dyDescent="0.25">
      <c r="A1674" s="170">
        <v>44469</v>
      </c>
      <c r="B1674" s="116">
        <v>980.94500000000005</v>
      </c>
      <c r="C1674" s="116">
        <v>972.53750000000002</v>
      </c>
      <c r="D1674" s="116">
        <v>966.01750000000004</v>
      </c>
      <c r="E1674" s="116">
        <v>980.94500000000005</v>
      </c>
      <c r="F1674" s="116">
        <v>19450.75</v>
      </c>
      <c r="G1674">
        <v>836</v>
      </c>
      <c r="H1674" s="116"/>
      <c r="I1674" s="116"/>
      <c r="L1674" s="170">
        <v>44469</v>
      </c>
      <c r="M1674" s="116">
        <v>972.27750000000003</v>
      </c>
      <c r="N1674" s="116">
        <v>979.49749999999995</v>
      </c>
      <c r="O1674" s="116">
        <v>965.8075</v>
      </c>
      <c r="P1674" s="116">
        <v>973.91499999999996</v>
      </c>
      <c r="Q1674" s="116">
        <v>19445.55</v>
      </c>
      <c r="R1674">
        <v>44373</v>
      </c>
    </row>
    <row r="1675" spans="1:18" x14ac:dyDescent="0.25">
      <c r="A1675" s="170">
        <v>44470</v>
      </c>
      <c r="B1675" s="116">
        <v>982.02250000000004</v>
      </c>
      <c r="C1675" s="116">
        <v>977.67499999999995</v>
      </c>
      <c r="D1675" s="116">
        <v>962.24249999999995</v>
      </c>
      <c r="E1675" s="116">
        <v>973.75</v>
      </c>
      <c r="F1675" s="116">
        <v>19553.5</v>
      </c>
      <c r="G1675">
        <v>1601</v>
      </c>
      <c r="H1675" s="116"/>
      <c r="I1675" s="116"/>
      <c r="L1675" s="170">
        <v>44470</v>
      </c>
      <c r="M1675" s="116">
        <v>977.49749999999995</v>
      </c>
      <c r="N1675" s="116">
        <v>982.24749999999995</v>
      </c>
      <c r="O1675" s="116">
        <v>962.60249999999996</v>
      </c>
      <c r="P1675" s="116">
        <v>972.25</v>
      </c>
      <c r="Q1675" s="116">
        <v>19549.95</v>
      </c>
      <c r="R1675">
        <v>39869</v>
      </c>
    </row>
    <row r="1676" spans="1:18" x14ac:dyDescent="0.25">
      <c r="A1676" s="170">
        <v>44473</v>
      </c>
      <c r="B1676" s="116">
        <v>982.255</v>
      </c>
      <c r="C1676" s="116">
        <v>974.72749999999996</v>
      </c>
      <c r="D1676" s="116">
        <v>969.94</v>
      </c>
      <c r="E1676" s="116">
        <v>977.495</v>
      </c>
      <c r="F1676" s="116">
        <v>19494.55</v>
      </c>
      <c r="G1676">
        <v>1782</v>
      </c>
      <c r="H1676" s="116"/>
      <c r="I1676" s="116"/>
      <c r="L1676" s="170">
        <v>44473</v>
      </c>
      <c r="M1676" s="116">
        <v>974.64750000000004</v>
      </c>
      <c r="N1676" s="116">
        <v>982.5</v>
      </c>
      <c r="O1676" s="116">
        <v>968.10249999999996</v>
      </c>
      <c r="P1676" s="116">
        <v>977.49749999999995</v>
      </c>
      <c r="Q1676" s="116">
        <v>19492.95</v>
      </c>
      <c r="R1676">
        <v>32796</v>
      </c>
    </row>
    <row r="1677" spans="1:18" x14ac:dyDescent="0.25">
      <c r="A1677" s="170">
        <v>44474</v>
      </c>
      <c r="B1677" s="116">
        <v>983.08249999999998</v>
      </c>
      <c r="C1677" s="116">
        <v>969.99249999999995</v>
      </c>
      <c r="D1677" s="116">
        <v>967.5</v>
      </c>
      <c r="E1677" s="116">
        <v>983.08249999999998</v>
      </c>
      <c r="F1677" s="116">
        <v>19399.849999999999</v>
      </c>
      <c r="G1677">
        <v>755</v>
      </c>
      <c r="H1677" s="116"/>
      <c r="I1677" s="116"/>
      <c r="L1677" s="170">
        <v>44474</v>
      </c>
      <c r="M1677" s="116">
        <v>969.77750000000003</v>
      </c>
      <c r="N1677" s="116">
        <v>979.35249999999996</v>
      </c>
      <c r="O1677" s="116">
        <v>967.24249999999995</v>
      </c>
      <c r="P1677" s="116">
        <v>975</v>
      </c>
      <c r="Q1677" s="116">
        <v>19395.55</v>
      </c>
      <c r="R1677">
        <v>27328</v>
      </c>
    </row>
    <row r="1678" spans="1:18" x14ac:dyDescent="0.25">
      <c r="A1678" s="170">
        <v>44475</v>
      </c>
      <c r="B1678" s="116">
        <v>980.99</v>
      </c>
      <c r="C1678" s="116">
        <v>958.59749999999997</v>
      </c>
      <c r="D1678" s="116">
        <v>954.00750000000005</v>
      </c>
      <c r="E1678" s="116">
        <v>969.99249999999995</v>
      </c>
      <c r="F1678" s="116">
        <v>19171.95</v>
      </c>
      <c r="G1678">
        <v>2508</v>
      </c>
      <c r="H1678" s="116"/>
      <c r="I1678" s="116"/>
      <c r="L1678" s="170">
        <v>44475</v>
      </c>
      <c r="M1678" s="116">
        <v>957.85749999999996</v>
      </c>
      <c r="N1678" s="116">
        <v>981.21249999999998</v>
      </c>
      <c r="O1678" s="116">
        <v>953.9</v>
      </c>
      <c r="P1678" s="116">
        <v>972.245</v>
      </c>
      <c r="Q1678" s="116">
        <v>19157.150000000001</v>
      </c>
      <c r="R1678">
        <v>72608</v>
      </c>
    </row>
    <row r="1679" spans="1:18" x14ac:dyDescent="0.25">
      <c r="A1679" s="170">
        <v>44476</v>
      </c>
      <c r="B1679" s="116">
        <v>964.92499999999995</v>
      </c>
      <c r="C1679" s="116">
        <v>952.48</v>
      </c>
      <c r="D1679" s="116">
        <v>949.9</v>
      </c>
      <c r="E1679" s="116">
        <v>960.05</v>
      </c>
      <c r="F1679" s="116">
        <v>19049.599999999999</v>
      </c>
      <c r="G1679">
        <v>2046</v>
      </c>
      <c r="H1679" s="116"/>
      <c r="I1679" s="116"/>
      <c r="L1679" s="170">
        <v>44476</v>
      </c>
      <c r="M1679" s="116">
        <v>952.28250000000003</v>
      </c>
      <c r="N1679" s="116">
        <v>965.21</v>
      </c>
      <c r="O1679" s="116">
        <v>947.76750000000004</v>
      </c>
      <c r="P1679" s="116">
        <v>960.04</v>
      </c>
      <c r="Q1679" s="116">
        <v>19045.650000000001</v>
      </c>
      <c r="R1679">
        <v>47695</v>
      </c>
    </row>
    <row r="1680" spans="1:18" x14ac:dyDescent="0.25">
      <c r="A1680" s="170">
        <v>44477</v>
      </c>
      <c r="B1680" s="116">
        <v>958.03499999999997</v>
      </c>
      <c r="C1680" s="116">
        <v>949.80250000000001</v>
      </c>
      <c r="D1680" s="116">
        <v>947.25</v>
      </c>
      <c r="E1680" s="116">
        <v>949.9</v>
      </c>
      <c r="F1680" s="116">
        <v>18996.05</v>
      </c>
      <c r="G1680">
        <v>2721</v>
      </c>
      <c r="H1680" s="116"/>
      <c r="I1680" s="116"/>
      <c r="L1680" s="170">
        <v>44477</v>
      </c>
      <c r="M1680" s="116">
        <v>949.32249999999999</v>
      </c>
      <c r="N1680" s="116">
        <v>958.99749999999995</v>
      </c>
      <c r="O1680" s="116">
        <v>946.87750000000005</v>
      </c>
      <c r="P1680" s="116">
        <v>952.75</v>
      </c>
      <c r="Q1680" s="116">
        <v>18986.45</v>
      </c>
      <c r="R1680">
        <v>87246</v>
      </c>
    </row>
    <row r="1681" spans="1:18" x14ac:dyDescent="0.25">
      <c r="A1681" s="170">
        <v>44480</v>
      </c>
      <c r="B1681" s="116">
        <v>959.89250000000004</v>
      </c>
      <c r="C1681" s="116">
        <v>953.64250000000004</v>
      </c>
      <c r="D1681" s="116">
        <v>949.95</v>
      </c>
      <c r="E1681" s="116">
        <v>949.95</v>
      </c>
      <c r="F1681" s="116">
        <v>19072.849999999999</v>
      </c>
      <c r="G1681">
        <v>34097</v>
      </c>
      <c r="H1681" s="116"/>
      <c r="I1681" s="116"/>
      <c r="L1681" s="170">
        <v>44480</v>
      </c>
      <c r="M1681" s="116">
        <v>954.23249999999996</v>
      </c>
      <c r="N1681" s="116">
        <v>959.77499999999998</v>
      </c>
      <c r="O1681" s="116">
        <v>950.13250000000005</v>
      </c>
      <c r="P1681" s="116">
        <v>951.05</v>
      </c>
      <c r="Q1681" s="116">
        <v>19084.650000000001</v>
      </c>
      <c r="R1681">
        <v>38802</v>
      </c>
    </row>
    <row r="1682" spans="1:18" x14ac:dyDescent="0.25">
      <c r="A1682" s="170">
        <v>44481</v>
      </c>
      <c r="B1682" s="116">
        <v>972.02</v>
      </c>
      <c r="C1682" s="116">
        <v>970.73249999999996</v>
      </c>
      <c r="D1682" s="116">
        <v>949.52499999999998</v>
      </c>
      <c r="E1682" s="116">
        <v>954.95</v>
      </c>
      <c r="F1682" s="116">
        <v>19414.650000000001</v>
      </c>
      <c r="G1682">
        <v>11039</v>
      </c>
      <c r="H1682" s="116"/>
      <c r="I1682" s="116"/>
      <c r="L1682" s="170">
        <v>44481</v>
      </c>
      <c r="M1682" s="116">
        <v>970.78499999999997</v>
      </c>
      <c r="N1682" s="116">
        <v>972.5</v>
      </c>
      <c r="O1682" s="116">
        <v>948.50250000000005</v>
      </c>
      <c r="P1682" s="116">
        <v>953.44500000000005</v>
      </c>
      <c r="Q1682" s="116">
        <v>19415.7</v>
      </c>
      <c r="R1682">
        <v>72249</v>
      </c>
    </row>
    <row r="1683" spans="1:18" x14ac:dyDescent="0.25">
      <c r="A1683" s="170">
        <v>44482</v>
      </c>
      <c r="B1683" s="116">
        <v>974</v>
      </c>
      <c r="C1683" s="116">
        <v>965.94</v>
      </c>
      <c r="D1683" s="116">
        <v>961.03250000000003</v>
      </c>
      <c r="E1683" s="116">
        <v>974</v>
      </c>
      <c r="F1683" s="116">
        <v>19318.8</v>
      </c>
      <c r="G1683">
        <v>8066</v>
      </c>
      <c r="H1683" s="116"/>
      <c r="I1683" s="116"/>
      <c r="L1683" s="170">
        <v>44482</v>
      </c>
      <c r="M1683" s="116">
        <v>966.03250000000003</v>
      </c>
      <c r="N1683" s="116">
        <v>980.25250000000005</v>
      </c>
      <c r="O1683" s="116">
        <v>961.30250000000001</v>
      </c>
      <c r="P1683" s="116">
        <v>975</v>
      </c>
      <c r="Q1683" s="116">
        <v>19320.650000000001</v>
      </c>
      <c r="R1683">
        <v>53925</v>
      </c>
    </row>
    <row r="1684" spans="1:18" x14ac:dyDescent="0.25">
      <c r="A1684" s="170">
        <v>44483</v>
      </c>
      <c r="B1684" s="116">
        <v>975</v>
      </c>
      <c r="C1684" s="116">
        <v>966.00750000000005</v>
      </c>
      <c r="D1684" s="116">
        <v>961.36500000000001</v>
      </c>
      <c r="E1684" s="116">
        <v>975</v>
      </c>
      <c r="F1684" s="116">
        <v>19320.150000000001</v>
      </c>
      <c r="G1684">
        <v>1134</v>
      </c>
      <c r="H1684" s="116"/>
      <c r="I1684" s="116"/>
      <c r="L1684" s="170">
        <v>44483</v>
      </c>
      <c r="M1684" s="116">
        <v>966.27</v>
      </c>
      <c r="N1684" s="116">
        <v>971.4375</v>
      </c>
      <c r="O1684" s="116">
        <v>961.25</v>
      </c>
      <c r="P1684" s="116">
        <v>969.7</v>
      </c>
      <c r="Q1684" s="116">
        <v>19325.400000000001</v>
      </c>
      <c r="R1684">
        <v>42190</v>
      </c>
    </row>
    <row r="1685" spans="1:18" x14ac:dyDescent="0.25">
      <c r="A1685" s="170">
        <v>44487</v>
      </c>
      <c r="B1685" s="116">
        <v>979.99749999999995</v>
      </c>
      <c r="C1685" s="116">
        <v>971.36249999999995</v>
      </c>
      <c r="D1685" s="116">
        <v>960.55</v>
      </c>
      <c r="E1685" s="116">
        <v>975.05250000000001</v>
      </c>
      <c r="F1685" s="116">
        <v>19427.25</v>
      </c>
      <c r="G1685">
        <v>2166</v>
      </c>
      <c r="H1685" s="116"/>
      <c r="I1685" s="116"/>
      <c r="L1685" s="170">
        <v>44487</v>
      </c>
      <c r="M1685" s="116">
        <v>971.92250000000001</v>
      </c>
      <c r="N1685" s="116">
        <v>980</v>
      </c>
      <c r="O1685" s="116">
        <v>961</v>
      </c>
      <c r="P1685" s="116">
        <v>980</v>
      </c>
      <c r="Q1685" s="116">
        <v>19438.45</v>
      </c>
      <c r="R1685">
        <v>56303</v>
      </c>
    </row>
    <row r="1686" spans="1:18" x14ac:dyDescent="0.25">
      <c r="A1686" s="170">
        <v>44488</v>
      </c>
      <c r="B1686" s="116">
        <v>986.67499999999995</v>
      </c>
      <c r="C1686" s="116">
        <v>968.875</v>
      </c>
      <c r="D1686" s="116">
        <v>964.27</v>
      </c>
      <c r="E1686" s="116">
        <v>977.23500000000001</v>
      </c>
      <c r="F1686" s="116">
        <v>19377.5</v>
      </c>
      <c r="G1686">
        <v>2424</v>
      </c>
      <c r="H1686" s="116"/>
      <c r="I1686" s="116"/>
      <c r="L1686" s="170">
        <v>44488</v>
      </c>
      <c r="M1686" s="116">
        <v>968.42250000000001</v>
      </c>
      <c r="N1686" s="116">
        <v>986.60249999999996</v>
      </c>
      <c r="O1686" s="116">
        <v>964.20249999999999</v>
      </c>
      <c r="P1686" s="116">
        <v>973.75</v>
      </c>
      <c r="Q1686" s="116">
        <v>19368.45</v>
      </c>
      <c r="R1686">
        <v>59302</v>
      </c>
    </row>
    <row r="1687" spans="1:18" x14ac:dyDescent="0.25">
      <c r="A1687" s="170">
        <v>44489</v>
      </c>
      <c r="B1687" s="116">
        <v>1010</v>
      </c>
      <c r="C1687" s="116">
        <v>963.68499999999995</v>
      </c>
      <c r="D1687" s="116">
        <v>952.72249999999997</v>
      </c>
      <c r="E1687" s="116">
        <v>974.95</v>
      </c>
      <c r="F1687" s="116">
        <v>19273.7</v>
      </c>
      <c r="G1687">
        <v>42939</v>
      </c>
      <c r="H1687" s="116"/>
      <c r="I1687" s="116"/>
      <c r="L1687" s="170">
        <v>44489</v>
      </c>
      <c r="M1687" s="116">
        <v>963.88250000000005</v>
      </c>
      <c r="N1687" s="116">
        <v>1010</v>
      </c>
      <c r="O1687" s="116">
        <v>952.52250000000004</v>
      </c>
      <c r="P1687" s="116">
        <v>965</v>
      </c>
      <c r="Q1687" s="116">
        <v>19277.650000000001</v>
      </c>
      <c r="R1687">
        <v>217769</v>
      </c>
    </row>
    <row r="1688" spans="1:18" x14ac:dyDescent="0.25">
      <c r="A1688" s="170">
        <v>44490</v>
      </c>
      <c r="B1688" s="116">
        <v>977.45</v>
      </c>
      <c r="C1688" s="116">
        <v>962.35749999999996</v>
      </c>
      <c r="D1688" s="116">
        <v>953.00750000000005</v>
      </c>
      <c r="E1688" s="116">
        <v>977.45</v>
      </c>
      <c r="F1688" s="116">
        <v>19247.150000000001</v>
      </c>
      <c r="G1688">
        <v>1369</v>
      </c>
      <c r="H1688" s="116"/>
      <c r="I1688" s="116"/>
      <c r="L1688" s="170">
        <v>44490</v>
      </c>
      <c r="M1688" s="116">
        <v>961.65750000000003</v>
      </c>
      <c r="N1688" s="116">
        <v>984</v>
      </c>
      <c r="O1688" s="116">
        <v>952.83500000000004</v>
      </c>
      <c r="P1688" s="116">
        <v>973</v>
      </c>
      <c r="Q1688" s="116">
        <v>19233.150000000001</v>
      </c>
      <c r="R1688">
        <v>75962</v>
      </c>
    </row>
    <row r="1689" spans="1:18" x14ac:dyDescent="0.25">
      <c r="A1689" s="170">
        <v>44491</v>
      </c>
      <c r="B1689" s="116">
        <v>972.25</v>
      </c>
      <c r="C1689" s="116">
        <v>950.49749999999995</v>
      </c>
      <c r="D1689" s="116">
        <v>942.5</v>
      </c>
      <c r="E1689" s="116">
        <v>972.25</v>
      </c>
      <c r="F1689" s="116">
        <v>19009.95</v>
      </c>
      <c r="G1689">
        <v>2928</v>
      </c>
      <c r="H1689" s="116"/>
      <c r="I1689" s="116"/>
      <c r="L1689" s="170">
        <v>44491</v>
      </c>
      <c r="M1689" s="116">
        <v>950.33500000000004</v>
      </c>
      <c r="N1689" s="116">
        <v>971.9</v>
      </c>
      <c r="O1689" s="116">
        <v>942.5</v>
      </c>
      <c r="P1689" s="116">
        <v>971.9</v>
      </c>
      <c r="Q1689" s="116">
        <v>19006.7</v>
      </c>
      <c r="R1689">
        <v>45515</v>
      </c>
    </row>
    <row r="1690" spans="1:18" x14ac:dyDescent="0.25">
      <c r="A1690" s="170">
        <v>44494</v>
      </c>
      <c r="B1690" s="116">
        <v>950.49749999999995</v>
      </c>
      <c r="C1690" s="116">
        <v>934.6</v>
      </c>
      <c r="D1690" s="116">
        <v>930.55</v>
      </c>
      <c r="E1690" s="116">
        <v>947.5</v>
      </c>
      <c r="F1690" s="116">
        <v>18692</v>
      </c>
      <c r="G1690">
        <v>3363</v>
      </c>
      <c r="H1690" s="116"/>
      <c r="I1690" s="116"/>
      <c r="L1690" s="170">
        <v>44494</v>
      </c>
      <c r="M1690" s="116">
        <v>934.8125</v>
      </c>
      <c r="N1690" s="116">
        <v>950.04750000000001</v>
      </c>
      <c r="O1690" s="116">
        <v>930.21749999999997</v>
      </c>
      <c r="P1690" s="116">
        <v>950</v>
      </c>
      <c r="Q1690" s="116">
        <v>18696.25</v>
      </c>
      <c r="R1690">
        <v>54146</v>
      </c>
    </row>
    <row r="1691" spans="1:18" x14ac:dyDescent="0.25">
      <c r="A1691" s="170">
        <v>44495</v>
      </c>
      <c r="B1691" s="116">
        <v>963.69</v>
      </c>
      <c r="C1691" s="116">
        <v>960.70500000000004</v>
      </c>
      <c r="D1691" s="116">
        <v>931.88499999999999</v>
      </c>
      <c r="E1691" s="116">
        <v>939.95</v>
      </c>
      <c r="F1691" s="116">
        <v>19214.099999999999</v>
      </c>
      <c r="G1691">
        <v>2139</v>
      </c>
      <c r="H1691" s="116"/>
      <c r="I1691" s="116"/>
      <c r="L1691" s="170">
        <v>44495</v>
      </c>
      <c r="M1691" s="116">
        <v>960.88</v>
      </c>
      <c r="N1691" s="116">
        <v>964</v>
      </c>
      <c r="O1691" s="116">
        <v>931.94749999999999</v>
      </c>
      <c r="P1691" s="116">
        <v>933.995</v>
      </c>
      <c r="Q1691" s="116">
        <v>19217.599999999999</v>
      </c>
      <c r="R1691">
        <v>106658</v>
      </c>
    </row>
    <row r="1692" spans="1:18" x14ac:dyDescent="0.25">
      <c r="A1692" s="170">
        <v>44496</v>
      </c>
      <c r="B1692" s="116">
        <v>970.75</v>
      </c>
      <c r="C1692" s="116">
        <v>950.20749999999998</v>
      </c>
      <c r="D1692" s="116">
        <v>945.57249999999999</v>
      </c>
      <c r="E1692" s="116">
        <v>960.9</v>
      </c>
      <c r="F1692" s="116">
        <v>19004.150000000001</v>
      </c>
      <c r="G1692">
        <v>1628</v>
      </c>
      <c r="H1692" s="116"/>
      <c r="I1692" s="116"/>
      <c r="L1692" s="170">
        <v>44496</v>
      </c>
      <c r="M1692" s="116">
        <v>950.23</v>
      </c>
      <c r="N1692" s="116">
        <v>971</v>
      </c>
      <c r="O1692" s="116">
        <v>945.57749999999999</v>
      </c>
      <c r="P1692" s="116">
        <v>959.86500000000001</v>
      </c>
      <c r="Q1692" s="116">
        <v>19004.599999999999</v>
      </c>
      <c r="R1692">
        <v>52882</v>
      </c>
    </row>
    <row r="1693" spans="1:18" x14ac:dyDescent="0.25">
      <c r="A1693" s="170">
        <v>44497</v>
      </c>
      <c r="B1693" s="116">
        <v>955</v>
      </c>
      <c r="C1693" s="116">
        <v>949.86749999999995</v>
      </c>
      <c r="D1693" s="116">
        <v>943.07249999999999</v>
      </c>
      <c r="E1693" s="116">
        <v>953.84500000000003</v>
      </c>
      <c r="F1693" s="116">
        <v>18997.349999999999</v>
      </c>
      <c r="G1693">
        <v>767</v>
      </c>
      <c r="H1693" s="116"/>
      <c r="I1693" s="116"/>
      <c r="L1693" s="170">
        <v>44497</v>
      </c>
      <c r="M1693" s="116">
        <v>949.57</v>
      </c>
      <c r="N1693" s="116">
        <v>955.92499999999995</v>
      </c>
      <c r="O1693" s="116">
        <v>942.67499999999995</v>
      </c>
      <c r="P1693" s="116">
        <v>950.5</v>
      </c>
      <c r="Q1693" s="116">
        <v>18991.400000000001</v>
      </c>
      <c r="R1693">
        <v>31450</v>
      </c>
    </row>
    <row r="1694" spans="1:18" x14ac:dyDescent="0.25">
      <c r="A1694" s="170">
        <v>44498</v>
      </c>
      <c r="B1694" s="116">
        <v>955.35249999999996</v>
      </c>
      <c r="C1694" s="116">
        <v>950.1</v>
      </c>
      <c r="D1694" s="116">
        <v>938.14</v>
      </c>
      <c r="E1694" s="116">
        <v>954.49749999999995</v>
      </c>
      <c r="F1694" s="116">
        <v>19002</v>
      </c>
      <c r="G1694">
        <v>2057</v>
      </c>
      <c r="H1694" s="116"/>
      <c r="I1694" s="116"/>
      <c r="L1694" s="170">
        <v>44498</v>
      </c>
      <c r="M1694" s="116">
        <v>950.00750000000005</v>
      </c>
      <c r="N1694" s="116">
        <v>960</v>
      </c>
      <c r="O1694" s="116">
        <v>937.90750000000003</v>
      </c>
      <c r="P1694" s="116">
        <v>950</v>
      </c>
      <c r="Q1694" s="116">
        <v>19000.150000000001</v>
      </c>
      <c r="R1694">
        <v>49275</v>
      </c>
    </row>
    <row r="1695" spans="1:18" x14ac:dyDescent="0.25">
      <c r="A1695" s="170">
        <v>44501</v>
      </c>
      <c r="B1695" s="116">
        <v>955</v>
      </c>
      <c r="C1695" s="116">
        <v>947.86249999999995</v>
      </c>
      <c r="D1695" s="116">
        <v>937.07749999999999</v>
      </c>
      <c r="E1695" s="116">
        <v>955</v>
      </c>
      <c r="F1695" s="116">
        <v>18957.25</v>
      </c>
      <c r="G1695">
        <v>1325</v>
      </c>
      <c r="H1695" s="116"/>
      <c r="I1695" s="116"/>
      <c r="L1695" s="170">
        <v>44501</v>
      </c>
      <c r="M1695" s="116">
        <v>946.98</v>
      </c>
      <c r="N1695" s="116">
        <v>954.94500000000005</v>
      </c>
      <c r="O1695" s="116">
        <v>936.79750000000001</v>
      </c>
      <c r="P1695" s="116">
        <v>954.94500000000005</v>
      </c>
      <c r="Q1695" s="116">
        <v>18939.599999999999</v>
      </c>
      <c r="R1695">
        <v>42571</v>
      </c>
    </row>
    <row r="1696" spans="1:18" x14ac:dyDescent="0.25">
      <c r="A1696" s="170">
        <v>44502</v>
      </c>
      <c r="B1696" s="116">
        <v>951.29</v>
      </c>
      <c r="C1696" s="116">
        <v>938.69</v>
      </c>
      <c r="D1696" s="116">
        <v>935.42750000000001</v>
      </c>
      <c r="E1696" s="116">
        <v>943.5</v>
      </c>
      <c r="F1696" s="116">
        <v>18773.8</v>
      </c>
      <c r="G1696">
        <v>1953</v>
      </c>
      <c r="H1696" s="116"/>
      <c r="I1696" s="116"/>
      <c r="L1696" s="170">
        <v>44502</v>
      </c>
      <c r="M1696" s="116">
        <v>938.69749999999999</v>
      </c>
      <c r="N1696" s="116">
        <v>951.70249999999999</v>
      </c>
      <c r="O1696" s="116">
        <v>931.97749999999996</v>
      </c>
      <c r="P1696" s="116">
        <v>945.05</v>
      </c>
      <c r="Q1696" s="116">
        <v>18773.95</v>
      </c>
      <c r="R1696">
        <v>34949</v>
      </c>
    </row>
    <row r="1697" spans="1:18" x14ac:dyDescent="0.25">
      <c r="A1697" s="170">
        <v>44503</v>
      </c>
      <c r="B1697" s="116">
        <v>944.5</v>
      </c>
      <c r="C1697" s="116">
        <v>936.36249999999995</v>
      </c>
      <c r="D1697" s="116">
        <v>928.45</v>
      </c>
      <c r="E1697" s="116">
        <v>944.5</v>
      </c>
      <c r="F1697" s="116">
        <v>18727.25</v>
      </c>
      <c r="G1697">
        <v>1557</v>
      </c>
      <c r="H1697" s="116"/>
      <c r="I1697" s="116"/>
      <c r="L1697" s="170">
        <v>44503</v>
      </c>
      <c r="M1697" s="116">
        <v>936.85749999999996</v>
      </c>
      <c r="N1697" s="116">
        <v>944.39750000000004</v>
      </c>
      <c r="O1697" s="116">
        <v>928.05</v>
      </c>
      <c r="P1697" s="116">
        <v>943</v>
      </c>
      <c r="Q1697" s="116">
        <v>18737.150000000001</v>
      </c>
      <c r="R1697">
        <v>44479</v>
      </c>
    </row>
    <row r="1698" spans="1:18" x14ac:dyDescent="0.25">
      <c r="A1698" s="170">
        <v>44504</v>
      </c>
      <c r="B1698" s="116">
        <v>947.37750000000005</v>
      </c>
      <c r="C1698" s="116">
        <v>944.79750000000001</v>
      </c>
      <c r="D1698" s="116">
        <v>942.5</v>
      </c>
      <c r="E1698" s="116">
        <v>945.72500000000002</v>
      </c>
      <c r="F1698" s="116">
        <v>18895.95</v>
      </c>
      <c r="G1698">
        <v>381</v>
      </c>
      <c r="H1698" s="116"/>
      <c r="I1698" s="116"/>
      <c r="L1698" s="170">
        <v>44504</v>
      </c>
      <c r="M1698" s="116">
        <v>944.46249999999998</v>
      </c>
      <c r="N1698" s="116">
        <v>947.45</v>
      </c>
      <c r="O1698" s="116">
        <v>940.59500000000003</v>
      </c>
      <c r="P1698" s="116">
        <v>945</v>
      </c>
      <c r="Q1698" s="116">
        <v>18889.25</v>
      </c>
      <c r="R1698">
        <v>6905</v>
      </c>
    </row>
    <row r="1699" spans="1:18" x14ac:dyDescent="0.25">
      <c r="A1699" s="170">
        <v>44508</v>
      </c>
      <c r="B1699" s="116">
        <v>954.27750000000003</v>
      </c>
      <c r="C1699" s="116">
        <v>952.51499999999999</v>
      </c>
      <c r="D1699" s="116">
        <v>933.90250000000003</v>
      </c>
      <c r="E1699" s="116">
        <v>948.5</v>
      </c>
      <c r="F1699" s="116">
        <v>19050.3</v>
      </c>
      <c r="G1699">
        <v>2052</v>
      </c>
      <c r="H1699" s="116"/>
      <c r="I1699" s="116"/>
      <c r="L1699" s="170">
        <v>44508</v>
      </c>
      <c r="M1699" s="116">
        <v>952.46249999999998</v>
      </c>
      <c r="N1699" s="116">
        <v>954.79750000000001</v>
      </c>
      <c r="O1699" s="116">
        <v>934</v>
      </c>
      <c r="P1699" s="116">
        <v>947.45</v>
      </c>
      <c r="Q1699" s="116">
        <v>19049.25</v>
      </c>
      <c r="R1699">
        <v>43312</v>
      </c>
    </row>
    <row r="1700" spans="1:18" x14ac:dyDescent="0.25">
      <c r="A1700" s="170">
        <v>44509</v>
      </c>
      <c r="B1700" s="116">
        <v>953.5</v>
      </c>
      <c r="C1700" s="116">
        <v>945.72749999999996</v>
      </c>
      <c r="D1700" s="116">
        <v>940.00250000000005</v>
      </c>
      <c r="E1700" s="116">
        <v>953.5</v>
      </c>
      <c r="F1700" s="116">
        <v>18914.55</v>
      </c>
      <c r="G1700">
        <v>1811</v>
      </c>
      <c r="H1700" s="116"/>
      <c r="I1700" s="116"/>
      <c r="L1700" s="170">
        <v>44509</v>
      </c>
      <c r="M1700" s="116">
        <v>947.03750000000002</v>
      </c>
      <c r="N1700" s="116">
        <v>952.25</v>
      </c>
      <c r="O1700" s="116">
        <v>940.05250000000001</v>
      </c>
      <c r="P1700" s="116">
        <v>950.84749999999997</v>
      </c>
      <c r="Q1700" s="116">
        <v>18940.75</v>
      </c>
      <c r="R1700">
        <v>43648</v>
      </c>
    </row>
    <row r="1701" spans="1:18" x14ac:dyDescent="0.25">
      <c r="A1701" s="170">
        <v>44510</v>
      </c>
      <c r="B1701" s="116">
        <v>951.53750000000002</v>
      </c>
      <c r="C1701" s="116">
        <v>947.72</v>
      </c>
      <c r="D1701" s="116">
        <v>940.17</v>
      </c>
      <c r="E1701" s="116">
        <v>947.00250000000005</v>
      </c>
      <c r="F1701" s="116">
        <v>18954.400000000001</v>
      </c>
      <c r="G1701">
        <v>808</v>
      </c>
      <c r="H1701" s="116"/>
      <c r="I1701" s="116"/>
      <c r="L1701" s="170">
        <v>44510</v>
      </c>
      <c r="M1701" s="116">
        <v>947.64499999999998</v>
      </c>
      <c r="N1701" s="116">
        <v>952.13</v>
      </c>
      <c r="O1701" s="116">
        <v>940</v>
      </c>
      <c r="P1701" s="116">
        <v>947.39499999999998</v>
      </c>
      <c r="Q1701" s="116">
        <v>18952.900000000001</v>
      </c>
      <c r="R1701">
        <v>38059</v>
      </c>
    </row>
    <row r="1702" spans="1:18" x14ac:dyDescent="0.25">
      <c r="A1702" s="170">
        <v>44511</v>
      </c>
      <c r="B1702" s="116">
        <v>947.45</v>
      </c>
      <c r="C1702" s="116">
        <v>944.03250000000003</v>
      </c>
      <c r="D1702" s="116">
        <v>933.70249999999999</v>
      </c>
      <c r="E1702" s="116">
        <v>947.45</v>
      </c>
      <c r="F1702" s="116">
        <v>18880.650000000001</v>
      </c>
      <c r="G1702">
        <v>1698</v>
      </c>
      <c r="H1702" s="116"/>
      <c r="I1702" s="116"/>
      <c r="L1702" s="170">
        <v>44511</v>
      </c>
      <c r="M1702" s="116">
        <v>942.7</v>
      </c>
      <c r="N1702" s="116">
        <v>947.5</v>
      </c>
      <c r="O1702" s="116">
        <v>933.50250000000005</v>
      </c>
      <c r="P1702" s="116">
        <v>947.5</v>
      </c>
      <c r="Q1702" s="116">
        <v>18854</v>
      </c>
      <c r="R1702">
        <v>41956</v>
      </c>
    </row>
    <row r="1703" spans="1:18" x14ac:dyDescent="0.25">
      <c r="A1703" s="170">
        <v>44512</v>
      </c>
      <c r="B1703" s="116">
        <v>962.5</v>
      </c>
      <c r="C1703" s="116">
        <v>956.73</v>
      </c>
      <c r="D1703" s="116">
        <v>940.86749999999995</v>
      </c>
      <c r="E1703" s="116">
        <v>940.86749999999995</v>
      </c>
      <c r="F1703" s="116">
        <v>19134.599999999999</v>
      </c>
      <c r="G1703">
        <v>2551</v>
      </c>
      <c r="H1703" s="116"/>
      <c r="I1703" s="116"/>
      <c r="L1703" s="170">
        <v>44512</v>
      </c>
      <c r="M1703" s="116">
        <v>957.12249999999995</v>
      </c>
      <c r="N1703" s="116">
        <v>962.96</v>
      </c>
      <c r="O1703" s="116">
        <v>943.04250000000002</v>
      </c>
      <c r="P1703" s="116">
        <v>947.5</v>
      </c>
      <c r="Q1703" s="116">
        <v>19142.45</v>
      </c>
      <c r="R1703">
        <v>66512</v>
      </c>
    </row>
    <row r="1704" spans="1:18" x14ac:dyDescent="0.25">
      <c r="A1704" s="170">
        <v>44515</v>
      </c>
      <c r="B1704" s="116">
        <v>974.94500000000005</v>
      </c>
      <c r="C1704" s="116">
        <v>971.26750000000004</v>
      </c>
      <c r="D1704" s="116">
        <v>954.45249999999999</v>
      </c>
      <c r="E1704" s="116">
        <v>960.54</v>
      </c>
      <c r="F1704" s="116">
        <v>19425.349999999999</v>
      </c>
      <c r="G1704">
        <v>3297</v>
      </c>
      <c r="H1704" s="116"/>
      <c r="I1704" s="116"/>
      <c r="L1704" s="170">
        <v>44515</v>
      </c>
      <c r="M1704" s="116">
        <v>973.83</v>
      </c>
      <c r="N1704" s="116">
        <v>974.95</v>
      </c>
      <c r="O1704" s="116">
        <v>953.49249999999995</v>
      </c>
      <c r="P1704" s="116">
        <v>960</v>
      </c>
      <c r="Q1704" s="116">
        <v>19476.599999999999</v>
      </c>
      <c r="R1704">
        <v>50833</v>
      </c>
    </row>
    <row r="1705" spans="1:18" x14ac:dyDescent="0.25">
      <c r="A1705" s="170">
        <v>44516</v>
      </c>
      <c r="B1705" s="116">
        <v>979.4375</v>
      </c>
      <c r="C1705" s="116">
        <v>973.15750000000003</v>
      </c>
      <c r="D1705" s="116">
        <v>966.58500000000004</v>
      </c>
      <c r="E1705" s="116">
        <v>967.60249999999996</v>
      </c>
      <c r="F1705" s="116">
        <v>19463.150000000001</v>
      </c>
      <c r="G1705">
        <v>998</v>
      </c>
      <c r="H1705" s="116"/>
      <c r="I1705" s="116"/>
      <c r="L1705" s="170">
        <v>44516</v>
      </c>
      <c r="M1705" s="116">
        <v>973.10500000000002</v>
      </c>
      <c r="N1705" s="116">
        <v>979.95</v>
      </c>
      <c r="O1705" s="116">
        <v>966.05</v>
      </c>
      <c r="P1705" s="116">
        <v>972.50750000000005</v>
      </c>
      <c r="Q1705" s="116">
        <v>19462.099999999999</v>
      </c>
      <c r="R1705">
        <v>46120</v>
      </c>
    </row>
    <row r="1706" spans="1:18" x14ac:dyDescent="0.25">
      <c r="A1706" s="170">
        <v>44517</v>
      </c>
      <c r="B1706" s="116">
        <v>978</v>
      </c>
      <c r="C1706" s="116">
        <v>973.11249999999995</v>
      </c>
      <c r="D1706" s="116">
        <v>968.56</v>
      </c>
      <c r="E1706" s="116">
        <v>970.17750000000001</v>
      </c>
      <c r="F1706" s="116">
        <v>19462.25</v>
      </c>
      <c r="G1706">
        <v>1126</v>
      </c>
      <c r="H1706" s="116"/>
      <c r="I1706" s="116"/>
      <c r="L1706" s="170">
        <v>44517</v>
      </c>
      <c r="M1706" s="116">
        <v>973.85249999999996</v>
      </c>
      <c r="N1706" s="116">
        <v>978.25</v>
      </c>
      <c r="O1706" s="116">
        <v>968.15</v>
      </c>
      <c r="P1706" s="116">
        <v>970.2</v>
      </c>
      <c r="Q1706" s="116">
        <v>19477.05</v>
      </c>
      <c r="R1706">
        <v>54276</v>
      </c>
    </row>
    <row r="1707" spans="1:18" x14ac:dyDescent="0.25">
      <c r="A1707" s="170">
        <v>44518</v>
      </c>
      <c r="B1707" s="116">
        <v>973.53499999999997</v>
      </c>
      <c r="C1707" s="116">
        <v>970.01</v>
      </c>
      <c r="D1707" s="116">
        <v>957.9</v>
      </c>
      <c r="E1707" s="116">
        <v>957.9</v>
      </c>
      <c r="F1707" s="116">
        <v>19400.2</v>
      </c>
      <c r="G1707">
        <v>767</v>
      </c>
      <c r="H1707" s="116"/>
      <c r="I1707" s="116"/>
      <c r="L1707" s="170">
        <v>44518</v>
      </c>
      <c r="M1707" s="116">
        <v>970.27499999999998</v>
      </c>
      <c r="N1707" s="116">
        <v>974.44</v>
      </c>
      <c r="O1707" s="116">
        <v>964.00250000000005</v>
      </c>
      <c r="P1707" s="116">
        <v>970</v>
      </c>
      <c r="Q1707" s="116">
        <v>19405.5</v>
      </c>
      <c r="R1707">
        <v>41607</v>
      </c>
    </row>
    <row r="1708" spans="1:18" x14ac:dyDescent="0.25">
      <c r="A1708" s="170">
        <v>44522</v>
      </c>
      <c r="B1708" s="116">
        <v>975</v>
      </c>
      <c r="C1708" s="116">
        <v>950.28499999999997</v>
      </c>
      <c r="D1708" s="116">
        <v>942.5</v>
      </c>
      <c r="E1708" s="116">
        <v>970</v>
      </c>
      <c r="F1708" s="116">
        <v>19005.7</v>
      </c>
      <c r="G1708">
        <v>1085</v>
      </c>
      <c r="H1708" s="116"/>
      <c r="I1708" s="116"/>
      <c r="L1708" s="170">
        <v>44522</v>
      </c>
      <c r="M1708" s="116">
        <v>949.76750000000004</v>
      </c>
      <c r="N1708" s="116">
        <v>978.29250000000002</v>
      </c>
      <c r="O1708" s="116">
        <v>941.625</v>
      </c>
      <c r="P1708" s="116">
        <v>970.67499999999995</v>
      </c>
      <c r="Q1708" s="116">
        <v>18995.349999999999</v>
      </c>
      <c r="R1708">
        <v>44138</v>
      </c>
    </row>
    <row r="1709" spans="1:18" x14ac:dyDescent="0.25">
      <c r="A1709" s="170">
        <v>44523</v>
      </c>
      <c r="B1709" s="116">
        <v>962.30250000000001</v>
      </c>
      <c r="C1709" s="116">
        <v>958.2</v>
      </c>
      <c r="D1709" s="116">
        <v>944.66250000000002</v>
      </c>
      <c r="E1709" s="116">
        <v>955</v>
      </c>
      <c r="F1709" s="116">
        <v>19164</v>
      </c>
      <c r="G1709">
        <v>1167</v>
      </c>
      <c r="H1709" s="116"/>
      <c r="I1709" s="116"/>
      <c r="L1709" s="170">
        <v>44523</v>
      </c>
      <c r="M1709" s="116">
        <v>959.07749999999999</v>
      </c>
      <c r="N1709" s="116">
        <v>962.32</v>
      </c>
      <c r="O1709" s="116">
        <v>945.23500000000001</v>
      </c>
      <c r="P1709" s="116">
        <v>949.8</v>
      </c>
      <c r="Q1709" s="116">
        <v>19181.55</v>
      </c>
      <c r="R1709">
        <v>36960</v>
      </c>
    </row>
    <row r="1710" spans="1:18" x14ac:dyDescent="0.25">
      <c r="A1710" s="170">
        <v>44524</v>
      </c>
      <c r="B1710" s="116">
        <v>975</v>
      </c>
      <c r="C1710" s="116">
        <v>955.27250000000004</v>
      </c>
      <c r="D1710" s="116">
        <v>947.39</v>
      </c>
      <c r="E1710" s="116">
        <v>955.25</v>
      </c>
      <c r="F1710" s="116">
        <v>19105.45</v>
      </c>
      <c r="G1710">
        <v>869</v>
      </c>
      <c r="H1710" s="116"/>
      <c r="I1710" s="116"/>
      <c r="L1710" s="170">
        <v>44524</v>
      </c>
      <c r="M1710" s="116">
        <v>954.34500000000003</v>
      </c>
      <c r="N1710" s="116">
        <v>964.5</v>
      </c>
      <c r="O1710" s="116">
        <v>947.5</v>
      </c>
      <c r="P1710" s="116">
        <v>960</v>
      </c>
      <c r="Q1710" s="116">
        <v>19086.900000000001</v>
      </c>
      <c r="R1710">
        <v>34355</v>
      </c>
    </row>
    <row r="1711" spans="1:18" x14ac:dyDescent="0.25">
      <c r="A1711" s="170">
        <v>44525</v>
      </c>
      <c r="B1711" s="116">
        <v>960.5575</v>
      </c>
      <c r="C1711" s="116">
        <v>959.41750000000002</v>
      </c>
      <c r="D1711" s="116">
        <v>946.25</v>
      </c>
      <c r="E1711" s="116">
        <v>947.66499999999996</v>
      </c>
      <c r="F1711" s="116">
        <v>19188.349999999999</v>
      </c>
      <c r="G1711">
        <v>1110</v>
      </c>
      <c r="H1711" s="116"/>
      <c r="I1711" s="116"/>
      <c r="L1711" s="170">
        <v>44525</v>
      </c>
      <c r="M1711" s="116">
        <v>958.90250000000003</v>
      </c>
      <c r="N1711" s="116">
        <v>960.5</v>
      </c>
      <c r="O1711" s="116">
        <v>945.28499999999997</v>
      </c>
      <c r="P1711" s="116">
        <v>954.25</v>
      </c>
      <c r="Q1711" s="116">
        <v>19178.05</v>
      </c>
      <c r="R1711">
        <v>29745</v>
      </c>
    </row>
    <row r="1712" spans="1:18" x14ac:dyDescent="0.25">
      <c r="A1712" s="170">
        <v>44526</v>
      </c>
      <c r="B1712" s="116">
        <v>971.5</v>
      </c>
      <c r="C1712" s="116">
        <v>960.51750000000004</v>
      </c>
      <c r="D1712" s="116">
        <v>949.35249999999996</v>
      </c>
      <c r="E1712" s="116">
        <v>957.45</v>
      </c>
      <c r="F1712" s="116">
        <v>19210.349999999999</v>
      </c>
      <c r="G1712">
        <v>4503</v>
      </c>
      <c r="H1712" s="116"/>
      <c r="I1712" s="116"/>
      <c r="L1712" s="170">
        <v>44526</v>
      </c>
      <c r="M1712" s="116">
        <v>961.11249999999995</v>
      </c>
      <c r="N1712" s="116">
        <v>971.70500000000004</v>
      </c>
      <c r="O1712" s="116">
        <v>949.125</v>
      </c>
      <c r="P1712" s="116">
        <v>957.4425</v>
      </c>
      <c r="Q1712" s="116">
        <v>19222.25</v>
      </c>
      <c r="R1712">
        <v>56441</v>
      </c>
    </row>
    <row r="1713" spans="1:18" x14ac:dyDescent="0.25">
      <c r="A1713" s="170">
        <v>44529</v>
      </c>
      <c r="B1713" s="116">
        <v>958.5</v>
      </c>
      <c r="C1713" s="116">
        <v>950.28750000000002</v>
      </c>
      <c r="D1713" s="116">
        <v>940.1</v>
      </c>
      <c r="E1713" s="116">
        <v>958.5</v>
      </c>
      <c r="F1713" s="116">
        <v>19005.75</v>
      </c>
      <c r="G1713">
        <v>1832</v>
      </c>
      <c r="H1713" s="116"/>
      <c r="I1713" s="116"/>
      <c r="L1713" s="170">
        <v>44529</v>
      </c>
      <c r="M1713" s="116">
        <v>950.02</v>
      </c>
      <c r="N1713" s="116">
        <v>958.11500000000001</v>
      </c>
      <c r="O1713" s="116">
        <v>940</v>
      </c>
      <c r="P1713" s="116">
        <v>952.5</v>
      </c>
      <c r="Q1713" s="116">
        <v>19000.400000000001</v>
      </c>
      <c r="R1713">
        <v>48107</v>
      </c>
    </row>
    <row r="1714" spans="1:18" x14ac:dyDescent="0.25">
      <c r="A1714" s="170">
        <v>44530</v>
      </c>
      <c r="B1714" s="116">
        <v>970.86249999999995</v>
      </c>
      <c r="C1714" s="116">
        <v>957.95500000000004</v>
      </c>
      <c r="D1714" s="116">
        <v>948.61</v>
      </c>
      <c r="E1714" s="116">
        <v>954.95</v>
      </c>
      <c r="F1714" s="116">
        <v>19159.099999999999</v>
      </c>
      <c r="G1714">
        <v>5073</v>
      </c>
      <c r="H1714" s="116"/>
      <c r="I1714" s="116"/>
      <c r="L1714" s="170">
        <v>44530</v>
      </c>
      <c r="M1714" s="116">
        <v>957.62750000000005</v>
      </c>
      <c r="N1714" s="116">
        <v>971.245</v>
      </c>
      <c r="O1714" s="116">
        <v>946.77250000000004</v>
      </c>
      <c r="P1714" s="116">
        <v>950.02</v>
      </c>
      <c r="Q1714" s="116">
        <v>19152.55</v>
      </c>
      <c r="R1714">
        <v>169780</v>
      </c>
    </row>
    <row r="1715" spans="1:18" x14ac:dyDescent="0.25">
      <c r="A1715" s="170">
        <v>44531</v>
      </c>
      <c r="B1715" s="116">
        <v>971.9</v>
      </c>
      <c r="C1715" s="116">
        <v>969.42499999999995</v>
      </c>
      <c r="D1715" s="116">
        <v>959.14</v>
      </c>
      <c r="E1715" s="116">
        <v>962.90250000000003</v>
      </c>
      <c r="F1715" s="116">
        <v>19388.5</v>
      </c>
      <c r="G1715">
        <v>1572</v>
      </c>
      <c r="H1715" s="116"/>
      <c r="I1715" s="116"/>
      <c r="L1715" s="170">
        <v>44531</v>
      </c>
      <c r="M1715" s="116">
        <v>969.89</v>
      </c>
      <c r="N1715" s="116">
        <v>972.495</v>
      </c>
      <c r="O1715" s="116">
        <v>958.09500000000003</v>
      </c>
      <c r="P1715" s="116">
        <v>960.5</v>
      </c>
      <c r="Q1715" s="116">
        <v>19397.8</v>
      </c>
      <c r="R1715">
        <v>54812</v>
      </c>
    </row>
    <row r="1716" spans="1:18" x14ac:dyDescent="0.25">
      <c r="A1716" s="170">
        <v>44532</v>
      </c>
      <c r="B1716" s="116">
        <v>982</v>
      </c>
      <c r="C1716" s="116">
        <v>975.19749999999999</v>
      </c>
      <c r="D1716" s="116">
        <v>961.50750000000005</v>
      </c>
      <c r="E1716" s="116">
        <v>972</v>
      </c>
      <c r="F1716" s="116">
        <v>19503.95</v>
      </c>
      <c r="G1716">
        <v>4892</v>
      </c>
      <c r="H1716" s="116"/>
      <c r="I1716" s="116"/>
      <c r="L1716" s="170">
        <v>44532</v>
      </c>
      <c r="M1716" s="116">
        <v>975.16</v>
      </c>
      <c r="N1716" s="116">
        <v>982.5</v>
      </c>
      <c r="O1716" s="116">
        <v>961.33749999999998</v>
      </c>
      <c r="P1716" s="116">
        <v>969.89</v>
      </c>
      <c r="Q1716" s="116">
        <v>19503.2</v>
      </c>
      <c r="R1716">
        <v>48600</v>
      </c>
    </row>
    <row r="1717" spans="1:18" x14ac:dyDescent="0.25">
      <c r="A1717" s="170">
        <v>44533</v>
      </c>
      <c r="B1717" s="116">
        <v>971.93</v>
      </c>
      <c r="C1717" s="116">
        <v>965.27</v>
      </c>
      <c r="D1717" s="116">
        <v>956.80499999999995</v>
      </c>
      <c r="E1717" s="116">
        <v>970</v>
      </c>
      <c r="F1717" s="116">
        <v>19305.400000000001</v>
      </c>
      <c r="G1717">
        <v>3084</v>
      </c>
      <c r="H1717" s="116"/>
      <c r="I1717" s="116"/>
      <c r="L1717" s="170">
        <v>44533</v>
      </c>
      <c r="M1717" s="116">
        <v>966.0675</v>
      </c>
      <c r="N1717" s="116">
        <v>974.94</v>
      </c>
      <c r="O1717" s="116">
        <v>956.85</v>
      </c>
      <c r="P1717" s="116">
        <v>970.11</v>
      </c>
      <c r="Q1717" s="116">
        <v>19321.349999999999</v>
      </c>
      <c r="R1717">
        <v>75448</v>
      </c>
    </row>
    <row r="1718" spans="1:18" x14ac:dyDescent="0.25">
      <c r="A1718" s="170">
        <v>44536</v>
      </c>
      <c r="B1718" s="116">
        <v>974</v>
      </c>
      <c r="C1718" s="116">
        <v>949.66</v>
      </c>
      <c r="D1718" s="116">
        <v>946.27250000000004</v>
      </c>
      <c r="E1718" s="116">
        <v>974</v>
      </c>
      <c r="F1718" s="116">
        <v>18993.2</v>
      </c>
      <c r="G1718">
        <v>1962</v>
      </c>
      <c r="H1718" s="116"/>
      <c r="I1718" s="116"/>
      <c r="L1718" s="170">
        <v>44536</v>
      </c>
      <c r="M1718" s="116">
        <v>950.82500000000005</v>
      </c>
      <c r="N1718" s="116">
        <v>970.78</v>
      </c>
      <c r="O1718" s="116">
        <v>946.45749999999998</v>
      </c>
      <c r="P1718" s="116">
        <v>970</v>
      </c>
      <c r="Q1718" s="116">
        <v>19016.5</v>
      </c>
      <c r="R1718">
        <v>34927</v>
      </c>
    </row>
    <row r="1719" spans="1:18" x14ac:dyDescent="0.25">
      <c r="A1719" s="170">
        <v>44537</v>
      </c>
      <c r="B1719" s="116">
        <v>971.5</v>
      </c>
      <c r="C1719" s="116">
        <v>966.80499999999995</v>
      </c>
      <c r="D1719" s="116">
        <v>948.60500000000002</v>
      </c>
      <c r="E1719" s="116">
        <v>960.33</v>
      </c>
      <c r="F1719" s="116">
        <v>19336.099999999999</v>
      </c>
      <c r="G1719">
        <v>10791</v>
      </c>
      <c r="H1719" s="116"/>
      <c r="I1719" s="116"/>
      <c r="L1719" s="170">
        <v>44537</v>
      </c>
      <c r="M1719" s="116">
        <v>967.21249999999998</v>
      </c>
      <c r="N1719" s="116">
        <v>972.1825</v>
      </c>
      <c r="O1719" s="116">
        <v>948.8</v>
      </c>
      <c r="P1719" s="116">
        <v>961.3</v>
      </c>
      <c r="Q1719" s="116">
        <v>19344.25</v>
      </c>
      <c r="R1719">
        <v>70429</v>
      </c>
    </row>
    <row r="1720" spans="1:18" x14ac:dyDescent="0.25">
      <c r="A1720" s="170">
        <v>44538</v>
      </c>
      <c r="B1720" s="116">
        <v>975.5</v>
      </c>
      <c r="C1720" s="116">
        <v>973.8075</v>
      </c>
      <c r="D1720" s="116">
        <v>965.53250000000003</v>
      </c>
      <c r="E1720" s="116">
        <v>967.98</v>
      </c>
      <c r="F1720" s="116">
        <v>19476.150000000001</v>
      </c>
      <c r="G1720">
        <v>5141</v>
      </c>
      <c r="H1720" s="116"/>
      <c r="I1720" s="116"/>
      <c r="L1720" s="170">
        <v>44538</v>
      </c>
      <c r="M1720" s="116">
        <v>973.95500000000004</v>
      </c>
      <c r="N1720" s="116">
        <v>976.24749999999995</v>
      </c>
      <c r="O1720" s="116">
        <v>961.25250000000005</v>
      </c>
      <c r="P1720" s="116">
        <v>961.25250000000005</v>
      </c>
      <c r="Q1720" s="116">
        <v>19479.099999999999</v>
      </c>
      <c r="R1720">
        <v>33578</v>
      </c>
    </row>
    <row r="1721" spans="1:18" x14ac:dyDescent="0.25">
      <c r="A1721" s="170">
        <v>44539</v>
      </c>
      <c r="B1721" s="116">
        <v>977.74749999999995</v>
      </c>
      <c r="C1721" s="116">
        <v>964.15</v>
      </c>
      <c r="D1721" s="116">
        <v>958.75</v>
      </c>
      <c r="E1721" s="116">
        <v>976.61749999999995</v>
      </c>
      <c r="F1721" s="116">
        <v>19283</v>
      </c>
      <c r="G1721">
        <v>1645</v>
      </c>
      <c r="H1721" s="116"/>
      <c r="I1721" s="116"/>
      <c r="L1721" s="170">
        <v>44539</v>
      </c>
      <c r="M1721" s="116">
        <v>964.23749999999995</v>
      </c>
      <c r="N1721" s="116">
        <v>977.45</v>
      </c>
      <c r="O1721" s="116">
        <v>958.12249999999995</v>
      </c>
      <c r="P1721" s="116">
        <v>975</v>
      </c>
      <c r="Q1721" s="116">
        <v>19284.75</v>
      </c>
      <c r="R1721">
        <v>40522</v>
      </c>
    </row>
    <row r="1722" spans="1:18" x14ac:dyDescent="0.25">
      <c r="A1722" s="170">
        <v>44540</v>
      </c>
      <c r="B1722" s="116">
        <v>965.62249999999995</v>
      </c>
      <c r="C1722" s="116">
        <v>963.67250000000001</v>
      </c>
      <c r="D1722" s="116">
        <v>951.95</v>
      </c>
      <c r="E1722" s="116">
        <v>964.94749999999999</v>
      </c>
      <c r="F1722" s="116">
        <v>19273.45</v>
      </c>
      <c r="G1722">
        <v>2918</v>
      </c>
      <c r="H1722" s="116"/>
      <c r="I1722" s="116"/>
      <c r="L1722" s="170">
        <v>44540</v>
      </c>
      <c r="M1722" s="116">
        <v>963.51250000000005</v>
      </c>
      <c r="N1722" s="116">
        <v>965.5</v>
      </c>
      <c r="O1722" s="116">
        <v>951.52250000000004</v>
      </c>
      <c r="P1722" s="116">
        <v>961.05</v>
      </c>
      <c r="Q1722" s="116">
        <v>19270.25</v>
      </c>
      <c r="R1722">
        <v>39449</v>
      </c>
    </row>
    <row r="1723" spans="1:18" x14ac:dyDescent="0.25">
      <c r="A1723" s="170">
        <v>44543</v>
      </c>
      <c r="B1723" s="116">
        <v>967.41499999999996</v>
      </c>
      <c r="C1723" s="116">
        <v>950.08749999999998</v>
      </c>
      <c r="D1723" s="116">
        <v>946.28</v>
      </c>
      <c r="E1723" s="116">
        <v>963</v>
      </c>
      <c r="F1723" s="116">
        <v>19001.75</v>
      </c>
      <c r="G1723">
        <v>2673</v>
      </c>
      <c r="H1723" s="116"/>
      <c r="I1723" s="116"/>
      <c r="L1723" s="170">
        <v>44543</v>
      </c>
      <c r="M1723" s="116">
        <v>949.1</v>
      </c>
      <c r="N1723" s="116">
        <v>967.47500000000002</v>
      </c>
      <c r="O1723" s="116">
        <v>946.2</v>
      </c>
      <c r="P1723" s="116">
        <v>961.01</v>
      </c>
      <c r="Q1723" s="116">
        <v>18982</v>
      </c>
      <c r="R1723">
        <v>54490</v>
      </c>
    </row>
    <row r="1724" spans="1:18" x14ac:dyDescent="0.25">
      <c r="A1724" s="170">
        <v>44544</v>
      </c>
      <c r="B1724" s="116">
        <v>965.70749999999998</v>
      </c>
      <c r="C1724" s="116">
        <v>959.89499999999998</v>
      </c>
      <c r="D1724" s="116">
        <v>946.25</v>
      </c>
      <c r="E1724" s="116">
        <v>946.3</v>
      </c>
      <c r="F1724" s="116">
        <v>19197.900000000001</v>
      </c>
      <c r="G1724">
        <v>1599</v>
      </c>
      <c r="H1724" s="116"/>
      <c r="I1724" s="116"/>
      <c r="L1724" s="170">
        <v>44544</v>
      </c>
      <c r="M1724" s="116">
        <v>961.94</v>
      </c>
      <c r="N1724" s="116">
        <v>966.14750000000004</v>
      </c>
      <c r="O1724" s="116">
        <v>945.67</v>
      </c>
      <c r="P1724" s="116">
        <v>947.65499999999997</v>
      </c>
      <c r="Q1724" s="116">
        <v>19238.8</v>
      </c>
      <c r="R1724">
        <v>69067</v>
      </c>
    </row>
    <row r="1725" spans="1:18" x14ac:dyDescent="0.25">
      <c r="A1725" s="170">
        <v>44545</v>
      </c>
      <c r="B1725" s="116">
        <v>965</v>
      </c>
      <c r="C1725" s="116">
        <v>957.5675</v>
      </c>
      <c r="D1725" s="116">
        <v>952.40499999999997</v>
      </c>
      <c r="E1725" s="116">
        <v>959.9</v>
      </c>
      <c r="F1725" s="116">
        <v>19151.349999999999</v>
      </c>
      <c r="G1725">
        <v>1027</v>
      </c>
      <c r="H1725" s="116"/>
      <c r="I1725" s="116"/>
      <c r="L1725" s="170">
        <v>44545</v>
      </c>
      <c r="M1725" s="116">
        <v>960.15499999999997</v>
      </c>
      <c r="N1725" s="116">
        <v>965.15499999999997</v>
      </c>
      <c r="O1725" s="116">
        <v>952.5</v>
      </c>
      <c r="P1725" s="116">
        <v>957.55250000000001</v>
      </c>
      <c r="Q1725" s="116">
        <v>19203.099999999999</v>
      </c>
      <c r="R1725">
        <v>64909</v>
      </c>
    </row>
    <row r="1726" spans="1:18" x14ac:dyDescent="0.25">
      <c r="A1726" s="170">
        <v>44546</v>
      </c>
      <c r="B1726" s="116">
        <v>966.45249999999999</v>
      </c>
      <c r="C1726" s="116">
        <v>963.43499999999995</v>
      </c>
      <c r="D1726" s="116">
        <v>956.47500000000002</v>
      </c>
      <c r="E1726" s="116">
        <v>957.5675</v>
      </c>
      <c r="F1726" s="116">
        <v>19268.7</v>
      </c>
      <c r="G1726">
        <v>943</v>
      </c>
      <c r="H1726" s="116"/>
      <c r="I1726" s="116"/>
      <c r="L1726" s="170">
        <v>44546</v>
      </c>
      <c r="M1726" s="116">
        <v>962.85749999999996</v>
      </c>
      <c r="N1726" s="116">
        <v>965.76750000000004</v>
      </c>
      <c r="O1726" s="116">
        <v>956.27</v>
      </c>
      <c r="P1726" s="116">
        <v>960.25</v>
      </c>
      <c r="Q1726" s="116">
        <v>19257.150000000001</v>
      </c>
      <c r="R1726">
        <v>40417</v>
      </c>
    </row>
    <row r="1727" spans="1:18" x14ac:dyDescent="0.25">
      <c r="A1727" s="170">
        <v>44547</v>
      </c>
      <c r="B1727" s="116">
        <v>961.3</v>
      </c>
      <c r="C1727" s="116">
        <v>952.77750000000003</v>
      </c>
      <c r="D1727" s="116">
        <v>950.05</v>
      </c>
      <c r="E1727" s="116">
        <v>954</v>
      </c>
      <c r="F1727" s="116">
        <v>19055.55</v>
      </c>
      <c r="G1727">
        <v>1531</v>
      </c>
      <c r="H1727" s="116"/>
      <c r="I1727" s="116"/>
      <c r="L1727" s="170">
        <v>44547</v>
      </c>
      <c r="M1727" s="116">
        <v>953.98249999999996</v>
      </c>
      <c r="N1727" s="116">
        <v>961.65250000000003</v>
      </c>
      <c r="O1727" s="116">
        <v>950</v>
      </c>
      <c r="P1727" s="116">
        <v>955.75250000000005</v>
      </c>
      <c r="Q1727" s="116">
        <v>19079.650000000001</v>
      </c>
      <c r="R1727">
        <v>54278</v>
      </c>
    </row>
    <row r="1728" spans="1:18" x14ac:dyDescent="0.25">
      <c r="A1728" s="170">
        <v>44550</v>
      </c>
      <c r="B1728" s="116">
        <v>962.7</v>
      </c>
      <c r="C1728" s="116">
        <v>944.68499999999995</v>
      </c>
      <c r="D1728" s="116">
        <v>930.31500000000005</v>
      </c>
      <c r="E1728" s="116">
        <v>953.74749999999995</v>
      </c>
      <c r="F1728" s="116">
        <v>18893.7</v>
      </c>
      <c r="G1728">
        <v>1988</v>
      </c>
      <c r="H1728" s="116"/>
      <c r="I1728" s="116"/>
      <c r="L1728" s="170">
        <v>44550</v>
      </c>
      <c r="M1728" s="116">
        <v>944.0625</v>
      </c>
      <c r="N1728" s="116">
        <v>953.41</v>
      </c>
      <c r="O1728" s="116">
        <v>930</v>
      </c>
      <c r="P1728" s="116">
        <v>950</v>
      </c>
      <c r="Q1728" s="116">
        <v>18881.25</v>
      </c>
      <c r="R1728">
        <v>71310</v>
      </c>
    </row>
    <row r="1729" spans="1:18" x14ac:dyDescent="0.25">
      <c r="A1729" s="170">
        <v>44551</v>
      </c>
      <c r="B1729" s="116">
        <v>963.57249999999999</v>
      </c>
      <c r="C1729" s="116">
        <v>961.38499999999999</v>
      </c>
      <c r="D1729" s="116">
        <v>945.13</v>
      </c>
      <c r="E1729" s="116">
        <v>954</v>
      </c>
      <c r="F1729" s="116">
        <v>19227.7</v>
      </c>
      <c r="G1729">
        <v>1359</v>
      </c>
      <c r="H1729" s="116"/>
      <c r="I1729" s="116"/>
      <c r="L1729" s="170">
        <v>44551</v>
      </c>
      <c r="M1729" s="116">
        <v>961.02499999999998</v>
      </c>
      <c r="N1729" s="116">
        <v>964.29750000000001</v>
      </c>
      <c r="O1729" s="116">
        <v>945.00250000000005</v>
      </c>
      <c r="P1729" s="116">
        <v>949.35</v>
      </c>
      <c r="Q1729" s="116">
        <v>19220.5</v>
      </c>
      <c r="R1729">
        <v>34678</v>
      </c>
    </row>
    <row r="1730" spans="1:18" x14ac:dyDescent="0.25">
      <c r="A1730" s="170">
        <v>44552</v>
      </c>
      <c r="B1730" s="116">
        <v>966.62</v>
      </c>
      <c r="C1730" s="116">
        <v>959.21749999999997</v>
      </c>
      <c r="D1730" s="116">
        <v>950.98749999999995</v>
      </c>
      <c r="E1730" s="116">
        <v>957.75</v>
      </c>
      <c r="F1730" s="116">
        <v>19184.349999999999</v>
      </c>
      <c r="G1730">
        <v>1482</v>
      </c>
      <c r="H1730" s="116"/>
      <c r="I1730" s="116"/>
      <c r="L1730" s="170">
        <v>44552</v>
      </c>
      <c r="M1730" s="116">
        <v>959.53</v>
      </c>
      <c r="N1730" s="116">
        <v>966.99749999999995</v>
      </c>
      <c r="O1730" s="116">
        <v>950.61500000000001</v>
      </c>
      <c r="P1730" s="116">
        <v>961.5</v>
      </c>
      <c r="Q1730" s="116">
        <v>19190.599999999999</v>
      </c>
      <c r="R1730">
        <v>36612</v>
      </c>
    </row>
    <row r="1731" spans="1:18" x14ac:dyDescent="0.25">
      <c r="A1731" s="170">
        <v>44553</v>
      </c>
      <c r="B1731" s="116">
        <v>964.80250000000001</v>
      </c>
      <c r="C1731" s="116">
        <v>960.35</v>
      </c>
      <c r="D1731" s="116">
        <v>957.91750000000002</v>
      </c>
      <c r="E1731" s="116">
        <v>961.89250000000004</v>
      </c>
      <c r="F1731" s="116">
        <v>19207</v>
      </c>
      <c r="G1731">
        <v>661</v>
      </c>
      <c r="H1731" s="116"/>
      <c r="I1731" s="116"/>
      <c r="L1731" s="170">
        <v>44553</v>
      </c>
      <c r="M1731" s="116">
        <v>960.42750000000001</v>
      </c>
      <c r="N1731" s="116">
        <v>964.99749999999995</v>
      </c>
      <c r="O1731" s="116">
        <v>957.75</v>
      </c>
      <c r="P1731" s="116">
        <v>964.75</v>
      </c>
      <c r="Q1731" s="116">
        <v>19208.55</v>
      </c>
      <c r="R1731">
        <v>47569</v>
      </c>
    </row>
    <row r="1732" spans="1:18" x14ac:dyDescent="0.25">
      <c r="A1732" s="170">
        <v>44554</v>
      </c>
      <c r="B1732" s="116">
        <v>971.25</v>
      </c>
      <c r="C1732" s="116">
        <v>960.90499999999997</v>
      </c>
      <c r="D1732" s="116">
        <v>958.53750000000002</v>
      </c>
      <c r="E1732" s="116">
        <v>960.7</v>
      </c>
      <c r="F1732" s="116">
        <v>19218.099999999999</v>
      </c>
      <c r="G1732">
        <v>1054</v>
      </c>
      <c r="H1732" s="116"/>
      <c r="I1732" s="116"/>
      <c r="L1732" s="170">
        <v>44554</v>
      </c>
      <c r="M1732" s="116">
        <v>961.21</v>
      </c>
      <c r="N1732" s="116">
        <v>971.70249999999999</v>
      </c>
      <c r="O1732" s="116">
        <v>958.55499999999995</v>
      </c>
      <c r="P1732" s="116">
        <v>960.42750000000001</v>
      </c>
      <c r="Q1732" s="116">
        <v>19224.2</v>
      </c>
      <c r="R1732">
        <v>34220</v>
      </c>
    </row>
    <row r="1733" spans="1:18" x14ac:dyDescent="0.25">
      <c r="A1733" s="170">
        <v>44557</v>
      </c>
      <c r="B1733" s="116">
        <v>969.26750000000004</v>
      </c>
      <c r="C1733" s="116">
        <v>965.28750000000002</v>
      </c>
      <c r="D1733" s="116">
        <v>955.34749999999997</v>
      </c>
      <c r="E1733" s="116">
        <v>960</v>
      </c>
      <c r="F1733" s="116">
        <v>19305.75</v>
      </c>
      <c r="G1733">
        <v>536</v>
      </c>
      <c r="H1733" s="116"/>
      <c r="I1733" s="116"/>
      <c r="L1733" s="170">
        <v>44557</v>
      </c>
      <c r="M1733" s="116">
        <v>965.11749999999995</v>
      </c>
      <c r="N1733" s="116">
        <v>970</v>
      </c>
      <c r="O1733" s="116">
        <v>954.97249999999997</v>
      </c>
      <c r="P1733" s="116">
        <v>959.3</v>
      </c>
      <c r="Q1733" s="116">
        <v>19302.349999999999</v>
      </c>
      <c r="R1733">
        <v>26588</v>
      </c>
    </row>
    <row r="1734" spans="1:18" x14ac:dyDescent="0.25">
      <c r="A1734" s="170">
        <v>44558</v>
      </c>
      <c r="B1734" s="116">
        <v>973.34749999999997</v>
      </c>
      <c r="C1734" s="116">
        <v>967.65499999999997</v>
      </c>
      <c r="D1734" s="116">
        <v>962.65250000000003</v>
      </c>
      <c r="E1734" s="116">
        <v>966.58</v>
      </c>
      <c r="F1734" s="116">
        <v>19353.099999999999</v>
      </c>
      <c r="G1734">
        <v>1060</v>
      </c>
      <c r="H1734" s="116"/>
      <c r="I1734" s="116"/>
      <c r="L1734" s="170">
        <v>44558</v>
      </c>
      <c r="M1734" s="116">
        <v>967.75</v>
      </c>
      <c r="N1734" s="116">
        <v>973.42750000000001</v>
      </c>
      <c r="O1734" s="116">
        <v>961.75</v>
      </c>
      <c r="P1734" s="116">
        <v>967.5</v>
      </c>
      <c r="Q1734" s="116">
        <v>19355</v>
      </c>
      <c r="R1734">
        <v>21049</v>
      </c>
    </row>
    <row r="1735" spans="1:18" x14ac:dyDescent="0.25">
      <c r="A1735" s="170">
        <v>44559</v>
      </c>
      <c r="B1735" s="116">
        <v>972.5</v>
      </c>
      <c r="C1735" s="116">
        <v>970.20249999999999</v>
      </c>
      <c r="D1735" s="116">
        <v>963.27499999999998</v>
      </c>
      <c r="E1735" s="116">
        <v>969.94749999999999</v>
      </c>
      <c r="F1735" s="116">
        <v>19404.05</v>
      </c>
      <c r="G1735">
        <v>2847</v>
      </c>
      <c r="H1735" s="116"/>
      <c r="I1735" s="116"/>
      <c r="L1735" s="170">
        <v>44559</v>
      </c>
      <c r="M1735" s="116">
        <v>969.98249999999996</v>
      </c>
      <c r="N1735" s="116">
        <v>972.55</v>
      </c>
      <c r="O1735" s="116">
        <v>962.57749999999999</v>
      </c>
      <c r="P1735" s="116">
        <v>967.75</v>
      </c>
      <c r="Q1735" s="116">
        <v>19399.650000000001</v>
      </c>
      <c r="R1735">
        <v>29269</v>
      </c>
    </row>
    <row r="1736" spans="1:18" x14ac:dyDescent="0.25">
      <c r="A1736" s="170">
        <v>44560</v>
      </c>
      <c r="B1736" s="116">
        <v>979.1</v>
      </c>
      <c r="C1736" s="116">
        <v>969.99249999999995</v>
      </c>
      <c r="D1736" s="116">
        <v>966.1875</v>
      </c>
      <c r="E1736" s="116">
        <v>970.25</v>
      </c>
      <c r="F1736" s="116">
        <v>19399.849999999999</v>
      </c>
      <c r="G1736">
        <v>1308</v>
      </c>
      <c r="H1736" s="116"/>
      <c r="I1736" s="116"/>
      <c r="L1736" s="170">
        <v>44560</v>
      </c>
      <c r="M1736" s="116">
        <v>970.32749999999999</v>
      </c>
      <c r="N1736" s="116">
        <v>979.25</v>
      </c>
      <c r="O1736" s="116">
        <v>966.16</v>
      </c>
      <c r="P1736" s="116">
        <v>969.5</v>
      </c>
      <c r="Q1736" s="116">
        <v>19406.55</v>
      </c>
      <c r="R1736">
        <v>39868</v>
      </c>
    </row>
    <row r="1737" spans="1:18" x14ac:dyDescent="0.25">
      <c r="A1737" s="170">
        <v>44561</v>
      </c>
      <c r="B1737" s="116">
        <v>989.75</v>
      </c>
      <c r="C1737" s="116">
        <v>985.42750000000001</v>
      </c>
      <c r="D1737" s="116">
        <v>968.08</v>
      </c>
      <c r="E1737" s="116">
        <v>970</v>
      </c>
      <c r="F1737" s="116">
        <v>19708.55</v>
      </c>
      <c r="G1737">
        <v>929</v>
      </c>
      <c r="H1737" s="116"/>
      <c r="I1737" s="116"/>
      <c r="L1737" s="170">
        <v>44561</v>
      </c>
      <c r="M1737" s="116">
        <v>985.28499999999997</v>
      </c>
      <c r="N1737" s="116">
        <v>990.74749999999995</v>
      </c>
      <c r="O1737" s="116">
        <v>967.51</v>
      </c>
      <c r="P1737" s="116">
        <v>968.75</v>
      </c>
      <c r="Q1737" s="116">
        <v>19705.7</v>
      </c>
      <c r="R1737">
        <v>39887</v>
      </c>
    </row>
    <row r="1738" spans="1:18" x14ac:dyDescent="0.25">
      <c r="A1738" s="170">
        <v>44564</v>
      </c>
      <c r="B1738" s="116">
        <v>990</v>
      </c>
      <c r="C1738" s="116">
        <v>983.55</v>
      </c>
      <c r="D1738" s="116">
        <v>980.05250000000001</v>
      </c>
      <c r="E1738" s="116">
        <v>980.05250000000001</v>
      </c>
      <c r="F1738" s="116">
        <v>19671</v>
      </c>
      <c r="G1738">
        <v>1563</v>
      </c>
      <c r="H1738" s="116"/>
      <c r="I1738" s="116"/>
      <c r="L1738" s="170">
        <v>44564</v>
      </c>
      <c r="M1738" s="116">
        <v>983.89750000000004</v>
      </c>
      <c r="N1738" s="116">
        <v>990.7</v>
      </c>
      <c r="O1738" s="116">
        <v>981.90250000000003</v>
      </c>
      <c r="P1738" s="116">
        <v>984.75</v>
      </c>
      <c r="Q1738" s="116">
        <v>19677.95</v>
      </c>
      <c r="R1738">
        <v>25869</v>
      </c>
    </row>
    <row r="1739" spans="1:18" x14ac:dyDescent="0.25">
      <c r="A1739" s="170">
        <v>44565</v>
      </c>
      <c r="B1739" s="116">
        <v>997</v>
      </c>
      <c r="C1739" s="116">
        <v>993.9375</v>
      </c>
      <c r="D1739" s="116">
        <v>982.24249999999995</v>
      </c>
      <c r="E1739" s="116">
        <v>984.99749999999995</v>
      </c>
      <c r="F1739" s="116">
        <v>19878.75</v>
      </c>
      <c r="G1739">
        <v>1057</v>
      </c>
      <c r="H1739" s="116"/>
      <c r="I1739" s="116"/>
      <c r="L1739" s="170">
        <v>44565</v>
      </c>
      <c r="M1739" s="116">
        <v>994.45249999999999</v>
      </c>
      <c r="N1739" s="116">
        <v>997.39</v>
      </c>
      <c r="O1739" s="116">
        <v>981.40250000000003</v>
      </c>
      <c r="P1739" s="116">
        <v>983.9</v>
      </c>
      <c r="Q1739" s="116">
        <v>19889.05</v>
      </c>
      <c r="R1739">
        <v>35034</v>
      </c>
    </row>
    <row r="1740" spans="1:18" x14ac:dyDescent="0.25">
      <c r="A1740" s="170">
        <v>44566</v>
      </c>
      <c r="B1740" s="116">
        <v>1001.25</v>
      </c>
      <c r="C1740" s="116">
        <v>996.255</v>
      </c>
      <c r="D1740" s="116">
        <v>993.36749999999995</v>
      </c>
      <c r="E1740" s="116">
        <v>999.95</v>
      </c>
      <c r="F1740" s="116">
        <v>19925.099999999999</v>
      </c>
      <c r="G1740">
        <v>664</v>
      </c>
      <c r="H1740" s="116"/>
      <c r="I1740" s="116"/>
      <c r="L1740" s="170">
        <v>44566</v>
      </c>
      <c r="M1740" s="116">
        <v>996.78750000000002</v>
      </c>
      <c r="N1740" s="116">
        <v>1001.25</v>
      </c>
      <c r="O1740" s="116">
        <v>991.45500000000004</v>
      </c>
      <c r="P1740" s="116">
        <v>993.7</v>
      </c>
      <c r="Q1740" s="116">
        <v>19935.75</v>
      </c>
      <c r="R1740">
        <v>32432</v>
      </c>
    </row>
    <row r="1741" spans="1:18" x14ac:dyDescent="0.25">
      <c r="A1741" s="170">
        <v>44567</v>
      </c>
      <c r="B1741" s="116">
        <v>995.52</v>
      </c>
      <c r="C1741" s="116">
        <v>982.375</v>
      </c>
      <c r="D1741" s="116">
        <v>977.37750000000005</v>
      </c>
      <c r="E1741" s="116">
        <v>992.19749999999999</v>
      </c>
      <c r="F1741" s="116">
        <v>19647.5</v>
      </c>
      <c r="G1741">
        <v>564</v>
      </c>
      <c r="H1741" s="116"/>
      <c r="I1741" s="116"/>
      <c r="L1741" s="170">
        <v>44567</v>
      </c>
      <c r="M1741" s="116">
        <v>982.37750000000005</v>
      </c>
      <c r="N1741" s="116">
        <v>996.78750000000002</v>
      </c>
      <c r="O1741" s="116">
        <v>976.75</v>
      </c>
      <c r="P1741" s="116">
        <v>987.505</v>
      </c>
      <c r="Q1741" s="116">
        <v>19647.55</v>
      </c>
      <c r="R1741">
        <v>30709</v>
      </c>
    </row>
    <row r="1742" spans="1:18" x14ac:dyDescent="0.25">
      <c r="A1742" s="170">
        <v>44568</v>
      </c>
      <c r="B1742" s="116">
        <v>997.66</v>
      </c>
      <c r="C1742" s="116">
        <v>996.17499999999995</v>
      </c>
      <c r="D1742" s="116">
        <v>979.8125</v>
      </c>
      <c r="E1742" s="116">
        <v>984</v>
      </c>
      <c r="F1742" s="116">
        <v>19923.5</v>
      </c>
      <c r="G1742">
        <v>1412</v>
      </c>
      <c r="H1742" s="116"/>
      <c r="I1742" s="116"/>
      <c r="L1742" s="170">
        <v>44568</v>
      </c>
      <c r="M1742" s="116">
        <v>995.14250000000004</v>
      </c>
      <c r="N1742" s="116">
        <v>998</v>
      </c>
      <c r="O1742" s="116">
        <v>979.35249999999996</v>
      </c>
      <c r="P1742" s="116">
        <v>982.52499999999998</v>
      </c>
      <c r="Q1742" s="116">
        <v>19902.849999999999</v>
      </c>
      <c r="R1742">
        <v>48983</v>
      </c>
    </row>
    <row r="1743" spans="1:18" x14ac:dyDescent="0.25">
      <c r="A1743" s="170">
        <v>44571</v>
      </c>
      <c r="B1743" s="116">
        <v>996.26750000000004</v>
      </c>
      <c r="C1743" s="116">
        <v>985.35249999999996</v>
      </c>
      <c r="D1743" s="116">
        <v>984.34</v>
      </c>
      <c r="E1743" s="116">
        <v>996.17499999999995</v>
      </c>
      <c r="F1743" s="116">
        <v>19707.05</v>
      </c>
      <c r="G1743">
        <v>1106</v>
      </c>
      <c r="H1743" s="116"/>
      <c r="I1743" s="116"/>
      <c r="L1743" s="170">
        <v>44571</v>
      </c>
      <c r="M1743" s="116">
        <v>985.4</v>
      </c>
      <c r="N1743" s="116">
        <v>998.44500000000005</v>
      </c>
      <c r="O1743" s="116">
        <v>983.95249999999999</v>
      </c>
      <c r="P1743" s="116">
        <v>995.15</v>
      </c>
      <c r="Q1743" s="116">
        <v>19708</v>
      </c>
      <c r="R1743">
        <v>20617</v>
      </c>
    </row>
    <row r="1744" spans="1:18" x14ac:dyDescent="0.25">
      <c r="A1744" s="170">
        <v>44572</v>
      </c>
      <c r="B1744" s="116">
        <v>991.12750000000005</v>
      </c>
      <c r="C1744" s="116">
        <v>988.81500000000005</v>
      </c>
      <c r="D1744" s="116">
        <v>980</v>
      </c>
      <c r="E1744" s="116">
        <v>980</v>
      </c>
      <c r="F1744" s="116">
        <v>19776.3</v>
      </c>
      <c r="G1744">
        <v>592</v>
      </c>
      <c r="H1744" s="116"/>
      <c r="I1744" s="116"/>
      <c r="L1744" s="170">
        <v>44572</v>
      </c>
      <c r="M1744" s="116">
        <v>988.09749999999997</v>
      </c>
      <c r="N1744" s="116">
        <v>991.25</v>
      </c>
      <c r="O1744" s="116">
        <v>977.5</v>
      </c>
      <c r="P1744" s="116">
        <v>977.5</v>
      </c>
      <c r="Q1744" s="116">
        <v>19761.95</v>
      </c>
      <c r="R1744">
        <v>31788</v>
      </c>
    </row>
    <row r="1745" spans="1:18" x14ac:dyDescent="0.25">
      <c r="A1745" s="170">
        <v>44573</v>
      </c>
      <c r="B1745" s="116">
        <v>992.16750000000002</v>
      </c>
      <c r="C1745" s="116">
        <v>985.00250000000005</v>
      </c>
      <c r="D1745" s="116">
        <v>982.77</v>
      </c>
      <c r="E1745" s="116">
        <v>988.875</v>
      </c>
      <c r="F1745" s="116">
        <v>19700.05</v>
      </c>
      <c r="G1745">
        <v>700</v>
      </c>
      <c r="H1745" s="116"/>
      <c r="I1745" s="116"/>
      <c r="L1745" s="170">
        <v>44573</v>
      </c>
      <c r="M1745" s="116">
        <v>985.35500000000002</v>
      </c>
      <c r="N1745" s="116">
        <v>992.5</v>
      </c>
      <c r="O1745" s="116">
        <v>983</v>
      </c>
      <c r="P1745" s="116">
        <v>992.5</v>
      </c>
      <c r="Q1745" s="116">
        <v>19707.099999999999</v>
      </c>
      <c r="R1745">
        <v>23711</v>
      </c>
    </row>
    <row r="1746" spans="1:18" x14ac:dyDescent="0.25">
      <c r="A1746" s="170">
        <v>44574</v>
      </c>
      <c r="B1746" s="116">
        <v>987.12</v>
      </c>
      <c r="C1746" s="116">
        <v>983.85</v>
      </c>
      <c r="D1746" s="116">
        <v>980.27250000000004</v>
      </c>
      <c r="E1746" s="116">
        <v>985.1</v>
      </c>
      <c r="F1746" s="116">
        <v>19677</v>
      </c>
      <c r="G1746">
        <v>634</v>
      </c>
      <c r="H1746" s="116"/>
      <c r="I1746" s="116"/>
      <c r="L1746" s="170">
        <v>44574</v>
      </c>
      <c r="M1746" s="116">
        <v>985.72</v>
      </c>
      <c r="N1746" s="116">
        <v>987.5</v>
      </c>
      <c r="O1746" s="116">
        <v>980</v>
      </c>
      <c r="P1746" s="116">
        <v>987.5</v>
      </c>
      <c r="Q1746" s="116">
        <v>19714.400000000001</v>
      </c>
      <c r="R1746">
        <v>35383</v>
      </c>
    </row>
    <row r="1747" spans="1:18" x14ac:dyDescent="0.25">
      <c r="A1747" s="170">
        <v>44575</v>
      </c>
      <c r="B1747" s="116">
        <v>987.86749999999995</v>
      </c>
      <c r="C1747" s="116">
        <v>970.47749999999996</v>
      </c>
      <c r="D1747" s="116">
        <v>963.62750000000005</v>
      </c>
      <c r="E1747" s="116">
        <v>987.86749999999995</v>
      </c>
      <c r="F1747" s="116">
        <v>19409.55</v>
      </c>
      <c r="G1747">
        <v>1241</v>
      </c>
      <c r="H1747" s="116"/>
      <c r="I1747" s="116"/>
      <c r="L1747" s="170">
        <v>44575</v>
      </c>
      <c r="M1747" s="116">
        <v>970.00750000000005</v>
      </c>
      <c r="N1747" s="116">
        <v>985.96749999999997</v>
      </c>
      <c r="O1747" s="116">
        <v>963.5</v>
      </c>
      <c r="P1747" s="116">
        <v>985.72</v>
      </c>
      <c r="Q1747" s="116">
        <v>19400.150000000001</v>
      </c>
      <c r="R1747">
        <v>37190</v>
      </c>
    </row>
    <row r="1748" spans="1:18" x14ac:dyDescent="0.25">
      <c r="A1748" s="170">
        <v>44578</v>
      </c>
      <c r="B1748" s="116">
        <v>976.23500000000001</v>
      </c>
      <c r="C1748" s="116">
        <v>966.44</v>
      </c>
      <c r="D1748" s="116">
        <v>956.39250000000004</v>
      </c>
      <c r="E1748" s="116">
        <v>970.5</v>
      </c>
      <c r="F1748" s="116">
        <v>19328.8</v>
      </c>
      <c r="G1748">
        <v>1573</v>
      </c>
      <c r="H1748" s="116"/>
      <c r="I1748" s="116"/>
      <c r="L1748" s="170">
        <v>44578</v>
      </c>
      <c r="M1748" s="116">
        <v>966.66</v>
      </c>
      <c r="N1748" s="116">
        <v>975.75</v>
      </c>
      <c r="O1748" s="116">
        <v>955.55499999999995</v>
      </c>
      <c r="P1748" s="116">
        <v>970</v>
      </c>
      <c r="Q1748" s="116">
        <v>19333.2</v>
      </c>
      <c r="R1748">
        <v>36403</v>
      </c>
    </row>
    <row r="1749" spans="1:18" x14ac:dyDescent="0.25">
      <c r="A1749" s="170">
        <v>44579</v>
      </c>
      <c r="B1749" s="116">
        <v>971.5</v>
      </c>
      <c r="C1749" s="116">
        <v>968.53750000000002</v>
      </c>
      <c r="D1749" s="116">
        <v>959.52750000000003</v>
      </c>
      <c r="E1749" s="116">
        <v>965</v>
      </c>
      <c r="F1749" s="116">
        <v>19370.75</v>
      </c>
      <c r="G1749">
        <v>759</v>
      </c>
      <c r="H1749" s="116"/>
      <c r="I1749" s="116"/>
      <c r="L1749" s="170">
        <v>44579</v>
      </c>
      <c r="M1749" s="116">
        <v>968.98</v>
      </c>
      <c r="N1749" s="116">
        <v>972.5</v>
      </c>
      <c r="O1749" s="116">
        <v>959.4</v>
      </c>
      <c r="P1749" s="116">
        <v>964.1</v>
      </c>
      <c r="Q1749" s="116">
        <v>19379.599999999999</v>
      </c>
      <c r="R1749">
        <v>36208</v>
      </c>
    </row>
    <row r="1750" spans="1:18" x14ac:dyDescent="0.25">
      <c r="A1750" s="170">
        <v>44580</v>
      </c>
      <c r="B1750" s="116">
        <v>971.28</v>
      </c>
      <c r="C1750" s="116">
        <v>945.16499999999996</v>
      </c>
      <c r="D1750" s="116">
        <v>933.55</v>
      </c>
      <c r="E1750" s="116">
        <v>968.45</v>
      </c>
      <c r="F1750" s="116">
        <v>18903.3</v>
      </c>
      <c r="G1750">
        <v>1509</v>
      </c>
      <c r="H1750" s="116"/>
      <c r="I1750" s="116"/>
      <c r="L1750" s="170">
        <v>44580</v>
      </c>
      <c r="M1750" s="116">
        <v>946.85</v>
      </c>
      <c r="N1750" s="116">
        <v>972.24749999999995</v>
      </c>
      <c r="O1750" s="116">
        <v>928.60500000000002</v>
      </c>
      <c r="P1750" s="116">
        <v>968.5</v>
      </c>
      <c r="Q1750" s="116">
        <v>18937</v>
      </c>
      <c r="R1750">
        <v>82383</v>
      </c>
    </row>
    <row r="1751" spans="1:18" x14ac:dyDescent="0.25">
      <c r="A1751" s="170">
        <v>44581</v>
      </c>
      <c r="B1751" s="116">
        <v>953.745</v>
      </c>
      <c r="C1751" s="116">
        <v>937.9375</v>
      </c>
      <c r="D1751" s="116">
        <v>930.92</v>
      </c>
      <c r="E1751" s="116">
        <v>946.58</v>
      </c>
      <c r="F1751" s="116">
        <v>18758.75</v>
      </c>
      <c r="G1751">
        <v>2171</v>
      </c>
      <c r="H1751" s="116"/>
      <c r="I1751" s="116"/>
      <c r="L1751" s="170">
        <v>44581</v>
      </c>
      <c r="M1751" s="116">
        <v>936.70500000000004</v>
      </c>
      <c r="N1751" s="116">
        <v>954</v>
      </c>
      <c r="O1751" s="116">
        <v>930.25250000000005</v>
      </c>
      <c r="P1751" s="116">
        <v>940</v>
      </c>
      <c r="Q1751" s="116">
        <v>18734.099999999999</v>
      </c>
      <c r="R1751">
        <v>79056</v>
      </c>
    </row>
    <row r="1752" spans="1:18" x14ac:dyDescent="0.25">
      <c r="A1752" s="170">
        <v>44582</v>
      </c>
      <c r="B1752" s="116">
        <v>952.02499999999998</v>
      </c>
      <c r="C1752" s="116">
        <v>947.92750000000001</v>
      </c>
      <c r="D1752" s="116">
        <v>931</v>
      </c>
      <c r="E1752" s="116">
        <v>937.5</v>
      </c>
      <c r="F1752" s="116">
        <v>18958.55</v>
      </c>
      <c r="G1752">
        <v>9857</v>
      </c>
      <c r="H1752" s="116"/>
      <c r="I1752" s="116"/>
      <c r="L1752" s="170">
        <v>44582</v>
      </c>
      <c r="M1752" s="116">
        <v>948.71249999999998</v>
      </c>
      <c r="N1752" s="116">
        <v>953.11249999999995</v>
      </c>
      <c r="O1752" s="116">
        <v>930.50250000000005</v>
      </c>
      <c r="P1752" s="116">
        <v>933</v>
      </c>
      <c r="Q1752" s="116">
        <v>18974.25</v>
      </c>
      <c r="R1752">
        <v>55241</v>
      </c>
    </row>
    <row r="1753" spans="1:18" x14ac:dyDescent="0.25">
      <c r="A1753" s="170">
        <v>44585</v>
      </c>
      <c r="B1753" s="116">
        <v>951.85249999999996</v>
      </c>
      <c r="C1753" s="116">
        <v>935.50750000000005</v>
      </c>
      <c r="D1753" s="116">
        <v>930.32500000000005</v>
      </c>
      <c r="E1753" s="116">
        <v>950</v>
      </c>
      <c r="F1753" s="116">
        <v>18710.150000000001</v>
      </c>
      <c r="G1753">
        <v>2273</v>
      </c>
      <c r="H1753" s="116"/>
      <c r="I1753" s="116"/>
      <c r="L1753" s="170">
        <v>44585</v>
      </c>
      <c r="M1753" s="116">
        <v>935.88750000000005</v>
      </c>
      <c r="N1753" s="116">
        <v>952</v>
      </c>
      <c r="O1753" s="116">
        <v>930</v>
      </c>
      <c r="P1753" s="116">
        <v>948.71249999999998</v>
      </c>
      <c r="Q1753" s="116">
        <v>18717.75</v>
      </c>
      <c r="R1753">
        <v>53437</v>
      </c>
    </row>
    <row r="1754" spans="1:18" x14ac:dyDescent="0.25">
      <c r="A1754" s="170">
        <v>44586</v>
      </c>
      <c r="B1754" s="116">
        <v>943.00250000000005</v>
      </c>
      <c r="C1754" s="116">
        <v>939.76250000000005</v>
      </c>
      <c r="D1754" s="116">
        <v>915.96249999999998</v>
      </c>
      <c r="E1754" s="116">
        <v>935.94749999999999</v>
      </c>
      <c r="F1754" s="116">
        <v>18795.25</v>
      </c>
      <c r="G1754">
        <v>1242</v>
      </c>
      <c r="H1754" s="116"/>
      <c r="I1754" s="116"/>
      <c r="L1754" s="170">
        <v>44586</v>
      </c>
      <c r="M1754" s="116">
        <v>939.53750000000002</v>
      </c>
      <c r="N1754" s="116">
        <v>944.20249999999999</v>
      </c>
      <c r="O1754" s="116">
        <v>915.64750000000004</v>
      </c>
      <c r="P1754" s="116">
        <v>928.65750000000003</v>
      </c>
      <c r="Q1754" s="116">
        <v>18790.75</v>
      </c>
      <c r="R1754">
        <v>57880</v>
      </c>
    </row>
    <row r="1755" spans="1:18" x14ac:dyDescent="0.25">
      <c r="A1755" s="170">
        <v>44588</v>
      </c>
      <c r="B1755" s="116">
        <v>929.08500000000004</v>
      </c>
      <c r="C1755" s="116">
        <v>919.59500000000003</v>
      </c>
      <c r="D1755" s="116">
        <v>911.20500000000004</v>
      </c>
      <c r="E1755" s="116">
        <v>921.00750000000005</v>
      </c>
      <c r="F1755" s="116">
        <v>18391.900000000001</v>
      </c>
      <c r="G1755">
        <v>2710</v>
      </c>
      <c r="H1755" s="116"/>
      <c r="I1755" s="116"/>
      <c r="L1755" s="170">
        <v>44588</v>
      </c>
      <c r="M1755" s="116">
        <v>919.27250000000004</v>
      </c>
      <c r="N1755" s="116">
        <v>939.5</v>
      </c>
      <c r="O1755" s="116">
        <v>910.88750000000005</v>
      </c>
      <c r="P1755" s="116">
        <v>927.5</v>
      </c>
      <c r="Q1755" s="116">
        <v>18385.45</v>
      </c>
      <c r="R1755">
        <v>54259</v>
      </c>
    </row>
    <row r="1756" spans="1:18" x14ac:dyDescent="0.25">
      <c r="A1756" s="170">
        <v>44589</v>
      </c>
      <c r="B1756" s="116">
        <v>932.5</v>
      </c>
      <c r="C1756" s="116">
        <v>918.84249999999997</v>
      </c>
      <c r="D1756" s="116">
        <v>916.53</v>
      </c>
      <c r="E1756" s="116">
        <v>920.5</v>
      </c>
      <c r="F1756" s="116">
        <v>18376.849999999999</v>
      </c>
      <c r="G1756">
        <v>1287</v>
      </c>
      <c r="H1756" s="116"/>
      <c r="I1756" s="116"/>
      <c r="L1756" s="170">
        <v>44589</v>
      </c>
      <c r="M1756" s="116">
        <v>919.22</v>
      </c>
      <c r="N1756" s="116">
        <v>932.45</v>
      </c>
      <c r="O1756" s="116">
        <v>916.41250000000002</v>
      </c>
      <c r="P1756" s="116">
        <v>920</v>
      </c>
      <c r="Q1756" s="116">
        <v>18384.400000000001</v>
      </c>
      <c r="R1756">
        <v>37423</v>
      </c>
    </row>
    <row r="1757" spans="1:18" x14ac:dyDescent="0.25">
      <c r="A1757" s="170">
        <v>44592</v>
      </c>
      <c r="B1757" s="116">
        <v>931.46500000000003</v>
      </c>
      <c r="C1757" s="116">
        <v>926.38250000000005</v>
      </c>
      <c r="D1757" s="116">
        <v>922</v>
      </c>
      <c r="E1757" s="116">
        <v>927.49749999999995</v>
      </c>
      <c r="F1757" s="116">
        <v>18527.650000000001</v>
      </c>
      <c r="G1757">
        <v>799</v>
      </c>
      <c r="H1757" s="116"/>
      <c r="I1757" s="116"/>
      <c r="L1757" s="170">
        <v>44592</v>
      </c>
      <c r="M1757" s="116">
        <v>926.07749999999999</v>
      </c>
      <c r="N1757" s="116">
        <v>931.995</v>
      </c>
      <c r="O1757" s="116">
        <v>921.4</v>
      </c>
      <c r="P1757" s="116">
        <v>921.4</v>
      </c>
      <c r="Q1757" s="116">
        <v>18521.55</v>
      </c>
      <c r="R1757">
        <v>29761</v>
      </c>
    </row>
    <row r="1758" spans="1:18" x14ac:dyDescent="0.25">
      <c r="A1758" s="170">
        <v>44593</v>
      </c>
      <c r="B1758" s="116">
        <v>938.53</v>
      </c>
      <c r="C1758" s="116">
        <v>933.14750000000004</v>
      </c>
      <c r="D1758" s="116">
        <v>921.14250000000004</v>
      </c>
      <c r="E1758" s="116">
        <v>936.24749999999995</v>
      </c>
      <c r="F1758" s="116">
        <v>18662.95</v>
      </c>
      <c r="G1758">
        <v>1219</v>
      </c>
      <c r="H1758" s="116"/>
      <c r="I1758" s="116"/>
      <c r="L1758" s="170">
        <v>44593</v>
      </c>
      <c r="M1758" s="116">
        <v>933.58500000000004</v>
      </c>
      <c r="N1758" s="116">
        <v>938.91</v>
      </c>
      <c r="O1758" s="116">
        <v>921.05</v>
      </c>
      <c r="P1758" s="116">
        <v>930</v>
      </c>
      <c r="Q1758" s="116">
        <v>18671.7</v>
      </c>
      <c r="R1758">
        <v>26791</v>
      </c>
    </row>
    <row r="1759" spans="1:18" x14ac:dyDescent="0.25">
      <c r="A1759" s="170">
        <v>44594</v>
      </c>
      <c r="B1759" s="116">
        <v>940.89</v>
      </c>
      <c r="C1759" s="116">
        <v>924.69749999999999</v>
      </c>
      <c r="D1759" s="116">
        <v>922.5</v>
      </c>
      <c r="E1759" s="116">
        <v>937.5</v>
      </c>
      <c r="F1759" s="116">
        <v>18493.95</v>
      </c>
      <c r="G1759">
        <v>1689</v>
      </c>
      <c r="H1759" s="116"/>
      <c r="I1759" s="116"/>
      <c r="L1759" s="170">
        <v>44594</v>
      </c>
      <c r="M1759" s="116">
        <v>925.03250000000003</v>
      </c>
      <c r="N1759" s="116">
        <v>942.5</v>
      </c>
      <c r="O1759" s="116">
        <v>922.03250000000003</v>
      </c>
      <c r="P1759" s="116">
        <v>941</v>
      </c>
      <c r="Q1759" s="116">
        <v>18500.650000000001</v>
      </c>
      <c r="R1759">
        <v>60416</v>
      </c>
    </row>
    <row r="1760" spans="1:18" x14ac:dyDescent="0.25">
      <c r="A1760" s="170">
        <v>44595</v>
      </c>
      <c r="B1760" s="116">
        <v>927.21249999999998</v>
      </c>
      <c r="C1760" s="116">
        <v>915.61500000000001</v>
      </c>
      <c r="D1760" s="116">
        <v>912.5</v>
      </c>
      <c r="E1760" s="116">
        <v>925</v>
      </c>
      <c r="F1760" s="116">
        <v>18312.3</v>
      </c>
      <c r="G1760">
        <v>1052</v>
      </c>
      <c r="H1760" s="116"/>
      <c r="I1760" s="116"/>
      <c r="L1760" s="170">
        <v>44595</v>
      </c>
      <c r="M1760" s="116">
        <v>915.33</v>
      </c>
      <c r="N1760" s="116">
        <v>928.98249999999996</v>
      </c>
      <c r="O1760" s="116">
        <v>913.05499999999995</v>
      </c>
      <c r="P1760" s="116">
        <v>921</v>
      </c>
      <c r="Q1760" s="116">
        <v>18306.599999999999</v>
      </c>
      <c r="R1760">
        <v>34354</v>
      </c>
    </row>
    <row r="1761" spans="1:18" x14ac:dyDescent="0.25">
      <c r="A1761" s="170">
        <v>44596</v>
      </c>
      <c r="B1761" s="116">
        <v>923.7</v>
      </c>
      <c r="C1761" s="116">
        <v>916.495</v>
      </c>
      <c r="D1761" s="116">
        <v>909.51750000000004</v>
      </c>
      <c r="E1761" s="116">
        <v>923.7</v>
      </c>
      <c r="F1761" s="116">
        <v>18329.900000000001</v>
      </c>
      <c r="G1761">
        <v>1345</v>
      </c>
      <c r="H1761" s="116"/>
      <c r="I1761" s="116"/>
      <c r="L1761" s="170">
        <v>44596</v>
      </c>
      <c r="M1761" s="116">
        <v>916.58249999999998</v>
      </c>
      <c r="N1761" s="116">
        <v>920</v>
      </c>
      <c r="O1761" s="116">
        <v>910.14</v>
      </c>
      <c r="P1761" s="116">
        <v>920</v>
      </c>
      <c r="Q1761" s="116">
        <v>18331.650000000001</v>
      </c>
      <c r="R1761">
        <v>44924</v>
      </c>
    </row>
    <row r="1762" spans="1:18" x14ac:dyDescent="0.25">
      <c r="A1762" s="170">
        <v>44599</v>
      </c>
      <c r="B1762" s="116">
        <v>922.49749999999995</v>
      </c>
      <c r="C1762" s="116">
        <v>904.59249999999997</v>
      </c>
      <c r="D1762" s="116">
        <v>895.50250000000005</v>
      </c>
      <c r="E1762" s="116">
        <v>922.49749999999995</v>
      </c>
      <c r="F1762" s="116">
        <v>18091.849999999999</v>
      </c>
      <c r="G1762">
        <v>2618</v>
      </c>
      <c r="H1762" s="116"/>
      <c r="I1762" s="116"/>
      <c r="L1762" s="170">
        <v>44599</v>
      </c>
      <c r="M1762" s="116">
        <v>903.63750000000005</v>
      </c>
      <c r="N1762" s="116">
        <v>921</v>
      </c>
      <c r="O1762" s="116">
        <v>895.55</v>
      </c>
      <c r="P1762" s="116">
        <v>916.58249999999998</v>
      </c>
      <c r="Q1762" s="116">
        <v>18072.75</v>
      </c>
      <c r="R1762">
        <v>48469</v>
      </c>
    </row>
    <row r="1763" spans="1:18" x14ac:dyDescent="0.25">
      <c r="A1763" s="170">
        <v>44600</v>
      </c>
      <c r="B1763" s="116">
        <v>906.74749999999995</v>
      </c>
      <c r="C1763" s="116">
        <v>904.11749999999995</v>
      </c>
      <c r="D1763" s="116">
        <v>899.37750000000005</v>
      </c>
      <c r="E1763" s="116">
        <v>905.005</v>
      </c>
      <c r="F1763" s="116">
        <v>18082.349999999999</v>
      </c>
      <c r="G1763">
        <v>1077</v>
      </c>
      <c r="H1763" s="116"/>
      <c r="I1763" s="116"/>
      <c r="L1763" s="170">
        <v>44600</v>
      </c>
      <c r="M1763" s="116">
        <v>904.35749999999996</v>
      </c>
      <c r="N1763" s="116">
        <v>910.71249999999998</v>
      </c>
      <c r="O1763" s="116">
        <v>899.5</v>
      </c>
      <c r="P1763" s="116">
        <v>910.25</v>
      </c>
      <c r="Q1763" s="116">
        <v>18087.150000000001</v>
      </c>
      <c r="R1763">
        <v>39385</v>
      </c>
    </row>
    <row r="1764" spans="1:18" x14ac:dyDescent="0.25">
      <c r="A1764" s="170">
        <v>44601</v>
      </c>
      <c r="B1764" s="116">
        <v>911.61500000000001</v>
      </c>
      <c r="C1764" s="116">
        <v>906.35</v>
      </c>
      <c r="D1764" s="116">
        <v>901.74749999999995</v>
      </c>
      <c r="E1764" s="116">
        <v>906.74249999999995</v>
      </c>
      <c r="F1764" s="116">
        <v>18127</v>
      </c>
      <c r="G1764">
        <v>961</v>
      </c>
      <c r="H1764" s="116"/>
      <c r="I1764" s="116"/>
      <c r="L1764" s="170">
        <v>44601</v>
      </c>
      <c r="M1764" s="116">
        <v>906.75250000000005</v>
      </c>
      <c r="N1764" s="116">
        <v>911.85749999999996</v>
      </c>
      <c r="O1764" s="116">
        <v>901.07249999999999</v>
      </c>
      <c r="P1764" s="116">
        <v>904.5</v>
      </c>
      <c r="Q1764" s="116">
        <v>18135.05</v>
      </c>
      <c r="R1764">
        <v>48243</v>
      </c>
    </row>
    <row r="1765" spans="1:18" x14ac:dyDescent="0.25">
      <c r="A1765" s="170">
        <v>44602</v>
      </c>
      <c r="B1765" s="116">
        <v>910</v>
      </c>
      <c r="C1765" s="116">
        <v>904.91499999999996</v>
      </c>
      <c r="D1765" s="116">
        <v>900.90250000000003</v>
      </c>
      <c r="E1765" s="116">
        <v>907</v>
      </c>
      <c r="F1765" s="116">
        <v>18098.3</v>
      </c>
      <c r="G1765">
        <v>576</v>
      </c>
      <c r="H1765" s="116"/>
      <c r="I1765" s="116"/>
      <c r="L1765" s="170">
        <v>44602</v>
      </c>
      <c r="M1765" s="116">
        <v>906.99249999999995</v>
      </c>
      <c r="N1765" s="116">
        <v>910.64499999999998</v>
      </c>
      <c r="O1765" s="116">
        <v>900.5</v>
      </c>
      <c r="P1765" s="116">
        <v>905.05</v>
      </c>
      <c r="Q1765" s="116">
        <v>18139.849999999999</v>
      </c>
      <c r="R1765">
        <v>50422</v>
      </c>
    </row>
    <row r="1766" spans="1:18" x14ac:dyDescent="0.25">
      <c r="A1766" s="170">
        <v>44603</v>
      </c>
      <c r="B1766" s="116">
        <v>906</v>
      </c>
      <c r="C1766" s="116">
        <v>890.76</v>
      </c>
      <c r="D1766" s="116">
        <v>881.5</v>
      </c>
      <c r="E1766" s="116">
        <v>902.93</v>
      </c>
      <c r="F1766" s="116">
        <v>17815.2</v>
      </c>
      <c r="G1766">
        <v>2313</v>
      </c>
      <c r="H1766" s="116"/>
      <c r="I1766" s="116"/>
      <c r="L1766" s="170">
        <v>44603</v>
      </c>
      <c r="M1766" s="116">
        <v>890.76</v>
      </c>
      <c r="N1766" s="116">
        <v>906.75</v>
      </c>
      <c r="O1766" s="116">
        <v>881</v>
      </c>
      <c r="P1766" s="116">
        <v>906.75</v>
      </c>
      <c r="Q1766" s="116">
        <v>17815.2</v>
      </c>
      <c r="R1766">
        <v>95980</v>
      </c>
    </row>
    <row r="1767" spans="1:18" x14ac:dyDescent="0.25">
      <c r="A1767" s="170">
        <v>44606</v>
      </c>
      <c r="B1767" s="116">
        <v>890.26750000000004</v>
      </c>
      <c r="C1767" s="116">
        <v>883.1875</v>
      </c>
      <c r="D1767" s="116">
        <v>871.22249999999997</v>
      </c>
      <c r="E1767" s="116">
        <v>877.50250000000005</v>
      </c>
      <c r="F1767" s="116">
        <v>17663.75</v>
      </c>
      <c r="G1767">
        <v>2661</v>
      </c>
      <c r="H1767" s="116"/>
      <c r="I1767" s="116"/>
      <c r="L1767" s="170">
        <v>44606</v>
      </c>
      <c r="M1767" s="116">
        <v>883.51250000000005</v>
      </c>
      <c r="N1767" s="116">
        <v>890.01250000000005</v>
      </c>
      <c r="O1767" s="116">
        <v>871.49</v>
      </c>
      <c r="P1767" s="116">
        <v>885.8</v>
      </c>
      <c r="Q1767" s="116">
        <v>17670.25</v>
      </c>
      <c r="R1767">
        <v>42917</v>
      </c>
    </row>
    <row r="1768" spans="1:18" x14ac:dyDescent="0.25">
      <c r="A1768" s="170">
        <v>44607</v>
      </c>
      <c r="B1768" s="116">
        <v>915.78250000000003</v>
      </c>
      <c r="C1768" s="116">
        <v>909.05</v>
      </c>
      <c r="D1768" s="116">
        <v>878.52750000000003</v>
      </c>
      <c r="E1768" s="116">
        <v>883.1875</v>
      </c>
      <c r="F1768" s="116">
        <v>18181</v>
      </c>
      <c r="G1768">
        <v>2150</v>
      </c>
      <c r="H1768" s="116"/>
      <c r="I1768" s="116"/>
      <c r="L1768" s="170">
        <v>44607</v>
      </c>
      <c r="M1768" s="116">
        <v>909.35500000000002</v>
      </c>
      <c r="N1768" s="116">
        <v>916.16250000000002</v>
      </c>
      <c r="O1768" s="116">
        <v>878.57249999999999</v>
      </c>
      <c r="P1768" s="116">
        <v>883.51250000000005</v>
      </c>
      <c r="Q1768" s="116">
        <v>18187.099999999999</v>
      </c>
      <c r="R1768">
        <v>50170</v>
      </c>
    </row>
    <row r="1769" spans="1:18" x14ac:dyDescent="0.25">
      <c r="A1769" s="170">
        <v>44608</v>
      </c>
      <c r="B1769" s="116">
        <v>919.90750000000003</v>
      </c>
      <c r="C1769" s="116">
        <v>912.21749999999997</v>
      </c>
      <c r="D1769" s="116">
        <v>902.42499999999995</v>
      </c>
      <c r="E1769" s="116">
        <v>909.4</v>
      </c>
      <c r="F1769" s="116">
        <v>18244.349999999999</v>
      </c>
      <c r="G1769">
        <v>875</v>
      </c>
      <c r="H1769" s="116"/>
      <c r="I1769" s="116"/>
      <c r="L1769" s="170">
        <v>44608</v>
      </c>
      <c r="M1769" s="116">
        <v>911.19</v>
      </c>
      <c r="N1769" s="116">
        <v>919.87</v>
      </c>
      <c r="O1769" s="116">
        <v>901.67499999999995</v>
      </c>
      <c r="P1769" s="116">
        <v>908.35</v>
      </c>
      <c r="Q1769" s="116">
        <v>18223.8</v>
      </c>
      <c r="R1769">
        <v>40410</v>
      </c>
    </row>
    <row r="1770" spans="1:18" x14ac:dyDescent="0.25">
      <c r="A1770" s="170">
        <v>44609</v>
      </c>
      <c r="B1770" s="116">
        <v>928.64750000000004</v>
      </c>
      <c r="C1770" s="116">
        <v>904.22749999999996</v>
      </c>
      <c r="D1770" s="116">
        <v>898.46500000000003</v>
      </c>
      <c r="E1770" s="116">
        <v>915.25250000000005</v>
      </c>
      <c r="F1770" s="116">
        <v>18084.55</v>
      </c>
      <c r="G1770">
        <v>12218</v>
      </c>
      <c r="H1770" s="116"/>
      <c r="I1770" s="116"/>
      <c r="L1770" s="170">
        <v>44609</v>
      </c>
      <c r="M1770" s="116">
        <v>906.3</v>
      </c>
      <c r="N1770" s="116">
        <v>920</v>
      </c>
      <c r="O1770" s="116">
        <v>898.00750000000005</v>
      </c>
      <c r="P1770" s="116">
        <v>920</v>
      </c>
      <c r="Q1770" s="116">
        <v>18126</v>
      </c>
      <c r="R1770">
        <v>113840</v>
      </c>
    </row>
    <row r="1771" spans="1:18" x14ac:dyDescent="0.25">
      <c r="A1771" s="170">
        <v>44610</v>
      </c>
      <c r="B1771" s="116">
        <v>910.8</v>
      </c>
      <c r="C1771" s="116">
        <v>902.95</v>
      </c>
      <c r="D1771" s="116">
        <v>879.11</v>
      </c>
      <c r="E1771" s="116">
        <v>879.11</v>
      </c>
      <c r="F1771" s="116">
        <v>18059</v>
      </c>
      <c r="G1771">
        <v>5732</v>
      </c>
      <c r="H1771" s="116"/>
      <c r="I1771" s="116"/>
      <c r="L1771" s="170">
        <v>44610</v>
      </c>
      <c r="M1771" s="116">
        <v>900.46500000000003</v>
      </c>
      <c r="N1771" s="116">
        <v>911.62</v>
      </c>
      <c r="O1771" s="116">
        <v>890.55499999999995</v>
      </c>
      <c r="P1771" s="116">
        <v>899.4</v>
      </c>
      <c r="Q1771" s="116">
        <v>18009.3</v>
      </c>
      <c r="R1771">
        <v>96328</v>
      </c>
    </row>
    <row r="1772" spans="1:18" x14ac:dyDescent="0.25">
      <c r="A1772" s="170">
        <v>44613</v>
      </c>
      <c r="B1772" s="116">
        <v>908.14250000000004</v>
      </c>
      <c r="C1772" s="116">
        <v>904.52250000000004</v>
      </c>
      <c r="D1772" s="116">
        <v>891.34749999999997</v>
      </c>
      <c r="E1772" s="116">
        <v>895.05250000000001</v>
      </c>
      <c r="F1772" s="116">
        <v>18090.45</v>
      </c>
      <c r="G1772">
        <v>1127</v>
      </c>
      <c r="H1772" s="116"/>
      <c r="I1772" s="116"/>
      <c r="L1772" s="170">
        <v>44613</v>
      </c>
      <c r="M1772" s="116">
        <v>905.30499999999995</v>
      </c>
      <c r="N1772" s="116">
        <v>908</v>
      </c>
      <c r="O1772" s="116">
        <v>891.25</v>
      </c>
      <c r="P1772" s="116">
        <v>898.85</v>
      </c>
      <c r="Q1772" s="116">
        <v>18106.099999999999</v>
      </c>
      <c r="R1772">
        <v>37036</v>
      </c>
    </row>
    <row r="1773" spans="1:18" x14ac:dyDescent="0.25">
      <c r="A1773" s="170">
        <v>44614</v>
      </c>
      <c r="B1773" s="116">
        <v>907.02499999999998</v>
      </c>
      <c r="C1773" s="116">
        <v>904.56500000000005</v>
      </c>
      <c r="D1773" s="116">
        <v>889.13250000000005</v>
      </c>
      <c r="E1773" s="116">
        <v>899.95</v>
      </c>
      <c r="F1773" s="116">
        <v>18091.3</v>
      </c>
      <c r="G1773">
        <v>840</v>
      </c>
      <c r="H1773" s="116"/>
      <c r="I1773" s="116"/>
      <c r="L1773" s="170">
        <v>44614</v>
      </c>
      <c r="M1773" s="116">
        <v>905.55</v>
      </c>
      <c r="N1773" s="116">
        <v>909.66750000000002</v>
      </c>
      <c r="O1773" s="116">
        <v>886.98249999999996</v>
      </c>
      <c r="P1773" s="116">
        <v>899.25</v>
      </c>
      <c r="Q1773" s="116">
        <v>18111</v>
      </c>
      <c r="R1773">
        <v>63087</v>
      </c>
    </row>
    <row r="1774" spans="1:18" x14ac:dyDescent="0.25">
      <c r="A1774" s="170">
        <v>44615</v>
      </c>
      <c r="B1774" s="116">
        <v>913.27499999999998</v>
      </c>
      <c r="C1774" s="116">
        <v>897.47249999999997</v>
      </c>
      <c r="D1774" s="116">
        <v>893.25</v>
      </c>
      <c r="E1774" s="116">
        <v>913.27499999999998</v>
      </c>
      <c r="F1774" s="116">
        <v>17949.45</v>
      </c>
      <c r="G1774">
        <v>1182</v>
      </c>
      <c r="H1774" s="116"/>
      <c r="I1774" s="116"/>
      <c r="L1774" s="170">
        <v>44615</v>
      </c>
      <c r="M1774" s="116">
        <v>896.33249999999998</v>
      </c>
      <c r="N1774" s="116">
        <v>910.47749999999996</v>
      </c>
      <c r="O1774" s="116">
        <v>891.75</v>
      </c>
      <c r="P1774" s="116">
        <v>905.55</v>
      </c>
      <c r="Q1774" s="116">
        <v>17926.650000000001</v>
      </c>
      <c r="R1774">
        <v>59248</v>
      </c>
    </row>
    <row r="1775" spans="1:18" x14ac:dyDescent="0.25">
      <c r="A1775" s="170">
        <v>44616</v>
      </c>
      <c r="B1775" s="116">
        <v>897.63250000000005</v>
      </c>
      <c r="C1775" s="116">
        <v>886.38750000000005</v>
      </c>
      <c r="D1775" s="116">
        <v>877.67750000000001</v>
      </c>
      <c r="E1775" s="116">
        <v>886.5</v>
      </c>
      <c r="F1775" s="116">
        <v>17727.75</v>
      </c>
      <c r="G1775">
        <v>4138</v>
      </c>
      <c r="H1775" s="116"/>
      <c r="I1775" s="116"/>
      <c r="L1775" s="170">
        <v>44616</v>
      </c>
      <c r="M1775" s="116">
        <v>887.23749999999995</v>
      </c>
      <c r="N1775" s="116">
        <v>898.43499999999995</v>
      </c>
      <c r="O1775" s="116">
        <v>878</v>
      </c>
      <c r="P1775" s="116">
        <v>886.5</v>
      </c>
      <c r="Q1775" s="116">
        <v>17744.75</v>
      </c>
      <c r="R1775">
        <v>112105</v>
      </c>
    </row>
    <row r="1776" spans="1:18" x14ac:dyDescent="0.25">
      <c r="A1776" s="170">
        <v>44617</v>
      </c>
      <c r="B1776" s="116">
        <v>895.0625</v>
      </c>
      <c r="C1776" s="116">
        <v>885.32500000000005</v>
      </c>
      <c r="D1776" s="116">
        <v>879.23500000000001</v>
      </c>
      <c r="E1776" s="116">
        <v>886.38750000000005</v>
      </c>
      <c r="F1776" s="116">
        <v>17706.5</v>
      </c>
      <c r="G1776">
        <v>3015</v>
      </c>
      <c r="H1776" s="116"/>
      <c r="I1776" s="116"/>
      <c r="L1776" s="170">
        <v>44617</v>
      </c>
      <c r="M1776" s="116">
        <v>885.755</v>
      </c>
      <c r="N1776" s="116">
        <v>894.74749999999995</v>
      </c>
      <c r="O1776" s="116">
        <v>880</v>
      </c>
      <c r="P1776" s="116">
        <v>890</v>
      </c>
      <c r="Q1776" s="116">
        <v>17715.099999999999</v>
      </c>
      <c r="R1776">
        <v>80989</v>
      </c>
    </row>
    <row r="1777" spans="1:18" x14ac:dyDescent="0.25">
      <c r="A1777" s="170">
        <v>44620</v>
      </c>
      <c r="B1777" s="116">
        <v>887.90750000000003</v>
      </c>
      <c r="C1777" s="116">
        <v>880.15250000000003</v>
      </c>
      <c r="D1777" s="116">
        <v>866.45749999999998</v>
      </c>
      <c r="E1777" s="116">
        <v>884</v>
      </c>
      <c r="F1777" s="116">
        <v>17603.05</v>
      </c>
      <c r="G1777">
        <v>2298</v>
      </c>
      <c r="H1777" s="116"/>
      <c r="I1777" s="116"/>
      <c r="L1777" s="170">
        <v>44620</v>
      </c>
      <c r="M1777" s="116">
        <v>881.95749999999998</v>
      </c>
      <c r="N1777" s="116">
        <v>888.46500000000003</v>
      </c>
      <c r="O1777" s="116">
        <v>866.5</v>
      </c>
      <c r="P1777" s="116">
        <v>885</v>
      </c>
      <c r="Q1777" s="116">
        <v>17639.150000000001</v>
      </c>
      <c r="R1777">
        <v>157873</v>
      </c>
    </row>
    <row r="1778" spans="1:18" x14ac:dyDescent="0.25">
      <c r="A1778" s="170">
        <v>44622</v>
      </c>
      <c r="B1778" s="116">
        <v>893.91</v>
      </c>
      <c r="C1778" s="116">
        <v>892.005</v>
      </c>
      <c r="D1778" s="116">
        <v>873.35500000000002</v>
      </c>
      <c r="E1778" s="116">
        <v>882.98249999999996</v>
      </c>
      <c r="F1778" s="116">
        <v>17840.099999999999</v>
      </c>
      <c r="G1778">
        <v>1046</v>
      </c>
      <c r="H1778" s="116"/>
      <c r="I1778" s="116"/>
      <c r="L1778" s="170">
        <v>44622</v>
      </c>
      <c r="M1778" s="116">
        <v>892.23</v>
      </c>
      <c r="N1778" s="116">
        <v>894.47</v>
      </c>
      <c r="O1778" s="116">
        <v>872.85249999999996</v>
      </c>
      <c r="P1778" s="116">
        <v>880</v>
      </c>
      <c r="Q1778" s="116">
        <v>17844.599999999999</v>
      </c>
      <c r="R1778">
        <v>86631</v>
      </c>
    </row>
    <row r="1779" spans="1:18" x14ac:dyDescent="0.25">
      <c r="A1779" s="170">
        <v>44623</v>
      </c>
      <c r="B1779" s="116">
        <v>896.33</v>
      </c>
      <c r="C1779" s="116">
        <v>872.54</v>
      </c>
      <c r="D1779" s="116">
        <v>870.14750000000004</v>
      </c>
      <c r="E1779" s="116">
        <v>896.33</v>
      </c>
      <c r="F1779" s="116">
        <v>17450.8</v>
      </c>
      <c r="G1779">
        <v>1341</v>
      </c>
      <c r="H1779" s="116"/>
      <c r="I1779" s="116"/>
      <c r="L1779" s="170">
        <v>44623</v>
      </c>
      <c r="M1779" s="116">
        <v>871.82500000000005</v>
      </c>
      <c r="N1779" s="116">
        <v>894</v>
      </c>
      <c r="O1779" s="116">
        <v>869.47749999999996</v>
      </c>
      <c r="P1779" s="116">
        <v>894</v>
      </c>
      <c r="Q1779" s="116">
        <v>17436.5</v>
      </c>
      <c r="R1779">
        <v>66964</v>
      </c>
    </row>
    <row r="1780" spans="1:18" x14ac:dyDescent="0.25">
      <c r="A1780" s="170">
        <v>44624</v>
      </c>
      <c r="B1780" s="116">
        <v>877.53750000000002</v>
      </c>
      <c r="C1780" s="116">
        <v>869.48</v>
      </c>
      <c r="D1780" s="116">
        <v>851.25</v>
      </c>
      <c r="E1780" s="116">
        <v>866.57500000000005</v>
      </c>
      <c r="F1780" s="116">
        <v>17389.599999999999</v>
      </c>
      <c r="G1780">
        <v>1850</v>
      </c>
      <c r="H1780" s="116"/>
      <c r="I1780" s="116"/>
      <c r="L1780" s="170">
        <v>44624</v>
      </c>
      <c r="M1780" s="116">
        <v>869.59249999999997</v>
      </c>
      <c r="N1780" s="116">
        <v>877.20249999999999</v>
      </c>
      <c r="O1780" s="116">
        <v>851.05</v>
      </c>
      <c r="P1780" s="116">
        <v>865</v>
      </c>
      <c r="Q1780" s="116">
        <v>17391.849999999999</v>
      </c>
      <c r="R1780">
        <v>51705</v>
      </c>
    </row>
    <row r="1781" spans="1:18" x14ac:dyDescent="0.25">
      <c r="A1781" s="170">
        <v>44627</v>
      </c>
      <c r="B1781" s="116">
        <v>870.4</v>
      </c>
      <c r="C1781" s="116">
        <v>867.125</v>
      </c>
      <c r="D1781" s="116">
        <v>852.4375</v>
      </c>
      <c r="E1781" s="116">
        <v>869.7</v>
      </c>
      <c r="F1781" s="116">
        <v>17342.5</v>
      </c>
      <c r="G1781">
        <v>8448</v>
      </c>
      <c r="H1781" s="116"/>
      <c r="I1781" s="116"/>
      <c r="L1781" s="170">
        <v>44627</v>
      </c>
      <c r="M1781" s="116">
        <v>867.10249999999996</v>
      </c>
      <c r="N1781" s="116">
        <v>870.38750000000005</v>
      </c>
      <c r="O1781" s="116">
        <v>852</v>
      </c>
      <c r="P1781" s="116">
        <v>855</v>
      </c>
      <c r="Q1781" s="116">
        <v>17342.05</v>
      </c>
      <c r="R1781">
        <v>66542</v>
      </c>
    </row>
    <row r="1782" spans="1:18" x14ac:dyDescent="0.25">
      <c r="A1782" s="170">
        <v>44628</v>
      </c>
      <c r="B1782" s="116">
        <v>875.9</v>
      </c>
      <c r="C1782" s="116">
        <v>864.98500000000001</v>
      </c>
      <c r="D1782" s="116">
        <v>848.75</v>
      </c>
      <c r="E1782" s="116">
        <v>861.25</v>
      </c>
      <c r="F1782" s="116">
        <v>17299.7</v>
      </c>
      <c r="G1782">
        <v>2638</v>
      </c>
      <c r="H1782" s="116"/>
      <c r="I1782" s="116"/>
      <c r="L1782" s="170">
        <v>44628</v>
      </c>
      <c r="M1782" s="116">
        <v>863.16499999999996</v>
      </c>
      <c r="N1782" s="116">
        <v>876.5</v>
      </c>
      <c r="O1782" s="116">
        <v>848.25</v>
      </c>
      <c r="P1782" s="116">
        <v>865</v>
      </c>
      <c r="Q1782" s="116">
        <v>17263.3</v>
      </c>
      <c r="R1782">
        <v>97724</v>
      </c>
    </row>
    <row r="1783" spans="1:18" x14ac:dyDescent="0.25">
      <c r="A1783" s="170">
        <v>44629</v>
      </c>
      <c r="B1783" s="116">
        <v>867.49749999999995</v>
      </c>
      <c r="C1783" s="116">
        <v>857.36749999999995</v>
      </c>
      <c r="D1783" s="116">
        <v>853.505</v>
      </c>
      <c r="E1783" s="116">
        <v>867.49749999999995</v>
      </c>
      <c r="F1783" s="116">
        <v>17147.349999999999</v>
      </c>
      <c r="G1783">
        <v>10870</v>
      </c>
      <c r="H1783" s="116"/>
      <c r="I1783" s="116"/>
      <c r="L1783" s="170">
        <v>44629</v>
      </c>
      <c r="M1783" s="116">
        <v>857.28</v>
      </c>
      <c r="N1783" s="116">
        <v>869</v>
      </c>
      <c r="O1783" s="116">
        <v>853.28250000000003</v>
      </c>
      <c r="P1783" s="116">
        <v>869</v>
      </c>
      <c r="Q1783" s="116">
        <v>17145.599999999999</v>
      </c>
      <c r="R1783">
        <v>71122</v>
      </c>
    </row>
    <row r="1784" spans="1:18" x14ac:dyDescent="0.25">
      <c r="A1784" s="170">
        <v>44630</v>
      </c>
      <c r="B1784" s="116">
        <v>884.33500000000004</v>
      </c>
      <c r="C1784" s="116">
        <v>881.69749999999999</v>
      </c>
      <c r="D1784" s="116">
        <v>862.35749999999996</v>
      </c>
      <c r="E1784" s="116">
        <v>862.5</v>
      </c>
      <c r="F1784" s="116">
        <v>17633.95</v>
      </c>
      <c r="G1784">
        <v>2061</v>
      </c>
      <c r="H1784" s="116"/>
      <c r="I1784" s="116"/>
      <c r="L1784" s="170">
        <v>44630</v>
      </c>
      <c r="M1784" s="116">
        <v>882.45500000000004</v>
      </c>
      <c r="N1784" s="116">
        <v>884.26250000000005</v>
      </c>
      <c r="O1784" s="116">
        <v>861.05</v>
      </c>
      <c r="P1784" s="116">
        <v>865</v>
      </c>
      <c r="Q1784" s="116">
        <v>17649.099999999999</v>
      </c>
      <c r="R1784">
        <v>66489</v>
      </c>
    </row>
    <row r="1785" spans="1:18" x14ac:dyDescent="0.25">
      <c r="A1785" s="170">
        <v>44631</v>
      </c>
      <c r="B1785" s="116">
        <v>883.2</v>
      </c>
      <c r="C1785" s="116">
        <v>866.14</v>
      </c>
      <c r="D1785" s="116">
        <v>861.75750000000005</v>
      </c>
      <c r="E1785" s="116">
        <v>883.2</v>
      </c>
      <c r="F1785" s="116">
        <v>17322.8</v>
      </c>
      <c r="G1785">
        <v>4352</v>
      </c>
      <c r="H1785" s="116"/>
      <c r="I1785" s="116"/>
      <c r="L1785" s="170">
        <v>44631</v>
      </c>
      <c r="M1785" s="116">
        <v>866.37249999999995</v>
      </c>
      <c r="N1785" s="116">
        <v>880.90250000000003</v>
      </c>
      <c r="O1785" s="116">
        <v>861.5</v>
      </c>
      <c r="P1785" s="116">
        <v>880</v>
      </c>
      <c r="Q1785" s="116">
        <v>17327.45</v>
      </c>
      <c r="R1785">
        <v>73279</v>
      </c>
    </row>
    <row r="1786" spans="1:18" x14ac:dyDescent="0.25">
      <c r="A1786" s="170">
        <v>44634</v>
      </c>
      <c r="B1786" s="116">
        <v>872.4</v>
      </c>
      <c r="C1786" s="116">
        <v>868.84749999999997</v>
      </c>
      <c r="D1786" s="116">
        <v>857.70500000000004</v>
      </c>
      <c r="E1786" s="116">
        <v>872.4</v>
      </c>
      <c r="F1786" s="116">
        <v>17376.95</v>
      </c>
      <c r="G1786">
        <v>1111</v>
      </c>
      <c r="H1786" s="116"/>
      <c r="I1786" s="116"/>
      <c r="L1786" s="170">
        <v>44634</v>
      </c>
      <c r="M1786" s="116">
        <v>868.36</v>
      </c>
      <c r="N1786" s="116">
        <v>873.87249999999995</v>
      </c>
      <c r="O1786" s="116">
        <v>857.9</v>
      </c>
      <c r="P1786" s="116">
        <v>873.87249999999995</v>
      </c>
      <c r="Q1786" s="116">
        <v>17367.2</v>
      </c>
      <c r="R1786">
        <v>38665</v>
      </c>
    </row>
    <row r="1787" spans="1:18" x14ac:dyDescent="0.25">
      <c r="A1787" s="170">
        <v>44635</v>
      </c>
      <c r="B1787" s="116">
        <v>877.5</v>
      </c>
      <c r="C1787" s="116">
        <v>873.78250000000003</v>
      </c>
      <c r="D1787" s="116">
        <v>862.92499999999995</v>
      </c>
      <c r="E1787" s="116">
        <v>872.45</v>
      </c>
      <c r="F1787" s="116">
        <v>17475.650000000001</v>
      </c>
      <c r="G1787">
        <v>1616</v>
      </c>
      <c r="H1787" s="116"/>
      <c r="I1787" s="116"/>
      <c r="L1787" s="170">
        <v>44635</v>
      </c>
      <c r="M1787" s="116">
        <v>873.08</v>
      </c>
      <c r="N1787" s="116">
        <v>878</v>
      </c>
      <c r="O1787" s="116">
        <v>862.25250000000005</v>
      </c>
      <c r="P1787" s="116">
        <v>871</v>
      </c>
      <c r="Q1787" s="116">
        <v>17461.599999999999</v>
      </c>
      <c r="R1787">
        <v>62211</v>
      </c>
    </row>
    <row r="1788" spans="1:18" x14ac:dyDescent="0.25">
      <c r="A1788" s="170">
        <v>44636</v>
      </c>
      <c r="B1788" s="116">
        <v>893.25</v>
      </c>
      <c r="C1788" s="116">
        <v>890.2</v>
      </c>
      <c r="D1788" s="116">
        <v>873.55</v>
      </c>
      <c r="E1788" s="116">
        <v>875</v>
      </c>
      <c r="F1788" s="116">
        <v>17804</v>
      </c>
      <c r="G1788">
        <v>2925</v>
      </c>
      <c r="H1788" s="116"/>
      <c r="I1788" s="116"/>
      <c r="L1788" s="170">
        <v>44636</v>
      </c>
      <c r="M1788" s="116">
        <v>891.17</v>
      </c>
      <c r="N1788" s="116">
        <v>894.27499999999998</v>
      </c>
      <c r="O1788" s="116">
        <v>873.55</v>
      </c>
      <c r="P1788" s="116">
        <v>880.5</v>
      </c>
      <c r="Q1788" s="116">
        <v>17823.400000000001</v>
      </c>
      <c r="R1788">
        <v>48390</v>
      </c>
    </row>
    <row r="1789" spans="1:18" x14ac:dyDescent="0.25">
      <c r="A1789" s="170">
        <v>44637</v>
      </c>
      <c r="B1789" s="116">
        <v>918.08500000000004</v>
      </c>
      <c r="C1789" s="116">
        <v>913.47</v>
      </c>
      <c r="D1789" s="116">
        <v>890.2</v>
      </c>
      <c r="E1789" s="116">
        <v>890.2</v>
      </c>
      <c r="F1789" s="116">
        <v>18269.400000000001</v>
      </c>
      <c r="G1789">
        <v>1208</v>
      </c>
      <c r="H1789" s="116"/>
      <c r="I1789" s="116"/>
      <c r="L1789" s="170">
        <v>44637</v>
      </c>
      <c r="M1789" s="116">
        <v>914.21</v>
      </c>
      <c r="N1789" s="116">
        <v>918.74249999999995</v>
      </c>
      <c r="O1789" s="116">
        <v>889.29750000000001</v>
      </c>
      <c r="P1789" s="116">
        <v>889.29750000000001</v>
      </c>
      <c r="Q1789" s="116">
        <v>18284.2</v>
      </c>
      <c r="R1789">
        <v>100890</v>
      </c>
    </row>
    <row r="1790" spans="1:18" x14ac:dyDescent="0.25">
      <c r="A1790" s="170">
        <v>44641</v>
      </c>
      <c r="B1790" s="116">
        <v>924.75</v>
      </c>
      <c r="C1790" s="116">
        <v>892.97749999999996</v>
      </c>
      <c r="D1790" s="116">
        <v>890.245</v>
      </c>
      <c r="E1790" s="116">
        <v>924.75</v>
      </c>
      <c r="F1790" s="116">
        <v>17859.55</v>
      </c>
      <c r="G1790">
        <v>1481</v>
      </c>
      <c r="H1790" s="116"/>
      <c r="I1790" s="116"/>
      <c r="L1790" s="170">
        <v>44641</v>
      </c>
      <c r="M1790" s="116">
        <v>893.82249999999999</v>
      </c>
      <c r="N1790" s="116">
        <v>918.5</v>
      </c>
      <c r="O1790" s="116">
        <v>890.67499999999995</v>
      </c>
      <c r="P1790" s="116">
        <v>917.5</v>
      </c>
      <c r="Q1790" s="116">
        <v>17876.45</v>
      </c>
      <c r="R1790">
        <v>40335</v>
      </c>
    </row>
    <row r="1791" spans="1:18" x14ac:dyDescent="0.25">
      <c r="A1791" s="170">
        <v>44642</v>
      </c>
      <c r="B1791" s="116">
        <v>890.76750000000004</v>
      </c>
      <c r="C1791" s="116">
        <v>870.78250000000003</v>
      </c>
      <c r="D1791" s="116">
        <v>863</v>
      </c>
      <c r="E1791" s="116">
        <v>890.76499999999999</v>
      </c>
      <c r="F1791" s="116">
        <v>17415.650000000001</v>
      </c>
      <c r="G1791">
        <v>4035</v>
      </c>
      <c r="H1791" s="116"/>
      <c r="I1791" s="116"/>
      <c r="L1791" s="170">
        <v>44642</v>
      </c>
      <c r="M1791" s="116">
        <v>871.46249999999998</v>
      </c>
      <c r="N1791" s="116">
        <v>893.49749999999995</v>
      </c>
      <c r="O1791" s="116">
        <v>862.6825</v>
      </c>
      <c r="P1791" s="116">
        <v>886.35</v>
      </c>
      <c r="Q1791" s="116">
        <v>17429.25</v>
      </c>
      <c r="R1791">
        <v>140224</v>
      </c>
    </row>
    <row r="1792" spans="1:18" x14ac:dyDescent="0.25">
      <c r="A1792" s="170">
        <v>44643</v>
      </c>
      <c r="B1792" s="116">
        <v>877.2</v>
      </c>
      <c r="C1792" s="116">
        <v>867.45500000000004</v>
      </c>
      <c r="D1792" s="116">
        <v>865.22500000000002</v>
      </c>
      <c r="E1792" s="116">
        <v>874.91499999999996</v>
      </c>
      <c r="F1792" s="116">
        <v>17349.099999999999</v>
      </c>
      <c r="G1792">
        <v>1177</v>
      </c>
      <c r="H1792" s="116"/>
      <c r="I1792" s="116"/>
      <c r="L1792" s="170">
        <v>44643</v>
      </c>
      <c r="M1792" s="116">
        <v>867.21</v>
      </c>
      <c r="N1792" s="116">
        <v>877.5</v>
      </c>
      <c r="O1792" s="116">
        <v>863.05</v>
      </c>
      <c r="P1792" s="116">
        <v>876.75</v>
      </c>
      <c r="Q1792" s="116">
        <v>17344.2</v>
      </c>
      <c r="R1792">
        <v>59279</v>
      </c>
    </row>
    <row r="1793" spans="1:18" x14ac:dyDescent="0.25">
      <c r="A1793" s="170">
        <v>44644</v>
      </c>
      <c r="B1793" s="116">
        <v>874.69749999999999</v>
      </c>
      <c r="C1793" s="116">
        <v>869.64250000000004</v>
      </c>
      <c r="D1793" s="116">
        <v>862.77499999999998</v>
      </c>
      <c r="E1793" s="116">
        <v>869.95</v>
      </c>
      <c r="F1793" s="116">
        <v>17392.849999999999</v>
      </c>
      <c r="G1793">
        <v>1275</v>
      </c>
      <c r="H1793" s="116"/>
      <c r="I1793" s="116"/>
      <c r="L1793" s="170">
        <v>44644</v>
      </c>
      <c r="M1793" s="116">
        <v>870.40499999999997</v>
      </c>
      <c r="N1793" s="116">
        <v>875</v>
      </c>
      <c r="O1793" s="116">
        <v>863</v>
      </c>
      <c r="P1793" s="116">
        <v>866.4</v>
      </c>
      <c r="Q1793" s="116">
        <v>17408.099999999999</v>
      </c>
      <c r="R1793">
        <v>43181</v>
      </c>
    </row>
    <row r="1794" spans="1:18" x14ac:dyDescent="0.25">
      <c r="A1794" s="170">
        <v>44645</v>
      </c>
      <c r="B1794" s="116">
        <v>868.75250000000005</v>
      </c>
      <c r="C1794" s="116">
        <v>858.85500000000002</v>
      </c>
      <c r="D1794" s="116">
        <v>853.75</v>
      </c>
      <c r="E1794" s="116">
        <v>868.75250000000005</v>
      </c>
      <c r="F1794" s="116">
        <v>17177.099999999999</v>
      </c>
      <c r="G1794">
        <v>1638</v>
      </c>
      <c r="H1794" s="116"/>
      <c r="I1794" s="116"/>
      <c r="L1794" s="170">
        <v>44645</v>
      </c>
      <c r="M1794" s="116">
        <v>858.06</v>
      </c>
      <c r="N1794" s="116">
        <v>873.9</v>
      </c>
      <c r="O1794" s="116">
        <v>853.75</v>
      </c>
      <c r="P1794" s="116">
        <v>873.9</v>
      </c>
      <c r="Q1794" s="116">
        <v>17161.2</v>
      </c>
      <c r="R1794">
        <v>53217</v>
      </c>
    </row>
    <row r="1795" spans="1:18" x14ac:dyDescent="0.25">
      <c r="A1795" s="170">
        <v>44648</v>
      </c>
      <c r="B1795" s="116">
        <v>864.07</v>
      </c>
      <c r="C1795" s="116">
        <v>843.17250000000001</v>
      </c>
      <c r="D1795" s="116">
        <v>839.57</v>
      </c>
      <c r="E1795" s="116">
        <v>858.5</v>
      </c>
      <c r="F1795" s="116">
        <v>16863.45</v>
      </c>
      <c r="G1795">
        <v>5347</v>
      </c>
      <c r="H1795" s="116"/>
      <c r="I1795" s="116"/>
      <c r="L1795" s="170">
        <v>44648</v>
      </c>
      <c r="M1795" s="116">
        <v>843.00250000000005</v>
      </c>
      <c r="N1795" s="116">
        <v>867.44749999999999</v>
      </c>
      <c r="O1795" s="116">
        <v>839.5</v>
      </c>
      <c r="P1795" s="116">
        <v>862.5</v>
      </c>
      <c r="Q1795" s="116">
        <v>16860.05</v>
      </c>
      <c r="R1795">
        <v>80111</v>
      </c>
    </row>
    <row r="1796" spans="1:18" x14ac:dyDescent="0.25">
      <c r="A1796" s="170">
        <v>44649</v>
      </c>
      <c r="B1796" s="116">
        <v>849.91250000000002</v>
      </c>
      <c r="C1796" s="116">
        <v>846.14250000000004</v>
      </c>
      <c r="D1796" s="116">
        <v>841.125</v>
      </c>
      <c r="E1796" s="116">
        <v>843.3</v>
      </c>
      <c r="F1796" s="116">
        <v>16922.849999999999</v>
      </c>
      <c r="G1796">
        <v>3006</v>
      </c>
      <c r="H1796" s="116"/>
      <c r="I1796" s="116"/>
      <c r="L1796" s="170">
        <v>44649</v>
      </c>
      <c r="M1796" s="116">
        <v>846.09500000000003</v>
      </c>
      <c r="N1796" s="116">
        <v>849.99749999999995</v>
      </c>
      <c r="O1796" s="116">
        <v>841</v>
      </c>
      <c r="P1796" s="116">
        <v>845</v>
      </c>
      <c r="Q1796" s="116">
        <v>16921.900000000001</v>
      </c>
      <c r="R1796">
        <v>83759</v>
      </c>
    </row>
    <row r="1797" spans="1:18" x14ac:dyDescent="0.25">
      <c r="A1797" s="170">
        <v>44650</v>
      </c>
      <c r="B1797" s="116">
        <v>866.90750000000003</v>
      </c>
      <c r="C1797" s="116">
        <v>864.77750000000003</v>
      </c>
      <c r="D1797" s="116">
        <v>852.5</v>
      </c>
      <c r="E1797" s="116">
        <v>852.5</v>
      </c>
      <c r="F1797" s="116">
        <v>17295.55</v>
      </c>
      <c r="G1797">
        <v>3028</v>
      </c>
      <c r="H1797" s="116"/>
      <c r="I1797" s="116"/>
      <c r="L1797" s="170">
        <v>44650</v>
      </c>
      <c r="M1797" s="116">
        <v>864.9</v>
      </c>
      <c r="N1797" s="116">
        <v>867.37750000000005</v>
      </c>
      <c r="O1797" s="116">
        <v>851.13</v>
      </c>
      <c r="P1797" s="116">
        <v>855.4</v>
      </c>
      <c r="Q1797" s="116">
        <v>17298</v>
      </c>
      <c r="R1797">
        <v>74970</v>
      </c>
    </row>
    <row r="1798" spans="1:18" x14ac:dyDescent="0.25">
      <c r="A1798" s="170">
        <v>44651</v>
      </c>
      <c r="B1798" s="116">
        <v>871.38499999999999</v>
      </c>
      <c r="C1798" s="116">
        <v>868.84</v>
      </c>
      <c r="D1798" s="116">
        <v>860.45249999999999</v>
      </c>
      <c r="E1798" s="116">
        <v>864.77750000000003</v>
      </c>
      <c r="F1798" s="116">
        <v>17376.8</v>
      </c>
      <c r="G1798">
        <v>1232</v>
      </c>
      <c r="H1798" s="116"/>
      <c r="I1798" s="116"/>
      <c r="L1798" s="170">
        <v>44651</v>
      </c>
      <c r="M1798" s="116">
        <v>869.02750000000003</v>
      </c>
      <c r="N1798" s="116">
        <v>871.69</v>
      </c>
      <c r="O1798" s="116">
        <v>860.14499999999998</v>
      </c>
      <c r="P1798" s="116">
        <v>862.5</v>
      </c>
      <c r="Q1798" s="116">
        <v>17380.55</v>
      </c>
      <c r="R1798">
        <v>62281</v>
      </c>
    </row>
    <row r="1799" spans="1:18" x14ac:dyDescent="0.25">
      <c r="A1799" s="170">
        <v>44652</v>
      </c>
      <c r="B1799" s="116">
        <v>880.38250000000005</v>
      </c>
      <c r="C1799" s="116">
        <v>877.24749999999995</v>
      </c>
      <c r="D1799" s="116">
        <v>862.5</v>
      </c>
      <c r="E1799" s="116">
        <v>867</v>
      </c>
      <c r="F1799" s="116">
        <v>17544.95</v>
      </c>
      <c r="G1799">
        <v>1655</v>
      </c>
      <c r="H1799" s="116"/>
      <c r="I1799" s="116"/>
      <c r="L1799" s="170">
        <v>44652</v>
      </c>
      <c r="M1799" s="116">
        <v>877.86</v>
      </c>
      <c r="N1799" s="116">
        <v>880.38499999999999</v>
      </c>
      <c r="O1799" s="116">
        <v>862.5</v>
      </c>
      <c r="P1799" s="116">
        <v>869.02750000000003</v>
      </c>
      <c r="Q1799" s="116">
        <v>17557.2</v>
      </c>
      <c r="R1799">
        <v>31159</v>
      </c>
    </row>
    <row r="1800" spans="1:18" x14ac:dyDescent="0.25">
      <c r="A1800" s="170">
        <v>44655</v>
      </c>
      <c r="B1800" s="116">
        <v>893.4</v>
      </c>
      <c r="C1800" s="116">
        <v>889.11</v>
      </c>
      <c r="D1800" s="116">
        <v>873.05499999999995</v>
      </c>
      <c r="E1800" s="116">
        <v>882.28</v>
      </c>
      <c r="F1800" s="116">
        <v>17782.2</v>
      </c>
      <c r="G1800">
        <v>1370</v>
      </c>
      <c r="H1800" s="116"/>
      <c r="I1800" s="116"/>
      <c r="L1800" s="170">
        <v>44655</v>
      </c>
      <c r="M1800" s="116">
        <v>891.00750000000005</v>
      </c>
      <c r="N1800" s="116">
        <v>893.32500000000005</v>
      </c>
      <c r="O1800" s="116">
        <v>873.10249999999996</v>
      </c>
      <c r="P1800" s="116">
        <v>880.5</v>
      </c>
      <c r="Q1800" s="116">
        <v>17820.150000000001</v>
      </c>
      <c r="R1800">
        <v>39784</v>
      </c>
    </row>
    <row r="1801" spans="1:18" x14ac:dyDescent="0.25">
      <c r="A1801" s="170">
        <v>44656</v>
      </c>
      <c r="B1801" s="116">
        <v>902.5</v>
      </c>
      <c r="C1801" s="116">
        <v>900.72500000000002</v>
      </c>
      <c r="D1801" s="116">
        <v>886.9375</v>
      </c>
      <c r="E1801" s="116">
        <v>892.45</v>
      </c>
      <c r="F1801" s="116">
        <v>18014.5</v>
      </c>
      <c r="G1801">
        <v>964</v>
      </c>
      <c r="H1801" s="116"/>
      <c r="I1801" s="116"/>
      <c r="L1801" s="170">
        <v>44656</v>
      </c>
      <c r="M1801" s="116">
        <v>901.16</v>
      </c>
      <c r="N1801" s="116">
        <v>903</v>
      </c>
      <c r="O1801" s="116">
        <v>885.92</v>
      </c>
      <c r="P1801" s="116">
        <v>891.3</v>
      </c>
      <c r="Q1801" s="116">
        <v>18023.2</v>
      </c>
      <c r="R1801">
        <v>39782</v>
      </c>
    </row>
    <row r="1802" spans="1:18" x14ac:dyDescent="0.25">
      <c r="A1802" s="170">
        <v>44657</v>
      </c>
      <c r="B1802" s="116">
        <v>912.76750000000004</v>
      </c>
      <c r="C1802" s="116">
        <v>910.38</v>
      </c>
      <c r="D1802" s="116">
        <v>893.56</v>
      </c>
      <c r="E1802" s="116">
        <v>895</v>
      </c>
      <c r="F1802" s="116">
        <v>18207.599999999999</v>
      </c>
      <c r="G1802">
        <v>813</v>
      </c>
      <c r="H1802" s="116"/>
      <c r="I1802" s="116"/>
      <c r="L1802" s="170">
        <v>44657</v>
      </c>
      <c r="M1802" s="116">
        <v>910.83749999999998</v>
      </c>
      <c r="N1802" s="116">
        <v>913</v>
      </c>
      <c r="O1802" s="116">
        <v>893.15</v>
      </c>
      <c r="P1802" s="116">
        <v>898.75</v>
      </c>
      <c r="Q1802" s="116">
        <v>18216.75</v>
      </c>
      <c r="R1802">
        <v>47058</v>
      </c>
    </row>
    <row r="1803" spans="1:18" x14ac:dyDescent="0.25">
      <c r="A1803" s="170">
        <v>44658</v>
      </c>
      <c r="B1803" s="116">
        <v>912.29750000000001</v>
      </c>
      <c r="C1803" s="116">
        <v>908.77750000000003</v>
      </c>
      <c r="D1803" s="116">
        <v>899.33749999999998</v>
      </c>
      <c r="E1803" s="116">
        <v>909.93</v>
      </c>
      <c r="F1803" s="116">
        <v>18175.55</v>
      </c>
      <c r="G1803">
        <v>918</v>
      </c>
      <c r="H1803" s="116"/>
      <c r="I1803" s="116"/>
      <c r="L1803" s="170">
        <v>44658</v>
      </c>
      <c r="M1803" s="116">
        <v>909.42</v>
      </c>
      <c r="N1803" s="116">
        <v>912.5</v>
      </c>
      <c r="O1803" s="116">
        <v>899.25</v>
      </c>
      <c r="P1803" s="116">
        <v>907.5</v>
      </c>
      <c r="Q1803" s="116">
        <v>18188.400000000001</v>
      </c>
      <c r="R1803">
        <v>37487</v>
      </c>
    </row>
    <row r="1804" spans="1:18" x14ac:dyDescent="0.25">
      <c r="A1804" s="170">
        <v>44659</v>
      </c>
      <c r="B1804" s="116">
        <v>925</v>
      </c>
      <c r="C1804" s="116">
        <v>921.55499999999995</v>
      </c>
      <c r="D1804" s="116">
        <v>905.05</v>
      </c>
      <c r="E1804" s="116">
        <v>909</v>
      </c>
      <c r="F1804" s="116">
        <v>18431.099999999999</v>
      </c>
      <c r="G1804">
        <v>1197</v>
      </c>
      <c r="H1804" s="116"/>
      <c r="I1804" s="116"/>
      <c r="L1804" s="170">
        <v>44659</v>
      </c>
      <c r="M1804" s="116">
        <v>922.64</v>
      </c>
      <c r="N1804" s="116">
        <v>924.8</v>
      </c>
      <c r="O1804" s="116">
        <v>903.48249999999996</v>
      </c>
      <c r="P1804" s="116">
        <v>907.6</v>
      </c>
      <c r="Q1804" s="116">
        <v>18452.8</v>
      </c>
      <c r="R1804">
        <v>34281</v>
      </c>
    </row>
    <row r="1805" spans="1:18" x14ac:dyDescent="0.25">
      <c r="A1805" s="170">
        <v>44662</v>
      </c>
      <c r="B1805" s="116">
        <v>925.91750000000002</v>
      </c>
      <c r="C1805" s="116">
        <v>921.13499999999999</v>
      </c>
      <c r="D1805" s="116">
        <v>911.25</v>
      </c>
      <c r="E1805" s="116">
        <v>924.95</v>
      </c>
      <c r="F1805" s="116">
        <v>18422.7</v>
      </c>
      <c r="G1805">
        <v>712</v>
      </c>
      <c r="H1805" s="116"/>
      <c r="I1805" s="116"/>
      <c r="L1805" s="170">
        <v>44662</v>
      </c>
      <c r="M1805" s="116">
        <v>921.3175</v>
      </c>
      <c r="N1805" s="116">
        <v>926.01250000000005</v>
      </c>
      <c r="O1805" s="116">
        <v>910.65</v>
      </c>
      <c r="P1805" s="116">
        <v>920.9</v>
      </c>
      <c r="Q1805" s="116">
        <v>18426.349999999999</v>
      </c>
      <c r="R1805">
        <v>37669</v>
      </c>
    </row>
    <row r="1806" spans="1:18" x14ac:dyDescent="0.25">
      <c r="A1806" s="170">
        <v>44663</v>
      </c>
      <c r="B1806" s="116">
        <v>924.85</v>
      </c>
      <c r="C1806" s="116">
        <v>921.5</v>
      </c>
      <c r="D1806" s="116">
        <v>910.81500000000005</v>
      </c>
      <c r="E1806" s="116">
        <v>916.95</v>
      </c>
      <c r="F1806" s="116">
        <v>18430</v>
      </c>
      <c r="G1806">
        <v>2000</v>
      </c>
      <c r="H1806" s="116"/>
      <c r="I1806" s="116"/>
      <c r="L1806" s="170">
        <v>44663</v>
      </c>
      <c r="M1806" s="116">
        <v>920.89</v>
      </c>
      <c r="N1806" s="116">
        <v>924.95</v>
      </c>
      <c r="O1806" s="116">
        <v>911.125</v>
      </c>
      <c r="P1806" s="116">
        <v>913.76499999999999</v>
      </c>
      <c r="Q1806" s="116">
        <v>18417.8</v>
      </c>
      <c r="R1806">
        <v>54900</v>
      </c>
    </row>
    <row r="1807" spans="1:18" x14ac:dyDescent="0.25">
      <c r="A1807" s="170">
        <v>44664</v>
      </c>
      <c r="B1807" s="116">
        <v>927.46500000000003</v>
      </c>
      <c r="C1807" s="116">
        <v>917.19500000000005</v>
      </c>
      <c r="D1807" s="116">
        <v>912.41250000000002</v>
      </c>
      <c r="E1807" s="116">
        <v>918.56</v>
      </c>
      <c r="F1807" s="116">
        <v>18343.900000000001</v>
      </c>
      <c r="G1807">
        <v>1150</v>
      </c>
      <c r="H1807" s="116"/>
      <c r="I1807" s="116"/>
      <c r="L1807" s="170">
        <v>44664</v>
      </c>
      <c r="M1807" s="116">
        <v>919.12</v>
      </c>
      <c r="N1807" s="116">
        <v>927.45</v>
      </c>
      <c r="O1807" s="116">
        <v>912.5</v>
      </c>
      <c r="P1807" s="116">
        <v>923.75</v>
      </c>
      <c r="Q1807" s="116">
        <v>18382.400000000001</v>
      </c>
      <c r="R1807">
        <v>27330</v>
      </c>
    </row>
    <row r="1808" spans="1:18" x14ac:dyDescent="0.25">
      <c r="A1808" s="170">
        <v>44669</v>
      </c>
      <c r="B1808" s="116">
        <v>934.22500000000002</v>
      </c>
      <c r="C1808" s="116">
        <v>927.49249999999995</v>
      </c>
      <c r="D1808" s="116">
        <v>914.72500000000002</v>
      </c>
      <c r="E1808" s="116">
        <v>914.72500000000002</v>
      </c>
      <c r="F1808" s="116">
        <v>18549.849999999999</v>
      </c>
      <c r="G1808">
        <v>1496</v>
      </c>
      <c r="H1808" s="116"/>
      <c r="I1808" s="116"/>
      <c r="L1808" s="170">
        <v>44669</v>
      </c>
      <c r="M1808" s="116">
        <v>928.07500000000005</v>
      </c>
      <c r="N1808" s="116">
        <v>934.3</v>
      </c>
      <c r="O1808" s="116">
        <v>915</v>
      </c>
      <c r="P1808" s="116">
        <v>915</v>
      </c>
      <c r="Q1808" s="116">
        <v>18561.5</v>
      </c>
      <c r="R1808">
        <v>53773</v>
      </c>
    </row>
    <row r="1809" spans="1:18" x14ac:dyDescent="0.25">
      <c r="A1809" s="170">
        <v>44670</v>
      </c>
      <c r="B1809" s="116">
        <v>935.9</v>
      </c>
      <c r="C1809" s="116">
        <v>897.15750000000003</v>
      </c>
      <c r="D1809" s="116">
        <v>892.28</v>
      </c>
      <c r="E1809" s="116">
        <v>923.50250000000005</v>
      </c>
      <c r="F1809" s="116">
        <v>17943.150000000001</v>
      </c>
      <c r="G1809">
        <v>2904</v>
      </c>
      <c r="H1809" s="116"/>
      <c r="I1809" s="116"/>
      <c r="L1809" s="170">
        <v>44670</v>
      </c>
      <c r="M1809" s="116">
        <v>897.43</v>
      </c>
      <c r="N1809" s="116">
        <v>936.25</v>
      </c>
      <c r="O1809" s="116">
        <v>891.61249999999995</v>
      </c>
      <c r="P1809" s="116">
        <v>927.02499999999998</v>
      </c>
      <c r="Q1809" s="116">
        <v>17948.599999999999</v>
      </c>
      <c r="R1809">
        <v>65942</v>
      </c>
    </row>
    <row r="1810" spans="1:18" x14ac:dyDescent="0.25">
      <c r="A1810" s="170">
        <v>44671</v>
      </c>
      <c r="B1810" s="116">
        <v>920.75</v>
      </c>
      <c r="C1810" s="116">
        <v>915.68499999999995</v>
      </c>
      <c r="D1810" s="116">
        <v>900.85749999999996</v>
      </c>
      <c r="E1810" s="116">
        <v>905.005</v>
      </c>
      <c r="F1810" s="116">
        <v>18313.7</v>
      </c>
      <c r="G1810">
        <v>6069</v>
      </c>
      <c r="H1810" s="116"/>
      <c r="I1810" s="116"/>
      <c r="L1810" s="170">
        <v>44671</v>
      </c>
      <c r="M1810" s="116">
        <v>915.26</v>
      </c>
      <c r="N1810" s="116">
        <v>920.94749999999999</v>
      </c>
      <c r="O1810" s="116">
        <v>899.49749999999995</v>
      </c>
      <c r="P1810" s="116">
        <v>909.94500000000005</v>
      </c>
      <c r="Q1810" s="116">
        <v>18305.2</v>
      </c>
      <c r="R1810">
        <v>88177</v>
      </c>
    </row>
    <row r="1811" spans="1:18" x14ac:dyDescent="0.25">
      <c r="A1811" s="170">
        <v>44672</v>
      </c>
      <c r="B1811" s="116">
        <v>928.64750000000004</v>
      </c>
      <c r="C1811" s="116">
        <v>910.29</v>
      </c>
      <c r="D1811" s="116">
        <v>888.64499999999998</v>
      </c>
      <c r="E1811" s="116">
        <v>907.5</v>
      </c>
      <c r="F1811" s="116">
        <v>18205.8</v>
      </c>
      <c r="G1811">
        <v>4590</v>
      </c>
      <c r="H1811" s="116"/>
      <c r="I1811" s="116"/>
      <c r="L1811" s="170">
        <v>44672</v>
      </c>
      <c r="M1811" s="116">
        <v>910.14750000000004</v>
      </c>
      <c r="N1811" s="116">
        <v>928.39499999999998</v>
      </c>
      <c r="O1811" s="116">
        <v>887.55</v>
      </c>
      <c r="P1811" s="116">
        <v>902.55</v>
      </c>
      <c r="Q1811" s="116">
        <v>18202.95</v>
      </c>
      <c r="R1811">
        <v>185341</v>
      </c>
    </row>
    <row r="1812" spans="1:18" x14ac:dyDescent="0.25">
      <c r="A1812" s="170">
        <v>44673</v>
      </c>
      <c r="B1812" s="116">
        <v>912.44749999999999</v>
      </c>
      <c r="C1812" s="116">
        <v>910.04250000000002</v>
      </c>
      <c r="D1812" s="116">
        <v>890.94749999999999</v>
      </c>
      <c r="E1812" s="116">
        <v>907.45</v>
      </c>
      <c r="F1812" s="116">
        <v>18200.849999999999</v>
      </c>
      <c r="G1812">
        <v>8657</v>
      </c>
      <c r="H1812" s="116"/>
      <c r="I1812" s="116"/>
      <c r="L1812" s="170">
        <v>44673</v>
      </c>
      <c r="M1812" s="116">
        <v>909.38750000000005</v>
      </c>
      <c r="N1812" s="116">
        <v>912.47249999999997</v>
      </c>
      <c r="O1812" s="116">
        <v>891.60500000000002</v>
      </c>
      <c r="P1812" s="116">
        <v>902.005</v>
      </c>
      <c r="Q1812" s="116">
        <v>18187.75</v>
      </c>
      <c r="R1812">
        <v>108707</v>
      </c>
    </row>
    <row r="1813" spans="1:18" x14ac:dyDescent="0.25">
      <c r="A1813" s="170">
        <v>44676</v>
      </c>
      <c r="B1813" s="116">
        <v>917.19500000000005</v>
      </c>
      <c r="C1813" s="116">
        <v>908.94749999999999</v>
      </c>
      <c r="D1813" s="116">
        <v>890.25</v>
      </c>
      <c r="E1813" s="116">
        <v>890.25</v>
      </c>
      <c r="F1813" s="116">
        <v>18178.95</v>
      </c>
      <c r="G1813">
        <v>6213</v>
      </c>
      <c r="H1813" s="116"/>
      <c r="I1813" s="116"/>
      <c r="L1813" s="170">
        <v>44676</v>
      </c>
      <c r="M1813" s="116">
        <v>908.73500000000001</v>
      </c>
      <c r="N1813" s="116">
        <v>917.5</v>
      </c>
      <c r="O1813" s="116">
        <v>892.505</v>
      </c>
      <c r="P1813" s="116">
        <v>895</v>
      </c>
      <c r="Q1813" s="116">
        <v>18174.7</v>
      </c>
      <c r="R1813">
        <v>84507</v>
      </c>
    </row>
    <row r="1814" spans="1:18" x14ac:dyDescent="0.25">
      <c r="A1814" s="170">
        <v>44677</v>
      </c>
      <c r="B1814" s="116">
        <v>926.75250000000005</v>
      </c>
      <c r="C1814" s="116">
        <v>920.90499999999997</v>
      </c>
      <c r="D1814" s="116">
        <v>909.34249999999997</v>
      </c>
      <c r="E1814" s="116">
        <v>911.1</v>
      </c>
      <c r="F1814" s="116">
        <v>18418.099999999999</v>
      </c>
      <c r="G1814">
        <v>1727</v>
      </c>
      <c r="H1814" s="116"/>
      <c r="I1814" s="116"/>
      <c r="L1814" s="170">
        <v>44677</v>
      </c>
      <c r="M1814" s="116">
        <v>920.78750000000002</v>
      </c>
      <c r="N1814" s="116">
        <v>927.21</v>
      </c>
      <c r="O1814" s="116">
        <v>910</v>
      </c>
      <c r="P1814" s="116">
        <v>915</v>
      </c>
      <c r="Q1814" s="116">
        <v>18415.75</v>
      </c>
      <c r="R1814">
        <v>70593</v>
      </c>
    </row>
    <row r="1815" spans="1:18" x14ac:dyDescent="0.25">
      <c r="A1815" s="170">
        <v>44678</v>
      </c>
      <c r="B1815" s="116">
        <v>923.41250000000002</v>
      </c>
      <c r="C1815" s="116">
        <v>911.31</v>
      </c>
      <c r="D1815" s="116">
        <v>907.50250000000005</v>
      </c>
      <c r="E1815" s="116">
        <v>907.50250000000005</v>
      </c>
      <c r="F1815" s="116">
        <v>18226.2</v>
      </c>
      <c r="G1815">
        <v>1309</v>
      </c>
      <c r="H1815" s="116"/>
      <c r="I1815" s="116"/>
      <c r="L1815" s="170">
        <v>44678</v>
      </c>
      <c r="M1815" s="116">
        <v>911.15</v>
      </c>
      <c r="N1815" s="116">
        <v>923.28499999999997</v>
      </c>
      <c r="O1815" s="116">
        <v>907.5</v>
      </c>
      <c r="P1815" s="116">
        <v>907.6</v>
      </c>
      <c r="Q1815" s="116">
        <v>18223</v>
      </c>
      <c r="R1815">
        <v>67430</v>
      </c>
    </row>
    <row r="1816" spans="1:18" x14ac:dyDescent="0.25">
      <c r="A1816" s="170">
        <v>44679</v>
      </c>
      <c r="B1816" s="116">
        <v>926.35249999999996</v>
      </c>
      <c r="C1816" s="116">
        <v>921.57249999999999</v>
      </c>
      <c r="D1816" s="116">
        <v>909.05250000000001</v>
      </c>
      <c r="E1816" s="116">
        <v>913.8</v>
      </c>
      <c r="F1816" s="116">
        <v>18431.45</v>
      </c>
      <c r="G1816">
        <v>1868</v>
      </c>
      <c r="H1816" s="116"/>
      <c r="I1816" s="116"/>
      <c r="L1816" s="170">
        <v>44679</v>
      </c>
      <c r="M1816" s="116">
        <v>921.38499999999999</v>
      </c>
      <c r="N1816" s="116">
        <v>926.74</v>
      </c>
      <c r="O1816" s="116">
        <v>908.75250000000005</v>
      </c>
      <c r="P1816" s="116">
        <v>911.92499999999995</v>
      </c>
      <c r="Q1816" s="116">
        <v>18427.7</v>
      </c>
      <c r="R1816">
        <v>78958</v>
      </c>
    </row>
    <row r="1817" spans="1:18" x14ac:dyDescent="0.25">
      <c r="A1817" s="170">
        <v>44680</v>
      </c>
      <c r="B1817" s="116">
        <v>932.61500000000001</v>
      </c>
      <c r="C1817" s="116">
        <v>915.44749999999999</v>
      </c>
      <c r="D1817" s="116">
        <v>913.41750000000002</v>
      </c>
      <c r="E1817" s="116">
        <v>917.88750000000005</v>
      </c>
      <c r="F1817" s="116">
        <v>18308.95</v>
      </c>
      <c r="G1817">
        <v>1414</v>
      </c>
      <c r="H1817" s="116"/>
      <c r="I1817" s="116"/>
      <c r="L1817" s="170">
        <v>44680</v>
      </c>
      <c r="M1817" s="116">
        <v>916.51499999999999</v>
      </c>
      <c r="N1817" s="116">
        <v>933.28</v>
      </c>
      <c r="O1817" s="116">
        <v>913.29</v>
      </c>
      <c r="P1817" s="116">
        <v>920.5</v>
      </c>
      <c r="Q1817" s="116">
        <v>18330.3</v>
      </c>
      <c r="R1817">
        <v>63398</v>
      </c>
    </row>
    <row r="1818" spans="1:18" x14ac:dyDescent="0.25">
      <c r="A1818" s="170">
        <v>44683</v>
      </c>
      <c r="B1818" s="116">
        <v>924.3175</v>
      </c>
      <c r="C1818" s="116">
        <v>920.70500000000004</v>
      </c>
      <c r="D1818" s="116">
        <v>910.86500000000001</v>
      </c>
      <c r="E1818" s="116">
        <v>915.41250000000002</v>
      </c>
      <c r="F1818" s="116">
        <v>18414.099999999999</v>
      </c>
      <c r="G1818">
        <v>1701</v>
      </c>
      <c r="H1818" s="116"/>
      <c r="I1818" s="116"/>
      <c r="L1818" s="170">
        <v>44683</v>
      </c>
      <c r="M1818" s="116">
        <v>922.02750000000003</v>
      </c>
      <c r="N1818" s="116">
        <v>924</v>
      </c>
      <c r="O1818" s="116">
        <v>910.5</v>
      </c>
      <c r="P1818" s="116">
        <v>913.45</v>
      </c>
      <c r="Q1818" s="116">
        <v>18440.55</v>
      </c>
      <c r="R1818">
        <v>41597</v>
      </c>
    </row>
    <row r="1819" spans="1:18" x14ac:dyDescent="0.25">
      <c r="A1819" s="170">
        <v>44685</v>
      </c>
      <c r="B1819" s="116">
        <v>923</v>
      </c>
      <c r="C1819" s="116">
        <v>904.93499999999995</v>
      </c>
      <c r="D1819" s="116">
        <v>899.94</v>
      </c>
      <c r="E1819" s="116">
        <v>920.7</v>
      </c>
      <c r="F1819" s="116">
        <v>18098.7</v>
      </c>
      <c r="G1819">
        <v>38470</v>
      </c>
      <c r="H1819" s="116"/>
      <c r="I1819" s="116"/>
      <c r="L1819" s="170">
        <v>44685</v>
      </c>
      <c r="M1819" s="116">
        <v>904.38750000000005</v>
      </c>
      <c r="N1819" s="116">
        <v>923.60500000000002</v>
      </c>
      <c r="O1819" s="116">
        <v>898.53250000000003</v>
      </c>
      <c r="P1819" s="116">
        <v>914.05499999999995</v>
      </c>
      <c r="Q1819" s="116">
        <v>18087.75</v>
      </c>
      <c r="R1819">
        <v>60857</v>
      </c>
    </row>
    <row r="1820" spans="1:18" x14ac:dyDescent="0.25">
      <c r="A1820" s="170">
        <v>44686</v>
      </c>
      <c r="B1820" s="116">
        <v>911.8</v>
      </c>
      <c r="C1820" s="116">
        <v>879.96749999999997</v>
      </c>
      <c r="D1820" s="116">
        <v>875.49249999999995</v>
      </c>
      <c r="E1820" s="116">
        <v>896.54</v>
      </c>
      <c r="F1820" s="116">
        <v>17599.349999999999</v>
      </c>
      <c r="G1820">
        <v>1952</v>
      </c>
      <c r="H1820" s="116"/>
      <c r="I1820" s="116"/>
      <c r="L1820" s="170">
        <v>44686</v>
      </c>
      <c r="M1820" s="116">
        <v>880.1875</v>
      </c>
      <c r="N1820" s="116">
        <v>918.92</v>
      </c>
      <c r="O1820" s="116">
        <v>875.3</v>
      </c>
      <c r="P1820" s="116">
        <v>915.50750000000005</v>
      </c>
      <c r="Q1820" s="116">
        <v>17603.75</v>
      </c>
      <c r="R1820">
        <v>63313</v>
      </c>
    </row>
    <row r="1821" spans="1:18" x14ac:dyDescent="0.25">
      <c r="A1821" s="170">
        <v>44687</v>
      </c>
      <c r="B1821" s="116">
        <v>876.50750000000005</v>
      </c>
      <c r="C1821" s="116">
        <v>850.1</v>
      </c>
      <c r="D1821" s="116">
        <v>849</v>
      </c>
      <c r="E1821" s="116">
        <v>875</v>
      </c>
      <c r="F1821" s="116">
        <v>17002</v>
      </c>
      <c r="G1821">
        <v>2046</v>
      </c>
      <c r="H1821" s="116"/>
      <c r="I1821" s="116"/>
      <c r="L1821" s="170">
        <v>44687</v>
      </c>
      <c r="M1821" s="116">
        <v>849.77250000000004</v>
      </c>
      <c r="N1821" s="116">
        <v>879.98500000000001</v>
      </c>
      <c r="O1821" s="116">
        <v>848.75</v>
      </c>
      <c r="P1821" s="116">
        <v>874.99</v>
      </c>
      <c r="Q1821" s="116">
        <v>16995.45</v>
      </c>
      <c r="R1821">
        <v>89997</v>
      </c>
    </row>
    <row r="1822" spans="1:18" x14ac:dyDescent="0.25">
      <c r="A1822" s="170">
        <v>44690</v>
      </c>
      <c r="B1822" s="116">
        <v>851.50250000000005</v>
      </c>
      <c r="C1822" s="116">
        <v>825.83500000000004</v>
      </c>
      <c r="D1822" s="116">
        <v>822.52</v>
      </c>
      <c r="E1822" s="116">
        <v>851.50250000000005</v>
      </c>
      <c r="F1822" s="116">
        <v>16516.7</v>
      </c>
      <c r="G1822">
        <v>4546</v>
      </c>
      <c r="H1822" s="116"/>
      <c r="I1822" s="116"/>
      <c r="L1822" s="170">
        <v>44690</v>
      </c>
      <c r="M1822" s="116">
        <v>825.21749999999997</v>
      </c>
      <c r="N1822" s="116">
        <v>852.76499999999999</v>
      </c>
      <c r="O1822" s="116">
        <v>822.5</v>
      </c>
      <c r="P1822" s="116">
        <v>849.67250000000001</v>
      </c>
      <c r="Q1822" s="116">
        <v>16504.349999999999</v>
      </c>
      <c r="R1822">
        <v>115147</v>
      </c>
    </row>
    <row r="1823" spans="1:18" x14ac:dyDescent="0.25">
      <c r="A1823" s="170">
        <v>44691</v>
      </c>
      <c r="B1823" s="116">
        <v>834.48</v>
      </c>
      <c r="C1823" s="116">
        <v>826.54750000000001</v>
      </c>
      <c r="D1823" s="116">
        <v>820</v>
      </c>
      <c r="E1823" s="116">
        <v>833.5</v>
      </c>
      <c r="F1823" s="116">
        <v>16530.95</v>
      </c>
      <c r="G1823">
        <v>2435</v>
      </c>
      <c r="H1823" s="116"/>
      <c r="I1823" s="116"/>
      <c r="L1823" s="170">
        <v>44691</v>
      </c>
      <c r="M1823" s="116">
        <v>826.03</v>
      </c>
      <c r="N1823" s="116">
        <v>834</v>
      </c>
      <c r="O1823" s="116">
        <v>820.05</v>
      </c>
      <c r="P1823" s="116">
        <v>832</v>
      </c>
      <c r="Q1823" s="116">
        <v>16520.599999999999</v>
      </c>
      <c r="R1823">
        <v>67177</v>
      </c>
    </row>
    <row r="1824" spans="1:18" x14ac:dyDescent="0.25">
      <c r="A1824" s="170">
        <v>44692</v>
      </c>
      <c r="B1824" s="116">
        <v>830.60249999999996</v>
      </c>
      <c r="C1824" s="116">
        <v>825.29750000000001</v>
      </c>
      <c r="D1824" s="116">
        <v>812.25</v>
      </c>
      <c r="E1824" s="116">
        <v>829.99249999999995</v>
      </c>
      <c r="F1824" s="116">
        <v>16505.95</v>
      </c>
      <c r="G1824">
        <v>2151</v>
      </c>
      <c r="H1824" s="116"/>
      <c r="I1824" s="116"/>
      <c r="L1824" s="170">
        <v>44692</v>
      </c>
      <c r="M1824" s="116">
        <v>825.62</v>
      </c>
      <c r="N1824" s="116">
        <v>831.95500000000004</v>
      </c>
      <c r="O1824" s="116">
        <v>811.745</v>
      </c>
      <c r="P1824" s="116">
        <v>826.03</v>
      </c>
      <c r="Q1824" s="116">
        <v>16512.400000000001</v>
      </c>
      <c r="R1824">
        <v>61787</v>
      </c>
    </row>
    <row r="1825" spans="1:18" x14ac:dyDescent="0.25">
      <c r="A1825" s="170">
        <v>44693</v>
      </c>
      <c r="B1825" s="116">
        <v>832.11500000000001</v>
      </c>
      <c r="C1825" s="116">
        <v>811.57749999999999</v>
      </c>
      <c r="D1825" s="116">
        <v>807</v>
      </c>
      <c r="E1825" s="116">
        <v>832.11500000000001</v>
      </c>
      <c r="F1825" s="116">
        <v>16231.55</v>
      </c>
      <c r="G1825">
        <v>1292</v>
      </c>
      <c r="H1825" s="116"/>
      <c r="I1825" s="116"/>
      <c r="L1825" s="170">
        <v>44693</v>
      </c>
      <c r="M1825" s="116">
        <v>811</v>
      </c>
      <c r="N1825" s="116">
        <v>824.22500000000002</v>
      </c>
      <c r="O1825" s="116">
        <v>806.33749999999998</v>
      </c>
      <c r="P1825" s="116">
        <v>824.22500000000002</v>
      </c>
      <c r="Q1825" s="116">
        <v>16220</v>
      </c>
      <c r="R1825">
        <v>71776</v>
      </c>
    </row>
    <row r="1826" spans="1:18" x14ac:dyDescent="0.25">
      <c r="A1826" s="170">
        <v>44694</v>
      </c>
      <c r="B1826" s="116">
        <v>828.38</v>
      </c>
      <c r="C1826" s="116">
        <v>820.30499999999995</v>
      </c>
      <c r="D1826" s="116">
        <v>815.5</v>
      </c>
      <c r="E1826" s="116">
        <v>816.65</v>
      </c>
      <c r="F1826" s="116">
        <v>16406.099999999999</v>
      </c>
      <c r="G1826">
        <v>1684</v>
      </c>
      <c r="H1826" s="116"/>
      <c r="I1826" s="116"/>
      <c r="L1826" s="170">
        <v>44694</v>
      </c>
      <c r="M1826" s="116">
        <v>820.14750000000004</v>
      </c>
      <c r="N1826" s="116">
        <v>828.11500000000001</v>
      </c>
      <c r="O1826" s="116">
        <v>815.245</v>
      </c>
      <c r="P1826" s="116">
        <v>824.5</v>
      </c>
      <c r="Q1826" s="116">
        <v>16402.95</v>
      </c>
      <c r="R1826">
        <v>55439</v>
      </c>
    </row>
    <row r="1827" spans="1:18" x14ac:dyDescent="0.25">
      <c r="A1827" s="170">
        <v>44697</v>
      </c>
      <c r="B1827" s="116">
        <v>829.75</v>
      </c>
      <c r="C1827" s="116">
        <v>810.97249999999997</v>
      </c>
      <c r="D1827" s="116">
        <v>807.20249999999999</v>
      </c>
      <c r="E1827" s="116">
        <v>829.75</v>
      </c>
      <c r="F1827" s="116">
        <v>16219.45</v>
      </c>
      <c r="G1827">
        <v>1651</v>
      </c>
      <c r="H1827" s="116"/>
      <c r="I1827" s="116"/>
      <c r="L1827" s="170">
        <v>44697</v>
      </c>
      <c r="M1827" s="116">
        <v>810.9425</v>
      </c>
      <c r="N1827" s="116">
        <v>826</v>
      </c>
      <c r="O1827" s="116">
        <v>806.72249999999997</v>
      </c>
      <c r="P1827" s="116">
        <v>825.1</v>
      </c>
      <c r="Q1827" s="116">
        <v>16218.85</v>
      </c>
      <c r="R1827">
        <v>52483</v>
      </c>
    </row>
    <row r="1828" spans="1:18" x14ac:dyDescent="0.25">
      <c r="A1828" s="170">
        <v>44698</v>
      </c>
      <c r="B1828" s="116">
        <v>820</v>
      </c>
      <c r="C1828" s="116">
        <v>816.17750000000001</v>
      </c>
      <c r="D1828" s="116">
        <v>808.6</v>
      </c>
      <c r="E1828" s="116">
        <v>819.3</v>
      </c>
      <c r="F1828" s="116">
        <v>16323.55</v>
      </c>
      <c r="G1828">
        <v>1397</v>
      </c>
      <c r="H1828" s="116"/>
      <c r="I1828" s="116"/>
      <c r="L1828" s="170">
        <v>44698</v>
      </c>
      <c r="M1828" s="116">
        <v>816.17</v>
      </c>
      <c r="N1828" s="116">
        <v>819.5</v>
      </c>
      <c r="O1828" s="116">
        <v>808.23249999999996</v>
      </c>
      <c r="P1828" s="116">
        <v>819.5</v>
      </c>
      <c r="Q1828" s="116">
        <v>16323.4</v>
      </c>
      <c r="R1828">
        <v>86305</v>
      </c>
    </row>
    <row r="1829" spans="1:18" x14ac:dyDescent="0.25">
      <c r="A1829" s="170">
        <v>44699</v>
      </c>
      <c r="B1829" s="116">
        <v>820.49</v>
      </c>
      <c r="C1829" s="116">
        <v>817.76</v>
      </c>
      <c r="D1829" s="116">
        <v>811.49249999999995</v>
      </c>
      <c r="E1829" s="116">
        <v>819.99749999999995</v>
      </c>
      <c r="F1829" s="116">
        <v>16355.2</v>
      </c>
      <c r="G1829">
        <v>2705</v>
      </c>
      <c r="H1829" s="116"/>
      <c r="I1829" s="116"/>
      <c r="L1829" s="170">
        <v>44699</v>
      </c>
      <c r="M1829" s="116">
        <v>817.18</v>
      </c>
      <c r="N1829" s="116">
        <v>820.91750000000002</v>
      </c>
      <c r="O1829" s="116">
        <v>810.6</v>
      </c>
      <c r="P1829" s="116">
        <v>816.17</v>
      </c>
      <c r="Q1829" s="116">
        <v>16343.6</v>
      </c>
      <c r="R1829">
        <v>96009</v>
      </c>
    </row>
    <row r="1830" spans="1:18" x14ac:dyDescent="0.25">
      <c r="A1830" s="170">
        <v>44700</v>
      </c>
      <c r="B1830" s="116">
        <v>810.58500000000004</v>
      </c>
      <c r="C1830" s="116">
        <v>805.04750000000001</v>
      </c>
      <c r="D1830" s="116">
        <v>800</v>
      </c>
      <c r="E1830" s="116">
        <v>810</v>
      </c>
      <c r="F1830" s="116">
        <v>16100.95</v>
      </c>
      <c r="G1830">
        <v>2492</v>
      </c>
      <c r="H1830" s="116"/>
      <c r="I1830" s="116"/>
      <c r="L1830" s="170">
        <v>44700</v>
      </c>
      <c r="M1830" s="116">
        <v>804.71249999999998</v>
      </c>
      <c r="N1830" s="116">
        <v>812.24749999999995</v>
      </c>
      <c r="O1830" s="116">
        <v>800</v>
      </c>
      <c r="P1830" s="116">
        <v>808.5</v>
      </c>
      <c r="Q1830" s="116">
        <v>16094.25</v>
      </c>
      <c r="R1830">
        <v>70502</v>
      </c>
    </row>
    <row r="1831" spans="1:18" x14ac:dyDescent="0.25">
      <c r="A1831" s="170">
        <v>44701</v>
      </c>
      <c r="B1831" s="116">
        <v>847.5</v>
      </c>
      <c r="C1831" s="116">
        <v>843.1925</v>
      </c>
      <c r="D1831" s="116">
        <v>814.83749999999998</v>
      </c>
      <c r="E1831" s="116">
        <v>814.9</v>
      </c>
      <c r="F1831" s="116">
        <v>16863.849999999999</v>
      </c>
      <c r="G1831">
        <v>4480</v>
      </c>
      <c r="H1831" s="116"/>
      <c r="I1831" s="116"/>
      <c r="L1831" s="170">
        <v>44701</v>
      </c>
      <c r="M1831" s="116">
        <v>843.1</v>
      </c>
      <c r="N1831" s="116">
        <v>848</v>
      </c>
      <c r="O1831" s="116">
        <v>812.50250000000005</v>
      </c>
      <c r="P1831" s="116">
        <v>816.05</v>
      </c>
      <c r="Q1831" s="116">
        <v>16862</v>
      </c>
      <c r="R1831">
        <v>152477</v>
      </c>
    </row>
    <row r="1832" spans="1:18" x14ac:dyDescent="0.25">
      <c r="A1832" s="170">
        <v>44704</v>
      </c>
      <c r="B1832" s="116">
        <v>868</v>
      </c>
      <c r="C1832" s="116">
        <v>849.43</v>
      </c>
      <c r="D1832" s="116">
        <v>845.58</v>
      </c>
      <c r="E1832" s="116">
        <v>852.75250000000005</v>
      </c>
      <c r="F1832" s="116">
        <v>16988.599999999999</v>
      </c>
      <c r="G1832">
        <v>3255</v>
      </c>
      <c r="H1832" s="116"/>
      <c r="I1832" s="116"/>
      <c r="L1832" s="170">
        <v>44704</v>
      </c>
      <c r="M1832" s="116">
        <v>849.71500000000003</v>
      </c>
      <c r="N1832" s="116">
        <v>868.5</v>
      </c>
      <c r="O1832" s="116">
        <v>845.56500000000005</v>
      </c>
      <c r="P1832" s="116">
        <v>852.99749999999995</v>
      </c>
      <c r="Q1832" s="116">
        <v>16994.3</v>
      </c>
      <c r="R1832">
        <v>103173</v>
      </c>
    </row>
    <row r="1833" spans="1:18" x14ac:dyDescent="0.25">
      <c r="A1833" s="170">
        <v>44705</v>
      </c>
      <c r="B1833" s="116">
        <v>863.53250000000003</v>
      </c>
      <c r="C1833" s="116">
        <v>859.38750000000005</v>
      </c>
      <c r="D1833" s="116">
        <v>842.65</v>
      </c>
      <c r="E1833" s="116">
        <v>853.75</v>
      </c>
      <c r="F1833" s="116">
        <v>17187.75</v>
      </c>
      <c r="G1833">
        <v>1241</v>
      </c>
      <c r="H1833" s="116"/>
      <c r="I1833" s="116"/>
      <c r="L1833" s="170">
        <v>44705</v>
      </c>
      <c r="M1833" s="116">
        <v>859.35500000000002</v>
      </c>
      <c r="N1833" s="116">
        <v>863.91499999999996</v>
      </c>
      <c r="O1833" s="116">
        <v>842.65499999999997</v>
      </c>
      <c r="P1833" s="116">
        <v>857.45</v>
      </c>
      <c r="Q1833" s="116">
        <v>17187.099999999999</v>
      </c>
      <c r="R1833">
        <v>92410</v>
      </c>
    </row>
    <row r="1834" spans="1:18" x14ac:dyDescent="0.25">
      <c r="A1834" s="170">
        <v>44706</v>
      </c>
      <c r="B1834" s="116">
        <v>878.76499999999999</v>
      </c>
      <c r="C1834" s="116">
        <v>864.15499999999997</v>
      </c>
      <c r="D1834" s="116">
        <v>860.91</v>
      </c>
      <c r="E1834" s="116">
        <v>862.5</v>
      </c>
      <c r="F1834" s="116">
        <v>17283.099999999999</v>
      </c>
      <c r="G1834">
        <v>2788</v>
      </c>
      <c r="H1834" s="116"/>
      <c r="I1834" s="116"/>
      <c r="L1834" s="170">
        <v>44706</v>
      </c>
      <c r="M1834" s="116">
        <v>864.1875</v>
      </c>
      <c r="N1834" s="116">
        <v>879.3</v>
      </c>
      <c r="O1834" s="116">
        <v>860.17250000000001</v>
      </c>
      <c r="P1834" s="116">
        <v>864</v>
      </c>
      <c r="Q1834" s="116">
        <v>17283.75</v>
      </c>
      <c r="R1834">
        <v>81501</v>
      </c>
    </row>
    <row r="1835" spans="1:18" x14ac:dyDescent="0.25">
      <c r="A1835" s="170">
        <v>44707</v>
      </c>
      <c r="B1835" s="116">
        <v>885.55</v>
      </c>
      <c r="C1835" s="116">
        <v>884.37</v>
      </c>
      <c r="D1835" s="116">
        <v>866.67250000000001</v>
      </c>
      <c r="E1835" s="116">
        <v>874.94500000000005</v>
      </c>
      <c r="F1835" s="116">
        <v>17687.400000000001</v>
      </c>
      <c r="G1835">
        <v>1625</v>
      </c>
      <c r="H1835" s="116"/>
      <c r="I1835" s="116"/>
      <c r="L1835" s="170">
        <v>44707</v>
      </c>
      <c r="M1835" s="116">
        <v>882.625</v>
      </c>
      <c r="N1835" s="116">
        <v>886.5</v>
      </c>
      <c r="O1835" s="116">
        <v>866.07249999999999</v>
      </c>
      <c r="P1835" s="116">
        <v>871.75</v>
      </c>
      <c r="Q1835" s="116">
        <v>17652.5</v>
      </c>
      <c r="R1835">
        <v>105581</v>
      </c>
    </row>
    <row r="1836" spans="1:18" x14ac:dyDescent="0.25">
      <c r="A1836" s="170">
        <v>44708</v>
      </c>
      <c r="B1836" s="116">
        <v>892.5</v>
      </c>
      <c r="C1836" s="116">
        <v>881.68</v>
      </c>
      <c r="D1836" s="116">
        <v>875</v>
      </c>
      <c r="E1836" s="116">
        <v>892.5</v>
      </c>
      <c r="F1836" s="116">
        <v>17633.599999999999</v>
      </c>
      <c r="G1836">
        <v>1296</v>
      </c>
      <c r="H1836" s="116"/>
      <c r="I1836" s="116"/>
      <c r="L1836" s="170">
        <v>44708</v>
      </c>
      <c r="M1836" s="116">
        <v>882.05250000000001</v>
      </c>
      <c r="N1836" s="116">
        <v>891.34749999999997</v>
      </c>
      <c r="O1836" s="116">
        <v>874.36</v>
      </c>
      <c r="P1836" s="116">
        <v>887.5</v>
      </c>
      <c r="Q1836" s="116">
        <v>17641.05</v>
      </c>
      <c r="R1836">
        <v>42527</v>
      </c>
    </row>
    <row r="1837" spans="1:18" x14ac:dyDescent="0.25">
      <c r="A1837" s="170">
        <v>44711</v>
      </c>
      <c r="B1837" s="116">
        <v>898.79750000000001</v>
      </c>
      <c r="C1837" s="116">
        <v>885.01250000000005</v>
      </c>
      <c r="D1837" s="116">
        <v>882.05250000000001</v>
      </c>
      <c r="E1837" s="116">
        <v>887</v>
      </c>
      <c r="F1837" s="116">
        <v>17700.25</v>
      </c>
      <c r="G1837">
        <v>1312</v>
      </c>
      <c r="H1837" s="116"/>
      <c r="I1837" s="116"/>
      <c r="L1837" s="170">
        <v>44711</v>
      </c>
      <c r="M1837" s="116">
        <v>885.34500000000003</v>
      </c>
      <c r="N1837" s="116">
        <v>899.34500000000003</v>
      </c>
      <c r="O1837" s="116">
        <v>881.74249999999995</v>
      </c>
      <c r="P1837" s="116">
        <v>885</v>
      </c>
      <c r="Q1837" s="116">
        <v>17706.900000000001</v>
      </c>
      <c r="R1837">
        <v>52058</v>
      </c>
    </row>
    <row r="1838" spans="1:18" x14ac:dyDescent="0.25">
      <c r="A1838" s="170">
        <v>44712</v>
      </c>
      <c r="B1838" s="116">
        <v>907.5</v>
      </c>
      <c r="C1838" s="116">
        <v>888.5</v>
      </c>
      <c r="D1838" s="116">
        <v>873</v>
      </c>
      <c r="E1838" s="116">
        <v>886.995</v>
      </c>
      <c r="F1838" s="116">
        <v>17770</v>
      </c>
      <c r="G1838">
        <v>3999</v>
      </c>
      <c r="H1838" s="116"/>
      <c r="I1838" s="116"/>
      <c r="L1838" s="170">
        <v>44712</v>
      </c>
      <c r="M1838" s="116">
        <v>884.57500000000005</v>
      </c>
      <c r="N1838" s="116">
        <v>907.88</v>
      </c>
      <c r="O1838" s="116">
        <v>872.85</v>
      </c>
      <c r="P1838" s="116">
        <v>885.25250000000005</v>
      </c>
      <c r="Q1838" s="116">
        <v>17691.5</v>
      </c>
      <c r="R1838">
        <v>359537</v>
      </c>
    </row>
    <row r="1839" spans="1:18" x14ac:dyDescent="0.25">
      <c r="A1839" s="170">
        <v>44713</v>
      </c>
      <c r="B1839" s="116">
        <v>891.625</v>
      </c>
      <c r="C1839" s="116">
        <v>861.92499999999995</v>
      </c>
      <c r="D1839" s="116">
        <v>859.4</v>
      </c>
      <c r="E1839" s="116">
        <v>881.95</v>
      </c>
      <c r="F1839" s="116">
        <v>17238.5</v>
      </c>
      <c r="G1839">
        <v>5059</v>
      </c>
      <c r="H1839" s="116"/>
      <c r="I1839" s="116"/>
      <c r="L1839" s="170">
        <v>44713</v>
      </c>
      <c r="M1839" s="116">
        <v>862.07749999999999</v>
      </c>
      <c r="N1839" s="116">
        <v>892.42250000000001</v>
      </c>
      <c r="O1839" s="116">
        <v>859.005</v>
      </c>
      <c r="P1839" s="116">
        <v>879</v>
      </c>
      <c r="Q1839" s="116">
        <v>17241.55</v>
      </c>
      <c r="R1839">
        <v>58247</v>
      </c>
    </row>
    <row r="1840" spans="1:18" x14ac:dyDescent="0.25">
      <c r="A1840" s="170">
        <v>44714</v>
      </c>
      <c r="B1840" s="116">
        <v>873.6875</v>
      </c>
      <c r="C1840" s="116">
        <v>869.98</v>
      </c>
      <c r="D1840" s="116">
        <v>851.5</v>
      </c>
      <c r="E1840" s="116">
        <v>864.95</v>
      </c>
      <c r="F1840" s="116">
        <v>17399.599999999999</v>
      </c>
      <c r="G1840">
        <v>1890</v>
      </c>
      <c r="H1840" s="116"/>
      <c r="I1840" s="116"/>
      <c r="L1840" s="170">
        <v>44714</v>
      </c>
      <c r="M1840" s="116">
        <v>869.69</v>
      </c>
      <c r="N1840" s="116">
        <v>873.8175</v>
      </c>
      <c r="O1840" s="116">
        <v>851.00250000000005</v>
      </c>
      <c r="P1840" s="116">
        <v>862</v>
      </c>
      <c r="Q1840" s="116">
        <v>17393.8</v>
      </c>
      <c r="R1840">
        <v>68899</v>
      </c>
    </row>
    <row r="1841" spans="1:18" x14ac:dyDescent="0.25">
      <c r="A1841" s="170">
        <v>44715</v>
      </c>
      <c r="B1841" s="116">
        <v>877.52750000000003</v>
      </c>
      <c r="C1841" s="116">
        <v>858.5</v>
      </c>
      <c r="D1841" s="116">
        <v>857</v>
      </c>
      <c r="E1841" s="116">
        <v>876.9</v>
      </c>
      <c r="F1841" s="116">
        <v>17170</v>
      </c>
      <c r="G1841">
        <v>1647</v>
      </c>
      <c r="H1841" s="116"/>
      <c r="I1841" s="116"/>
      <c r="L1841" s="170">
        <v>44715</v>
      </c>
      <c r="M1841" s="116">
        <v>858.55</v>
      </c>
      <c r="N1841" s="116">
        <v>878.36749999999995</v>
      </c>
      <c r="O1841" s="116">
        <v>856.28</v>
      </c>
      <c r="P1841" s="116">
        <v>878.15</v>
      </c>
      <c r="Q1841" s="116">
        <v>17171</v>
      </c>
      <c r="R1841">
        <v>52686</v>
      </c>
    </row>
    <row r="1842" spans="1:18" x14ac:dyDescent="0.25">
      <c r="A1842" s="170">
        <v>44718</v>
      </c>
      <c r="B1842" s="116">
        <v>860.29250000000002</v>
      </c>
      <c r="C1842" s="116">
        <v>849.83</v>
      </c>
      <c r="D1842" s="116">
        <v>847.75</v>
      </c>
      <c r="E1842" s="116">
        <v>858.5</v>
      </c>
      <c r="F1842" s="116">
        <v>16996.599999999999</v>
      </c>
      <c r="G1842">
        <v>1064</v>
      </c>
      <c r="H1842" s="116"/>
      <c r="I1842" s="116"/>
      <c r="L1842" s="170">
        <v>44718</v>
      </c>
      <c r="M1842" s="116">
        <v>849.84500000000003</v>
      </c>
      <c r="N1842" s="116">
        <v>861.84</v>
      </c>
      <c r="O1842" s="116">
        <v>847.65499999999997</v>
      </c>
      <c r="P1842" s="116">
        <v>858.55</v>
      </c>
      <c r="Q1842" s="116">
        <v>16996.900000000001</v>
      </c>
      <c r="R1842">
        <v>36001</v>
      </c>
    </row>
    <row r="1843" spans="1:18" x14ac:dyDescent="0.25">
      <c r="A1843" s="170">
        <v>44719</v>
      </c>
      <c r="B1843" s="116">
        <v>848.40499999999997</v>
      </c>
      <c r="C1843" s="116">
        <v>838.14499999999998</v>
      </c>
      <c r="D1843" s="116">
        <v>830.52</v>
      </c>
      <c r="E1843" s="116">
        <v>848.40499999999997</v>
      </c>
      <c r="F1843" s="116">
        <v>16762.900000000001</v>
      </c>
      <c r="G1843">
        <v>1262</v>
      </c>
      <c r="H1843" s="116"/>
      <c r="I1843" s="116"/>
      <c r="L1843" s="170">
        <v>44719</v>
      </c>
      <c r="M1843" s="116">
        <v>837.34500000000003</v>
      </c>
      <c r="N1843" s="116">
        <v>849.97749999999996</v>
      </c>
      <c r="O1843" s="116">
        <v>830.5</v>
      </c>
      <c r="P1843" s="116">
        <v>842.50250000000005</v>
      </c>
      <c r="Q1843" s="116">
        <v>16746.900000000001</v>
      </c>
      <c r="R1843">
        <v>50762</v>
      </c>
    </row>
    <row r="1844" spans="1:18" x14ac:dyDescent="0.25">
      <c r="A1844" s="170">
        <v>44720</v>
      </c>
      <c r="B1844" s="116">
        <v>837.84249999999997</v>
      </c>
      <c r="C1844" s="116">
        <v>836.77250000000004</v>
      </c>
      <c r="D1844" s="116">
        <v>822.62750000000005</v>
      </c>
      <c r="E1844" s="116">
        <v>836</v>
      </c>
      <c r="F1844" s="116">
        <v>16735.45</v>
      </c>
      <c r="G1844">
        <v>3740</v>
      </c>
      <c r="H1844" s="116"/>
      <c r="I1844" s="116"/>
      <c r="L1844" s="170">
        <v>44720</v>
      </c>
      <c r="M1844" s="116">
        <v>836.1875</v>
      </c>
      <c r="N1844" s="116">
        <v>838</v>
      </c>
      <c r="O1844" s="116">
        <v>822.32749999999999</v>
      </c>
      <c r="P1844" s="116">
        <v>831.52499999999998</v>
      </c>
      <c r="Q1844" s="116">
        <v>16723.75</v>
      </c>
      <c r="R1844">
        <v>81636</v>
      </c>
    </row>
    <row r="1845" spans="1:18" x14ac:dyDescent="0.25">
      <c r="A1845" s="170">
        <v>44721</v>
      </c>
      <c r="B1845" s="116">
        <v>841.45749999999998</v>
      </c>
      <c r="C1845" s="116">
        <v>838.62249999999995</v>
      </c>
      <c r="D1845" s="116">
        <v>824.5</v>
      </c>
      <c r="E1845" s="116">
        <v>833.69500000000005</v>
      </c>
      <c r="F1845" s="116">
        <v>16772.45</v>
      </c>
      <c r="G1845">
        <v>1098</v>
      </c>
      <c r="H1845" s="116"/>
      <c r="I1845" s="116"/>
      <c r="L1845" s="170">
        <v>44721</v>
      </c>
      <c r="M1845" s="116">
        <v>838.40750000000003</v>
      </c>
      <c r="N1845" s="116">
        <v>841.24749999999995</v>
      </c>
      <c r="O1845" s="116">
        <v>824.25250000000005</v>
      </c>
      <c r="P1845" s="116">
        <v>834.01</v>
      </c>
      <c r="Q1845" s="116">
        <v>16768.150000000001</v>
      </c>
      <c r="R1845">
        <v>28748</v>
      </c>
    </row>
    <row r="1846" spans="1:18" x14ac:dyDescent="0.25">
      <c r="A1846" s="170">
        <v>44722</v>
      </c>
      <c r="B1846" s="116">
        <v>843.63750000000005</v>
      </c>
      <c r="C1846" s="116">
        <v>839.00250000000005</v>
      </c>
      <c r="D1846" s="116">
        <v>827.25</v>
      </c>
      <c r="E1846" s="116">
        <v>835</v>
      </c>
      <c r="F1846" s="116">
        <v>16780.05</v>
      </c>
      <c r="G1846">
        <v>1521</v>
      </c>
      <c r="H1846" s="116"/>
      <c r="I1846" s="116"/>
      <c r="L1846" s="170">
        <v>44722</v>
      </c>
      <c r="M1846" s="116">
        <v>838.745</v>
      </c>
      <c r="N1846" s="116">
        <v>843.625</v>
      </c>
      <c r="O1846" s="116">
        <v>826.84</v>
      </c>
      <c r="P1846" s="116">
        <v>833.05</v>
      </c>
      <c r="Q1846" s="116">
        <v>16774.900000000001</v>
      </c>
      <c r="R1846">
        <v>44810</v>
      </c>
    </row>
    <row r="1847" spans="1:18" x14ac:dyDescent="0.25">
      <c r="A1847" s="170">
        <v>44725</v>
      </c>
      <c r="B1847" s="116">
        <v>848.59749999999997</v>
      </c>
      <c r="C1847" s="116">
        <v>842.86249999999995</v>
      </c>
      <c r="D1847" s="116">
        <v>827.5</v>
      </c>
      <c r="E1847" s="116">
        <v>832.5</v>
      </c>
      <c r="F1847" s="116">
        <v>16857.25</v>
      </c>
      <c r="G1847">
        <v>5860</v>
      </c>
      <c r="H1847" s="116"/>
      <c r="I1847" s="116"/>
      <c r="L1847" s="170">
        <v>44725</v>
      </c>
      <c r="M1847" s="116">
        <v>842.72249999999997</v>
      </c>
      <c r="N1847" s="116">
        <v>848.49</v>
      </c>
      <c r="O1847" s="116">
        <v>827</v>
      </c>
      <c r="P1847" s="116">
        <v>834.5</v>
      </c>
      <c r="Q1847" s="116">
        <v>16854.45</v>
      </c>
      <c r="R1847">
        <v>118464</v>
      </c>
    </row>
    <row r="1848" spans="1:18" x14ac:dyDescent="0.25">
      <c r="A1848" s="170">
        <v>44726</v>
      </c>
      <c r="B1848" s="116">
        <v>854.02750000000003</v>
      </c>
      <c r="C1848" s="116">
        <v>843.52</v>
      </c>
      <c r="D1848" s="116">
        <v>837.5</v>
      </c>
      <c r="E1848" s="116">
        <v>837.5</v>
      </c>
      <c r="F1848" s="116">
        <v>16870.400000000001</v>
      </c>
      <c r="G1848">
        <v>2341</v>
      </c>
      <c r="H1848" s="116"/>
      <c r="I1848" s="116"/>
      <c r="L1848" s="170">
        <v>44726</v>
      </c>
      <c r="M1848" s="116">
        <v>843.57249999999999</v>
      </c>
      <c r="N1848" s="116">
        <v>855</v>
      </c>
      <c r="O1848" s="116">
        <v>838</v>
      </c>
      <c r="P1848" s="116">
        <v>842.82500000000005</v>
      </c>
      <c r="Q1848" s="116">
        <v>16871.45</v>
      </c>
      <c r="R1848">
        <v>66081</v>
      </c>
    </row>
    <row r="1849" spans="1:18" x14ac:dyDescent="0.25">
      <c r="A1849" s="170">
        <v>44727</v>
      </c>
      <c r="B1849" s="116">
        <v>848.31500000000005</v>
      </c>
      <c r="C1849" s="116">
        <v>841.11500000000001</v>
      </c>
      <c r="D1849" s="116">
        <v>833.16250000000002</v>
      </c>
      <c r="E1849" s="116">
        <v>848.31500000000005</v>
      </c>
      <c r="F1849" s="116">
        <v>16822.3</v>
      </c>
      <c r="G1849">
        <v>1653</v>
      </c>
      <c r="H1849" s="116"/>
      <c r="I1849" s="116"/>
      <c r="L1849" s="170">
        <v>44727</v>
      </c>
      <c r="M1849" s="116">
        <v>840.11500000000001</v>
      </c>
      <c r="N1849" s="116">
        <v>853.25</v>
      </c>
      <c r="O1849" s="116">
        <v>833</v>
      </c>
      <c r="P1849" s="116">
        <v>853.25</v>
      </c>
      <c r="Q1849" s="116">
        <v>16802.3</v>
      </c>
      <c r="R1849">
        <v>64753</v>
      </c>
    </row>
    <row r="1850" spans="1:18" x14ac:dyDescent="0.25">
      <c r="A1850" s="170">
        <v>44728</v>
      </c>
      <c r="B1850" s="116">
        <v>847.31</v>
      </c>
      <c r="C1850" s="116">
        <v>843.64</v>
      </c>
      <c r="D1850" s="116">
        <v>831.48500000000001</v>
      </c>
      <c r="E1850" s="116">
        <v>847.31</v>
      </c>
      <c r="F1850" s="116">
        <v>16872.8</v>
      </c>
      <c r="G1850">
        <v>10398</v>
      </c>
      <c r="H1850" s="116"/>
      <c r="I1850" s="116"/>
      <c r="L1850" s="170">
        <v>44728</v>
      </c>
      <c r="M1850" s="116">
        <v>843.7</v>
      </c>
      <c r="N1850" s="116">
        <v>847.45</v>
      </c>
      <c r="O1850" s="116">
        <v>830.74749999999995</v>
      </c>
      <c r="P1850" s="116">
        <v>847.45</v>
      </c>
      <c r="Q1850" s="116">
        <v>16874</v>
      </c>
      <c r="R1850">
        <v>80754</v>
      </c>
    </row>
    <row r="1851" spans="1:18" x14ac:dyDescent="0.25">
      <c r="A1851" s="170">
        <v>44729</v>
      </c>
      <c r="B1851" s="116">
        <v>842.45</v>
      </c>
      <c r="C1851" s="116">
        <v>834.16499999999996</v>
      </c>
      <c r="D1851" s="116">
        <v>821.67250000000001</v>
      </c>
      <c r="E1851" s="116">
        <v>842.45</v>
      </c>
      <c r="F1851" s="116">
        <v>16683.3</v>
      </c>
      <c r="G1851">
        <v>3252</v>
      </c>
      <c r="H1851" s="116"/>
      <c r="I1851" s="116"/>
      <c r="L1851" s="170">
        <v>44729</v>
      </c>
      <c r="M1851" s="116">
        <v>832.12</v>
      </c>
      <c r="N1851" s="116">
        <v>842.74749999999995</v>
      </c>
      <c r="O1851" s="116">
        <v>821.75</v>
      </c>
      <c r="P1851" s="116">
        <v>842.4</v>
      </c>
      <c r="Q1851" s="116">
        <v>16642.400000000001</v>
      </c>
      <c r="R1851">
        <v>145619</v>
      </c>
    </row>
    <row r="1852" spans="1:18" x14ac:dyDescent="0.25">
      <c r="A1852" s="170">
        <v>44732</v>
      </c>
      <c r="B1852" s="116">
        <v>850.98749999999995</v>
      </c>
      <c r="C1852" s="116">
        <v>848.20249999999999</v>
      </c>
      <c r="D1852" s="116">
        <v>827.22</v>
      </c>
      <c r="E1852" s="116">
        <v>834</v>
      </c>
      <c r="F1852" s="116">
        <v>16964.05</v>
      </c>
      <c r="G1852">
        <v>2032</v>
      </c>
      <c r="H1852" s="116"/>
      <c r="I1852" s="116"/>
      <c r="L1852" s="170">
        <v>44732</v>
      </c>
      <c r="M1852" s="116">
        <v>848.35500000000002</v>
      </c>
      <c r="N1852" s="116">
        <v>851.14750000000004</v>
      </c>
      <c r="O1852" s="116">
        <v>826.87750000000005</v>
      </c>
      <c r="P1852" s="116">
        <v>835</v>
      </c>
      <c r="Q1852" s="116">
        <v>16967.099999999999</v>
      </c>
      <c r="R1852">
        <v>48902</v>
      </c>
    </row>
    <row r="1853" spans="1:18" x14ac:dyDescent="0.25">
      <c r="A1853" s="170">
        <v>44733</v>
      </c>
      <c r="B1853" s="116">
        <v>860</v>
      </c>
      <c r="C1853" s="116">
        <v>847.67250000000001</v>
      </c>
      <c r="D1853" s="116">
        <v>843.245</v>
      </c>
      <c r="E1853" s="116">
        <v>850.00250000000005</v>
      </c>
      <c r="F1853" s="116">
        <v>16953.45</v>
      </c>
      <c r="G1853">
        <v>986</v>
      </c>
      <c r="H1853" s="116"/>
      <c r="I1853" s="116"/>
      <c r="L1853" s="170">
        <v>44733</v>
      </c>
      <c r="M1853" s="116">
        <v>848.59</v>
      </c>
      <c r="N1853" s="116">
        <v>860</v>
      </c>
      <c r="O1853" s="116">
        <v>843</v>
      </c>
      <c r="P1853" s="116">
        <v>849</v>
      </c>
      <c r="Q1853" s="116">
        <v>16971.8</v>
      </c>
      <c r="R1853">
        <v>55631</v>
      </c>
    </row>
    <row r="1854" spans="1:18" x14ac:dyDescent="0.25">
      <c r="A1854" s="170">
        <v>44734</v>
      </c>
      <c r="B1854" s="116">
        <v>845</v>
      </c>
      <c r="C1854" s="116">
        <v>839.03</v>
      </c>
      <c r="D1854" s="116">
        <v>829.42499999999995</v>
      </c>
      <c r="E1854" s="116">
        <v>845</v>
      </c>
      <c r="F1854" s="116">
        <v>16780.599999999999</v>
      </c>
      <c r="G1854">
        <v>748</v>
      </c>
      <c r="H1854" s="116"/>
      <c r="I1854" s="116"/>
      <c r="L1854" s="170">
        <v>44734</v>
      </c>
      <c r="M1854" s="116">
        <v>838.75750000000005</v>
      </c>
      <c r="N1854" s="116">
        <v>847.5</v>
      </c>
      <c r="O1854" s="116">
        <v>829.27750000000003</v>
      </c>
      <c r="P1854" s="116">
        <v>847.5</v>
      </c>
      <c r="Q1854" s="116">
        <v>16775.150000000001</v>
      </c>
      <c r="R1854">
        <v>52364</v>
      </c>
    </row>
    <row r="1855" spans="1:18" x14ac:dyDescent="0.25">
      <c r="A1855" s="170">
        <v>44735</v>
      </c>
      <c r="B1855" s="116">
        <v>851.91</v>
      </c>
      <c r="C1855" s="116">
        <v>849.97500000000002</v>
      </c>
      <c r="D1855" s="116">
        <v>835.78750000000002</v>
      </c>
      <c r="E1855" s="116">
        <v>838.8</v>
      </c>
      <c r="F1855" s="116">
        <v>16999.5</v>
      </c>
      <c r="G1855">
        <v>1313</v>
      </c>
      <c r="H1855" s="116"/>
      <c r="I1855" s="116"/>
      <c r="L1855" s="170">
        <v>44735</v>
      </c>
      <c r="M1855" s="116">
        <v>848.81500000000005</v>
      </c>
      <c r="N1855" s="116">
        <v>852.24749999999995</v>
      </c>
      <c r="O1855" s="116">
        <v>835</v>
      </c>
      <c r="P1855" s="116">
        <v>841</v>
      </c>
      <c r="Q1855" s="116">
        <v>16976.3</v>
      </c>
      <c r="R1855">
        <v>31675</v>
      </c>
    </row>
    <row r="1856" spans="1:18" x14ac:dyDescent="0.25">
      <c r="A1856" s="170">
        <v>44736</v>
      </c>
      <c r="B1856" s="116">
        <v>862</v>
      </c>
      <c r="C1856" s="116">
        <v>861.45749999999998</v>
      </c>
      <c r="D1856" s="116">
        <v>846.5</v>
      </c>
      <c r="E1856" s="116">
        <v>849</v>
      </c>
      <c r="F1856" s="116">
        <v>17229.150000000001</v>
      </c>
      <c r="G1856">
        <v>1509</v>
      </c>
      <c r="H1856" s="116"/>
      <c r="I1856" s="116"/>
      <c r="L1856" s="170">
        <v>44736</v>
      </c>
      <c r="M1856" s="116">
        <v>861.58249999999998</v>
      </c>
      <c r="N1856" s="116">
        <v>862.5</v>
      </c>
      <c r="O1856" s="116">
        <v>846.10249999999996</v>
      </c>
      <c r="P1856" s="116">
        <v>847.50250000000005</v>
      </c>
      <c r="Q1856" s="116">
        <v>17231.650000000001</v>
      </c>
      <c r="R1856">
        <v>30380</v>
      </c>
    </row>
    <row r="1857" spans="1:18" x14ac:dyDescent="0.25">
      <c r="A1857" s="170">
        <v>44739</v>
      </c>
      <c r="B1857" s="116">
        <v>869.50750000000005</v>
      </c>
      <c r="C1857" s="116">
        <v>867.52750000000003</v>
      </c>
      <c r="D1857" s="116">
        <v>860</v>
      </c>
      <c r="E1857" s="116">
        <v>861.75</v>
      </c>
      <c r="F1857" s="116">
        <v>17350.55</v>
      </c>
      <c r="G1857">
        <v>3733</v>
      </c>
      <c r="H1857" s="116"/>
      <c r="I1857" s="116"/>
      <c r="L1857" s="170">
        <v>44739</v>
      </c>
      <c r="M1857" s="116">
        <v>867.91250000000002</v>
      </c>
      <c r="N1857" s="116">
        <v>870.36</v>
      </c>
      <c r="O1857" s="116">
        <v>859.13499999999999</v>
      </c>
      <c r="P1857" s="116">
        <v>867.5</v>
      </c>
      <c r="Q1857" s="116">
        <v>17358.25</v>
      </c>
      <c r="R1857">
        <v>63842</v>
      </c>
    </row>
    <row r="1858" spans="1:18" x14ac:dyDescent="0.25">
      <c r="A1858" s="170">
        <v>44740</v>
      </c>
      <c r="B1858" s="116">
        <v>873.7</v>
      </c>
      <c r="C1858" s="116">
        <v>870.71</v>
      </c>
      <c r="D1858" s="116">
        <v>852.25</v>
      </c>
      <c r="E1858" s="116">
        <v>867.99749999999995</v>
      </c>
      <c r="F1858" s="116">
        <v>17414.2</v>
      </c>
      <c r="G1858">
        <v>859</v>
      </c>
      <c r="H1858" s="116"/>
      <c r="I1858" s="116"/>
      <c r="L1858" s="170">
        <v>44740</v>
      </c>
      <c r="M1858" s="116">
        <v>870.19500000000005</v>
      </c>
      <c r="N1858" s="116">
        <v>874.99249999999995</v>
      </c>
      <c r="O1858" s="116">
        <v>852.55</v>
      </c>
      <c r="P1858" s="116">
        <v>865</v>
      </c>
      <c r="Q1858" s="116">
        <v>17403.900000000001</v>
      </c>
      <c r="R1858">
        <v>52224</v>
      </c>
    </row>
    <row r="1859" spans="1:18" x14ac:dyDescent="0.25">
      <c r="A1859" s="170">
        <v>44741</v>
      </c>
      <c r="B1859" s="116">
        <v>876.0575</v>
      </c>
      <c r="C1859" s="116">
        <v>874.9375</v>
      </c>
      <c r="D1859" s="116">
        <v>863.54499999999996</v>
      </c>
      <c r="E1859" s="116">
        <v>863.54750000000001</v>
      </c>
      <c r="F1859" s="116">
        <v>17498.75</v>
      </c>
      <c r="G1859">
        <v>2921</v>
      </c>
      <c r="H1859" s="116"/>
      <c r="I1859" s="116"/>
      <c r="L1859" s="170">
        <v>44741</v>
      </c>
      <c r="M1859" s="116">
        <v>874.95249999999999</v>
      </c>
      <c r="N1859" s="116">
        <v>876.25</v>
      </c>
      <c r="O1859" s="116">
        <v>862.61500000000001</v>
      </c>
      <c r="P1859" s="116">
        <v>867.5</v>
      </c>
      <c r="Q1859" s="116">
        <v>17499.05</v>
      </c>
      <c r="R1859">
        <v>96972</v>
      </c>
    </row>
    <row r="1860" spans="1:18" x14ac:dyDescent="0.25">
      <c r="A1860" s="170">
        <v>44742</v>
      </c>
      <c r="B1860" s="116">
        <v>878.73500000000001</v>
      </c>
      <c r="C1860" s="116">
        <v>874.65750000000003</v>
      </c>
      <c r="D1860" s="116">
        <v>862.60500000000002</v>
      </c>
      <c r="E1860" s="116">
        <v>874.95</v>
      </c>
      <c r="F1860" s="116">
        <v>17493.150000000001</v>
      </c>
      <c r="G1860">
        <v>1688</v>
      </c>
      <c r="H1860" s="116"/>
      <c r="I1860" s="116"/>
      <c r="L1860" s="170">
        <v>44742</v>
      </c>
      <c r="M1860" s="116">
        <v>873.5</v>
      </c>
      <c r="N1860" s="116">
        <v>878.44</v>
      </c>
      <c r="O1860" s="116">
        <v>861.71</v>
      </c>
      <c r="P1860" s="116">
        <v>874.95249999999999</v>
      </c>
      <c r="Q1860" s="116">
        <v>17470</v>
      </c>
      <c r="R1860">
        <v>102842</v>
      </c>
    </row>
    <row r="1861" spans="1:18" x14ac:dyDescent="0.25">
      <c r="A1861" s="170">
        <v>44743</v>
      </c>
      <c r="B1861" s="116">
        <v>891</v>
      </c>
      <c r="C1861" s="116">
        <v>889.46</v>
      </c>
      <c r="D1861" s="116">
        <v>867.46</v>
      </c>
      <c r="E1861" s="116">
        <v>870.49749999999995</v>
      </c>
      <c r="F1861" s="116">
        <v>17789.2</v>
      </c>
      <c r="G1861">
        <v>2313</v>
      </c>
      <c r="H1861" s="116"/>
      <c r="I1861" s="116"/>
      <c r="L1861" s="170">
        <v>44743</v>
      </c>
      <c r="M1861" s="116">
        <v>889.75250000000005</v>
      </c>
      <c r="N1861" s="116">
        <v>891.47</v>
      </c>
      <c r="O1861" s="116">
        <v>866.55250000000001</v>
      </c>
      <c r="P1861" s="116">
        <v>870</v>
      </c>
      <c r="Q1861" s="116">
        <v>17795.05</v>
      </c>
      <c r="R1861">
        <v>38547</v>
      </c>
    </row>
    <row r="1862" spans="1:18" x14ac:dyDescent="0.25">
      <c r="A1862" s="170">
        <v>44746</v>
      </c>
      <c r="B1862" s="116">
        <v>901</v>
      </c>
      <c r="C1862" s="116">
        <v>898.67</v>
      </c>
      <c r="D1862" s="116">
        <v>886</v>
      </c>
      <c r="E1862" s="116">
        <v>889.25</v>
      </c>
      <c r="F1862" s="116">
        <v>17973.400000000001</v>
      </c>
      <c r="G1862">
        <v>1322</v>
      </c>
      <c r="H1862" s="116"/>
      <c r="I1862" s="116"/>
      <c r="L1862" s="170">
        <v>44746</v>
      </c>
      <c r="M1862" s="116">
        <v>899.72749999999996</v>
      </c>
      <c r="N1862" s="116">
        <v>901.17250000000001</v>
      </c>
      <c r="O1862" s="116">
        <v>885.22500000000002</v>
      </c>
      <c r="P1862" s="116">
        <v>890</v>
      </c>
      <c r="Q1862" s="116">
        <v>17994.55</v>
      </c>
      <c r="R1862">
        <v>48729</v>
      </c>
    </row>
    <row r="1863" spans="1:18" x14ac:dyDescent="0.25">
      <c r="A1863" s="170">
        <v>44747</v>
      </c>
      <c r="B1863" s="116">
        <v>907.2</v>
      </c>
      <c r="C1863" s="116">
        <v>898.91499999999996</v>
      </c>
      <c r="D1863" s="116">
        <v>895.005</v>
      </c>
      <c r="E1863" s="116">
        <v>897.77750000000003</v>
      </c>
      <c r="F1863" s="116">
        <v>17978.3</v>
      </c>
      <c r="G1863">
        <v>754</v>
      </c>
      <c r="H1863" s="116"/>
      <c r="I1863" s="116"/>
      <c r="L1863" s="170">
        <v>44747</v>
      </c>
      <c r="M1863" s="116">
        <v>899.25</v>
      </c>
      <c r="N1863" s="116">
        <v>907.15750000000003</v>
      </c>
      <c r="O1863" s="116">
        <v>895</v>
      </c>
      <c r="P1863" s="116">
        <v>899.72749999999996</v>
      </c>
      <c r="Q1863" s="116">
        <v>17985</v>
      </c>
      <c r="R1863">
        <v>41438</v>
      </c>
    </row>
    <row r="1864" spans="1:18" x14ac:dyDescent="0.25">
      <c r="A1864" s="170">
        <v>44748</v>
      </c>
      <c r="B1864" s="116">
        <v>921.2</v>
      </c>
      <c r="C1864" s="116">
        <v>919.88250000000005</v>
      </c>
      <c r="D1864" s="116">
        <v>891.98749999999995</v>
      </c>
      <c r="E1864" s="116">
        <v>899.00250000000005</v>
      </c>
      <c r="F1864" s="116">
        <v>18397.650000000001</v>
      </c>
      <c r="G1864">
        <v>1179</v>
      </c>
      <c r="H1864" s="116"/>
      <c r="I1864" s="116"/>
      <c r="L1864" s="170">
        <v>44748</v>
      </c>
      <c r="M1864" s="116">
        <v>919.4325</v>
      </c>
      <c r="N1864" s="116">
        <v>921.42</v>
      </c>
      <c r="O1864" s="116">
        <v>890.0625</v>
      </c>
      <c r="P1864" s="116">
        <v>899.25</v>
      </c>
      <c r="Q1864" s="116">
        <v>18388.650000000001</v>
      </c>
      <c r="R1864">
        <v>78391</v>
      </c>
    </row>
    <row r="1865" spans="1:18" x14ac:dyDescent="0.25">
      <c r="A1865" s="170">
        <v>44749</v>
      </c>
      <c r="B1865" s="116">
        <v>927.5</v>
      </c>
      <c r="C1865" s="116">
        <v>910.72749999999996</v>
      </c>
      <c r="D1865" s="116">
        <v>909.05</v>
      </c>
      <c r="E1865" s="116">
        <v>921.24749999999995</v>
      </c>
      <c r="F1865" s="116">
        <v>18214.55</v>
      </c>
      <c r="G1865">
        <v>1710</v>
      </c>
      <c r="H1865" s="116"/>
      <c r="I1865" s="116"/>
      <c r="L1865" s="170">
        <v>44749</v>
      </c>
      <c r="M1865" s="116">
        <v>910.24749999999995</v>
      </c>
      <c r="N1865" s="116">
        <v>927.5</v>
      </c>
      <c r="O1865" s="116">
        <v>908.68</v>
      </c>
      <c r="P1865" s="116">
        <v>919.5</v>
      </c>
      <c r="Q1865" s="116">
        <v>18204.95</v>
      </c>
      <c r="R1865">
        <v>51879</v>
      </c>
    </row>
    <row r="1866" spans="1:18" x14ac:dyDescent="0.25">
      <c r="A1866" s="170">
        <v>44750</v>
      </c>
      <c r="B1866" s="116">
        <v>922.52</v>
      </c>
      <c r="C1866" s="116">
        <v>920.12</v>
      </c>
      <c r="D1866" s="116">
        <v>911.11749999999995</v>
      </c>
      <c r="E1866" s="116">
        <v>912.45</v>
      </c>
      <c r="F1866" s="116">
        <v>18402.400000000001</v>
      </c>
      <c r="G1866">
        <v>4488</v>
      </c>
      <c r="H1866" s="116"/>
      <c r="I1866" s="116"/>
      <c r="L1866" s="170">
        <v>44750</v>
      </c>
      <c r="M1866" s="116">
        <v>920.95749999999998</v>
      </c>
      <c r="N1866" s="116">
        <v>922.5</v>
      </c>
      <c r="O1866" s="116">
        <v>911.1</v>
      </c>
      <c r="P1866" s="116">
        <v>915</v>
      </c>
      <c r="Q1866" s="116">
        <v>18419.150000000001</v>
      </c>
      <c r="R1866">
        <v>58825</v>
      </c>
    </row>
    <row r="1867" spans="1:18" x14ac:dyDescent="0.25">
      <c r="A1867" s="170">
        <v>44753</v>
      </c>
      <c r="B1867" s="116">
        <v>926.71249999999998</v>
      </c>
      <c r="C1867" s="116">
        <v>923.89750000000004</v>
      </c>
      <c r="D1867" s="116">
        <v>917.69500000000005</v>
      </c>
      <c r="E1867" s="116">
        <v>920.12</v>
      </c>
      <c r="F1867" s="116">
        <v>18477.95</v>
      </c>
      <c r="G1867">
        <v>1042</v>
      </c>
      <c r="H1867" s="116"/>
      <c r="I1867" s="116"/>
      <c r="L1867" s="170">
        <v>44753</v>
      </c>
      <c r="M1867" s="116">
        <v>924.47</v>
      </c>
      <c r="N1867" s="116">
        <v>926.25</v>
      </c>
      <c r="O1867" s="116">
        <v>917.1</v>
      </c>
      <c r="P1867" s="116">
        <v>920</v>
      </c>
      <c r="Q1867" s="116">
        <v>18489.400000000001</v>
      </c>
      <c r="R1867">
        <v>39382</v>
      </c>
    </row>
    <row r="1868" spans="1:18" x14ac:dyDescent="0.25">
      <c r="A1868" s="170">
        <v>44754</v>
      </c>
      <c r="B1868" s="116">
        <v>923.39</v>
      </c>
      <c r="C1868" s="116">
        <v>906.20500000000004</v>
      </c>
      <c r="D1868" s="116">
        <v>905</v>
      </c>
      <c r="E1868" s="116">
        <v>923.39</v>
      </c>
      <c r="F1868" s="116">
        <v>18124.099999999999</v>
      </c>
      <c r="G1868">
        <v>505</v>
      </c>
      <c r="H1868" s="116"/>
      <c r="I1868" s="116"/>
      <c r="L1868" s="170">
        <v>44754</v>
      </c>
      <c r="M1868" s="116">
        <v>906.25750000000005</v>
      </c>
      <c r="N1868" s="116">
        <v>923.5</v>
      </c>
      <c r="O1868" s="116">
        <v>905.05250000000001</v>
      </c>
      <c r="P1868" s="116">
        <v>920.83749999999998</v>
      </c>
      <c r="Q1868" s="116">
        <v>18125.150000000001</v>
      </c>
      <c r="R1868">
        <v>26189</v>
      </c>
    </row>
    <row r="1869" spans="1:18" x14ac:dyDescent="0.25">
      <c r="A1869" s="170">
        <v>44755</v>
      </c>
      <c r="B1869" s="116">
        <v>916</v>
      </c>
      <c r="C1869" s="116">
        <v>912.82249999999999</v>
      </c>
      <c r="D1869" s="116">
        <v>908.62249999999995</v>
      </c>
      <c r="E1869" s="116">
        <v>908.62249999999995</v>
      </c>
      <c r="F1869" s="116">
        <v>18256.45</v>
      </c>
      <c r="G1869">
        <v>365</v>
      </c>
      <c r="H1869" s="116"/>
      <c r="I1869" s="116"/>
      <c r="L1869" s="170">
        <v>44755</v>
      </c>
      <c r="M1869" s="116">
        <v>912.48249999999996</v>
      </c>
      <c r="N1869" s="116">
        <v>916.245</v>
      </c>
      <c r="O1869" s="116">
        <v>906.5</v>
      </c>
      <c r="P1869" s="116">
        <v>906.5</v>
      </c>
      <c r="Q1869" s="116">
        <v>18249.650000000001</v>
      </c>
      <c r="R1869">
        <v>22751</v>
      </c>
    </row>
    <row r="1870" spans="1:18" x14ac:dyDescent="0.25">
      <c r="A1870" s="170">
        <v>44756</v>
      </c>
      <c r="B1870" s="116">
        <v>921.5</v>
      </c>
      <c r="C1870" s="116">
        <v>918.48500000000001</v>
      </c>
      <c r="D1870" s="116">
        <v>900.00250000000005</v>
      </c>
      <c r="E1870" s="116">
        <v>909.55250000000001</v>
      </c>
      <c r="F1870" s="116">
        <v>18369.7</v>
      </c>
      <c r="G1870">
        <v>1115</v>
      </c>
      <c r="H1870" s="116"/>
      <c r="I1870" s="116"/>
      <c r="L1870" s="170">
        <v>44756</v>
      </c>
      <c r="M1870" s="116">
        <v>918.16499999999996</v>
      </c>
      <c r="N1870" s="116">
        <v>922.04750000000001</v>
      </c>
      <c r="O1870" s="116">
        <v>906.63499999999999</v>
      </c>
      <c r="P1870" s="116">
        <v>912.48</v>
      </c>
      <c r="Q1870" s="116">
        <v>18363.3</v>
      </c>
      <c r="R1870">
        <v>52294</v>
      </c>
    </row>
    <row r="1871" spans="1:18" x14ac:dyDescent="0.25">
      <c r="A1871" s="170">
        <v>44757</v>
      </c>
      <c r="B1871" s="116">
        <v>940.93499999999995</v>
      </c>
      <c r="C1871" s="116">
        <v>937.61500000000001</v>
      </c>
      <c r="D1871" s="116">
        <v>918.4</v>
      </c>
      <c r="E1871" s="116">
        <v>918.5</v>
      </c>
      <c r="F1871" s="116">
        <v>18752.3</v>
      </c>
      <c r="G1871">
        <v>3189</v>
      </c>
      <c r="H1871" s="116"/>
      <c r="I1871" s="116"/>
      <c r="L1871" s="170">
        <v>44757</v>
      </c>
      <c r="M1871" s="116">
        <v>938.57500000000005</v>
      </c>
      <c r="N1871" s="116">
        <v>941.8175</v>
      </c>
      <c r="O1871" s="116">
        <v>918.81500000000005</v>
      </c>
      <c r="P1871" s="116">
        <v>920</v>
      </c>
      <c r="Q1871" s="116">
        <v>18771.5</v>
      </c>
      <c r="R1871">
        <v>49501</v>
      </c>
    </row>
    <row r="1872" spans="1:18" x14ac:dyDescent="0.25">
      <c r="A1872" s="170">
        <v>44760</v>
      </c>
      <c r="B1872" s="116">
        <v>948.51250000000005</v>
      </c>
      <c r="C1872" s="116">
        <v>930.96749999999997</v>
      </c>
      <c r="D1872" s="116">
        <v>928.08500000000004</v>
      </c>
      <c r="E1872" s="116">
        <v>942.45</v>
      </c>
      <c r="F1872" s="116">
        <v>18619.349999999999</v>
      </c>
      <c r="G1872">
        <v>46605</v>
      </c>
      <c r="H1872" s="116"/>
      <c r="I1872" s="116"/>
      <c r="L1872" s="170">
        <v>44760</v>
      </c>
      <c r="M1872" s="116">
        <v>931.27</v>
      </c>
      <c r="N1872" s="116">
        <v>948.6</v>
      </c>
      <c r="O1872" s="116">
        <v>927.62750000000005</v>
      </c>
      <c r="P1872" s="116">
        <v>941.93499999999995</v>
      </c>
      <c r="Q1872" s="116">
        <v>18625.400000000001</v>
      </c>
      <c r="R1872">
        <v>43977</v>
      </c>
    </row>
    <row r="1873" spans="1:18" x14ac:dyDescent="0.25">
      <c r="A1873" s="170">
        <v>44761</v>
      </c>
      <c r="B1873" s="116">
        <v>931.98</v>
      </c>
      <c r="C1873" s="116">
        <v>919.1</v>
      </c>
      <c r="D1873" s="116">
        <v>911.67</v>
      </c>
      <c r="E1873" s="116">
        <v>928.13499999999999</v>
      </c>
      <c r="F1873" s="116">
        <v>18382</v>
      </c>
      <c r="G1873">
        <v>1011</v>
      </c>
      <c r="H1873" s="116"/>
      <c r="I1873" s="116"/>
      <c r="L1873" s="170">
        <v>44761</v>
      </c>
      <c r="M1873" s="116">
        <v>918.88499999999999</v>
      </c>
      <c r="N1873" s="116">
        <v>932.42499999999995</v>
      </c>
      <c r="O1873" s="116">
        <v>911.32249999999999</v>
      </c>
      <c r="P1873" s="116">
        <v>929.995</v>
      </c>
      <c r="Q1873" s="116">
        <v>18377.7</v>
      </c>
      <c r="R1873">
        <v>43728</v>
      </c>
    </row>
    <row r="1874" spans="1:18" x14ac:dyDescent="0.25">
      <c r="A1874" s="170">
        <v>44762</v>
      </c>
      <c r="B1874" s="116">
        <v>932.5</v>
      </c>
      <c r="C1874" s="116">
        <v>930.42250000000001</v>
      </c>
      <c r="D1874" s="116">
        <v>913.51</v>
      </c>
      <c r="E1874" s="116">
        <v>929.9</v>
      </c>
      <c r="F1874" s="116">
        <v>18608.45</v>
      </c>
      <c r="G1874">
        <v>13006</v>
      </c>
      <c r="H1874" s="116"/>
      <c r="I1874" s="116"/>
      <c r="L1874" s="170">
        <v>44762</v>
      </c>
      <c r="M1874" s="116">
        <v>930.85500000000002</v>
      </c>
      <c r="N1874" s="116">
        <v>933</v>
      </c>
      <c r="O1874" s="116">
        <v>912.5</v>
      </c>
      <c r="P1874" s="116">
        <v>927.5</v>
      </c>
      <c r="Q1874" s="116">
        <v>18617.099999999999</v>
      </c>
      <c r="R1874">
        <v>54663</v>
      </c>
    </row>
    <row r="1875" spans="1:18" x14ac:dyDescent="0.25">
      <c r="A1875" s="170">
        <v>44763</v>
      </c>
      <c r="B1875" s="116">
        <v>944.79</v>
      </c>
      <c r="C1875" s="116">
        <v>942.01499999999999</v>
      </c>
      <c r="D1875" s="116">
        <v>930.1</v>
      </c>
      <c r="E1875" s="116">
        <v>930.1</v>
      </c>
      <c r="F1875" s="116">
        <v>18840.3</v>
      </c>
      <c r="G1875">
        <v>1545</v>
      </c>
      <c r="H1875" s="116"/>
      <c r="I1875" s="116"/>
      <c r="L1875" s="170">
        <v>44763</v>
      </c>
      <c r="M1875" s="116">
        <v>941.99749999999995</v>
      </c>
      <c r="N1875" s="116">
        <v>944.49749999999995</v>
      </c>
      <c r="O1875" s="116">
        <v>929.6875</v>
      </c>
      <c r="P1875" s="116">
        <v>930</v>
      </c>
      <c r="Q1875" s="116">
        <v>18839.95</v>
      </c>
      <c r="R1875">
        <v>50656</v>
      </c>
    </row>
    <row r="1876" spans="1:18" x14ac:dyDescent="0.25">
      <c r="A1876" s="170">
        <v>44764</v>
      </c>
      <c r="B1876" s="116">
        <v>954.39250000000004</v>
      </c>
      <c r="C1876" s="116">
        <v>949.13499999999999</v>
      </c>
      <c r="D1876" s="116">
        <v>941.47500000000002</v>
      </c>
      <c r="E1876" s="116">
        <v>944</v>
      </c>
      <c r="F1876" s="116">
        <v>18982.7</v>
      </c>
      <c r="G1876">
        <v>2176</v>
      </c>
      <c r="H1876" s="116"/>
      <c r="I1876" s="116"/>
      <c r="L1876" s="170">
        <v>44764</v>
      </c>
      <c r="M1876" s="116">
        <v>949.44749999999999</v>
      </c>
      <c r="N1876" s="116">
        <v>954.2</v>
      </c>
      <c r="O1876" s="116">
        <v>941.77750000000003</v>
      </c>
      <c r="P1876" s="116">
        <v>945.38750000000005</v>
      </c>
      <c r="Q1876" s="116">
        <v>18988.95</v>
      </c>
      <c r="R1876">
        <v>63200</v>
      </c>
    </row>
    <row r="1877" spans="1:18" x14ac:dyDescent="0.25">
      <c r="A1877" s="170">
        <v>44767</v>
      </c>
      <c r="B1877" s="116">
        <v>950.36</v>
      </c>
      <c r="C1877" s="116">
        <v>937.69</v>
      </c>
      <c r="D1877" s="116">
        <v>935.56</v>
      </c>
      <c r="E1877" s="116">
        <v>948.97500000000002</v>
      </c>
      <c r="F1877" s="116">
        <v>18753.8</v>
      </c>
      <c r="G1877">
        <v>711</v>
      </c>
      <c r="H1877" s="116"/>
      <c r="I1877" s="116"/>
      <c r="L1877" s="170">
        <v>44767</v>
      </c>
      <c r="M1877" s="116">
        <v>937.87750000000005</v>
      </c>
      <c r="N1877" s="116">
        <v>950.5</v>
      </c>
      <c r="O1877" s="116">
        <v>935.60249999999996</v>
      </c>
      <c r="P1877" s="116">
        <v>949.44749999999999</v>
      </c>
      <c r="Q1877" s="116">
        <v>18757.55</v>
      </c>
      <c r="R1877">
        <v>35959</v>
      </c>
    </row>
    <row r="1878" spans="1:18" x14ac:dyDescent="0.25">
      <c r="A1878" s="170">
        <v>44768</v>
      </c>
      <c r="B1878" s="116">
        <v>940.83249999999998</v>
      </c>
      <c r="C1878" s="116">
        <v>925.53499999999997</v>
      </c>
      <c r="D1878" s="116">
        <v>913.02</v>
      </c>
      <c r="E1878" s="116">
        <v>938.125</v>
      </c>
      <c r="F1878" s="116">
        <v>18510.7</v>
      </c>
      <c r="G1878">
        <v>1388</v>
      </c>
      <c r="H1878" s="116"/>
      <c r="I1878" s="116"/>
      <c r="L1878" s="170">
        <v>44768</v>
      </c>
      <c r="M1878" s="116">
        <v>925.47500000000002</v>
      </c>
      <c r="N1878" s="116">
        <v>939</v>
      </c>
      <c r="O1878" s="116">
        <v>912.51250000000005</v>
      </c>
      <c r="P1878" s="116">
        <v>939</v>
      </c>
      <c r="Q1878" s="116">
        <v>18509.5</v>
      </c>
      <c r="R1878">
        <v>139471</v>
      </c>
    </row>
    <row r="1879" spans="1:18" x14ac:dyDescent="0.25">
      <c r="A1879" s="170">
        <v>44769</v>
      </c>
      <c r="B1879" s="116">
        <v>932.78499999999997</v>
      </c>
      <c r="C1879" s="116">
        <v>927.23249999999996</v>
      </c>
      <c r="D1879" s="116">
        <v>917.4425</v>
      </c>
      <c r="E1879" s="116">
        <v>926.02250000000004</v>
      </c>
      <c r="F1879" s="116">
        <v>18544.650000000001</v>
      </c>
      <c r="G1879">
        <v>1815</v>
      </c>
      <c r="H1879" s="116"/>
      <c r="I1879" s="116"/>
      <c r="L1879" s="170">
        <v>44769</v>
      </c>
      <c r="M1879" s="116">
        <v>927.09500000000003</v>
      </c>
      <c r="N1879" s="116">
        <v>933.45</v>
      </c>
      <c r="O1879" s="116">
        <v>917.5</v>
      </c>
      <c r="P1879" s="116">
        <v>927.2</v>
      </c>
      <c r="Q1879" s="116">
        <v>18541.900000000001</v>
      </c>
      <c r="R1879">
        <v>44973</v>
      </c>
    </row>
    <row r="1880" spans="1:18" x14ac:dyDescent="0.25">
      <c r="A1880" s="170">
        <v>44770</v>
      </c>
      <c r="B1880" s="116">
        <v>966.54250000000002</v>
      </c>
      <c r="C1880" s="116">
        <v>955.22249999999997</v>
      </c>
      <c r="D1880" s="116">
        <v>923</v>
      </c>
      <c r="E1880" s="116">
        <v>931.25</v>
      </c>
      <c r="F1880" s="116">
        <v>19104.45</v>
      </c>
      <c r="G1880">
        <v>7230</v>
      </c>
      <c r="H1880" s="116"/>
      <c r="I1880" s="116"/>
      <c r="L1880" s="170">
        <v>44770</v>
      </c>
      <c r="M1880" s="116">
        <v>955.62</v>
      </c>
      <c r="N1880" s="116">
        <v>967.25</v>
      </c>
      <c r="O1880" s="116">
        <v>923</v>
      </c>
      <c r="P1880" s="116">
        <v>928.75</v>
      </c>
      <c r="Q1880" s="116">
        <v>19112.400000000001</v>
      </c>
      <c r="R1880">
        <v>130457</v>
      </c>
    </row>
    <row r="1881" spans="1:18" x14ac:dyDescent="0.25">
      <c r="A1881" s="170">
        <v>44771</v>
      </c>
      <c r="B1881" s="116">
        <v>970.85</v>
      </c>
      <c r="C1881" s="116">
        <v>967.62</v>
      </c>
      <c r="D1881" s="116">
        <v>950.1925</v>
      </c>
      <c r="E1881" s="116">
        <v>950.75</v>
      </c>
      <c r="F1881" s="116">
        <v>19352.400000000001</v>
      </c>
      <c r="G1881">
        <v>2033</v>
      </c>
      <c r="H1881" s="116"/>
      <c r="I1881" s="116"/>
      <c r="L1881" s="170">
        <v>44771</v>
      </c>
      <c r="M1881" s="116">
        <v>967.95500000000004</v>
      </c>
      <c r="N1881" s="116">
        <v>971.15250000000003</v>
      </c>
      <c r="O1881" s="116">
        <v>950.05250000000001</v>
      </c>
      <c r="P1881" s="116">
        <v>955.62</v>
      </c>
      <c r="Q1881" s="116">
        <v>19359.099999999999</v>
      </c>
      <c r="R1881">
        <v>113825</v>
      </c>
    </row>
    <row r="1882" spans="1:18" x14ac:dyDescent="0.25">
      <c r="A1882" s="170">
        <v>44774</v>
      </c>
      <c r="B1882" s="116">
        <v>974.85500000000002</v>
      </c>
      <c r="C1882" s="116">
        <v>962.89499999999998</v>
      </c>
      <c r="D1882" s="116">
        <v>956.02</v>
      </c>
      <c r="E1882" s="116">
        <v>970.495</v>
      </c>
      <c r="F1882" s="116">
        <v>19257.900000000001</v>
      </c>
      <c r="G1882">
        <v>47567</v>
      </c>
      <c r="H1882" s="116"/>
      <c r="I1882" s="116"/>
      <c r="L1882" s="170">
        <v>44774</v>
      </c>
      <c r="M1882" s="116">
        <v>962.76</v>
      </c>
      <c r="N1882" s="116">
        <v>975</v>
      </c>
      <c r="O1882" s="116">
        <v>955.25</v>
      </c>
      <c r="P1882" s="116">
        <v>972.1</v>
      </c>
      <c r="Q1882" s="116">
        <v>19255.2</v>
      </c>
      <c r="R1882">
        <v>58567</v>
      </c>
    </row>
    <row r="1883" spans="1:18" x14ac:dyDescent="0.25">
      <c r="A1883" s="170">
        <v>44775</v>
      </c>
      <c r="B1883" s="116">
        <v>975</v>
      </c>
      <c r="C1883" s="116">
        <v>973.3</v>
      </c>
      <c r="D1883" s="116">
        <v>964.9</v>
      </c>
      <c r="E1883" s="116">
        <v>967.52499999999998</v>
      </c>
      <c r="F1883" s="116">
        <v>19466</v>
      </c>
      <c r="G1883">
        <v>3177</v>
      </c>
      <c r="H1883" s="116"/>
      <c r="I1883" s="116"/>
      <c r="L1883" s="170">
        <v>44775</v>
      </c>
      <c r="M1883" s="116">
        <v>972.94</v>
      </c>
      <c r="N1883" s="116">
        <v>975.05</v>
      </c>
      <c r="O1883" s="116">
        <v>965.01</v>
      </c>
      <c r="P1883" s="116">
        <v>968.85</v>
      </c>
      <c r="Q1883" s="116">
        <v>19458.8</v>
      </c>
      <c r="R1883">
        <v>56219</v>
      </c>
    </row>
    <row r="1884" spans="1:18" x14ac:dyDescent="0.25">
      <c r="A1884" s="170">
        <v>44776</v>
      </c>
      <c r="B1884" s="116">
        <v>976.29250000000002</v>
      </c>
      <c r="C1884" s="116">
        <v>968.54499999999996</v>
      </c>
      <c r="D1884" s="116">
        <v>960</v>
      </c>
      <c r="E1884" s="116">
        <v>960.78499999999997</v>
      </c>
      <c r="F1884" s="116">
        <v>19370.900000000001</v>
      </c>
      <c r="G1884">
        <v>1899</v>
      </c>
      <c r="H1884" s="116"/>
      <c r="I1884" s="116"/>
      <c r="L1884" s="170">
        <v>44776</v>
      </c>
      <c r="M1884" s="116">
        <v>968.29499999999996</v>
      </c>
      <c r="N1884" s="116">
        <v>977.3125</v>
      </c>
      <c r="O1884" s="116">
        <v>952.5</v>
      </c>
      <c r="P1884" s="116">
        <v>967.00250000000005</v>
      </c>
      <c r="Q1884" s="116">
        <v>19365.900000000001</v>
      </c>
      <c r="R1884">
        <v>51325</v>
      </c>
    </row>
    <row r="1885" spans="1:18" x14ac:dyDescent="0.25">
      <c r="A1885" s="170">
        <v>44777</v>
      </c>
      <c r="B1885" s="116">
        <v>995.4</v>
      </c>
      <c r="C1885" s="116">
        <v>992.11749999999995</v>
      </c>
      <c r="D1885" s="116">
        <v>969.5</v>
      </c>
      <c r="E1885" s="116">
        <v>970</v>
      </c>
      <c r="F1885" s="116">
        <v>19842.349999999999</v>
      </c>
      <c r="G1885">
        <v>3820</v>
      </c>
      <c r="H1885" s="116"/>
      <c r="I1885" s="116"/>
      <c r="L1885" s="170">
        <v>44777</v>
      </c>
      <c r="M1885" s="116">
        <v>992.5</v>
      </c>
      <c r="N1885" s="116">
        <v>996.19</v>
      </c>
      <c r="O1885" s="116">
        <v>969.80499999999995</v>
      </c>
      <c r="P1885" s="116">
        <v>969.95</v>
      </c>
      <c r="Q1885" s="116">
        <v>19850</v>
      </c>
      <c r="R1885">
        <v>88280</v>
      </c>
    </row>
    <row r="1886" spans="1:18" x14ac:dyDescent="0.25">
      <c r="A1886" s="170">
        <v>44778</v>
      </c>
      <c r="B1886" s="116">
        <v>1000.8325</v>
      </c>
      <c r="C1886" s="116">
        <v>996.30499999999995</v>
      </c>
      <c r="D1886" s="116">
        <v>986.91</v>
      </c>
      <c r="E1886" s="116">
        <v>992.5</v>
      </c>
      <c r="F1886" s="116">
        <v>19926.099999999999</v>
      </c>
      <c r="G1886">
        <v>1464</v>
      </c>
      <c r="H1886" s="116"/>
      <c r="I1886" s="116"/>
      <c r="L1886" s="170">
        <v>44778</v>
      </c>
      <c r="M1886" s="116">
        <v>996.07500000000005</v>
      </c>
      <c r="N1886" s="116">
        <v>1001</v>
      </c>
      <c r="O1886" s="116">
        <v>986.45249999999999</v>
      </c>
      <c r="P1886" s="116">
        <v>992</v>
      </c>
      <c r="Q1886" s="116">
        <v>19921.5</v>
      </c>
      <c r="R1886">
        <v>62560</v>
      </c>
    </row>
    <row r="1887" spans="1:18" x14ac:dyDescent="0.25">
      <c r="A1887" s="170">
        <v>44781</v>
      </c>
      <c r="B1887" s="116">
        <v>998.82</v>
      </c>
      <c r="C1887" s="116">
        <v>984.84249999999997</v>
      </c>
      <c r="D1887" s="116">
        <v>976.73749999999995</v>
      </c>
      <c r="E1887" s="116">
        <v>992.56</v>
      </c>
      <c r="F1887" s="116">
        <v>19696.849999999999</v>
      </c>
      <c r="G1887">
        <v>2785</v>
      </c>
      <c r="H1887" s="116"/>
      <c r="I1887" s="116"/>
      <c r="L1887" s="170">
        <v>44781</v>
      </c>
      <c r="M1887" s="116">
        <v>982.64750000000004</v>
      </c>
      <c r="N1887" s="116">
        <v>999.36500000000001</v>
      </c>
      <c r="O1887" s="116">
        <v>977.5</v>
      </c>
      <c r="P1887" s="116">
        <v>995.25</v>
      </c>
      <c r="Q1887" s="116">
        <v>19652.95</v>
      </c>
      <c r="R1887">
        <v>57459</v>
      </c>
    </row>
    <row r="1888" spans="1:18" x14ac:dyDescent="0.25">
      <c r="A1888" s="170">
        <v>44783</v>
      </c>
      <c r="B1888" s="116">
        <v>1005.45</v>
      </c>
      <c r="C1888" s="116">
        <v>988.26</v>
      </c>
      <c r="D1888" s="116">
        <v>975.32</v>
      </c>
      <c r="E1888" s="116">
        <v>988.5</v>
      </c>
      <c r="F1888" s="116">
        <v>19765.2</v>
      </c>
      <c r="G1888">
        <v>2036</v>
      </c>
      <c r="H1888" s="116"/>
      <c r="I1888" s="116"/>
      <c r="L1888" s="170">
        <v>44783</v>
      </c>
      <c r="M1888" s="116">
        <v>988.47500000000002</v>
      </c>
      <c r="N1888" s="116">
        <v>1007.5</v>
      </c>
      <c r="O1888" s="116">
        <v>975.25</v>
      </c>
      <c r="P1888" s="116">
        <v>992.53</v>
      </c>
      <c r="Q1888" s="116">
        <v>19769.5</v>
      </c>
      <c r="R1888">
        <v>72207</v>
      </c>
    </row>
    <row r="1889" spans="1:18" x14ac:dyDescent="0.25">
      <c r="A1889" s="170">
        <v>44784</v>
      </c>
      <c r="B1889" s="116">
        <v>997.86749999999995</v>
      </c>
      <c r="C1889" s="116">
        <v>984.42250000000001</v>
      </c>
      <c r="D1889" s="116">
        <v>981.85</v>
      </c>
      <c r="E1889" s="116">
        <v>992.5</v>
      </c>
      <c r="F1889" s="116">
        <v>19688.45</v>
      </c>
      <c r="G1889">
        <v>1112</v>
      </c>
      <c r="H1889" s="116"/>
      <c r="I1889" s="116"/>
      <c r="L1889" s="170">
        <v>44784</v>
      </c>
      <c r="M1889" s="116">
        <v>983.98</v>
      </c>
      <c r="N1889" s="116">
        <v>999.12</v>
      </c>
      <c r="O1889" s="116">
        <v>979.38</v>
      </c>
      <c r="P1889" s="116">
        <v>990</v>
      </c>
      <c r="Q1889" s="116">
        <v>19679.599999999999</v>
      </c>
      <c r="R1889">
        <v>50461</v>
      </c>
    </row>
    <row r="1890" spans="1:18" x14ac:dyDescent="0.25">
      <c r="A1890" s="170">
        <v>44785</v>
      </c>
      <c r="B1890" s="116">
        <v>989.36</v>
      </c>
      <c r="C1890" s="116">
        <v>976.33500000000004</v>
      </c>
      <c r="D1890" s="116">
        <v>971.1</v>
      </c>
      <c r="E1890" s="116">
        <v>989.36</v>
      </c>
      <c r="F1890" s="116">
        <v>19526.7</v>
      </c>
      <c r="G1890">
        <v>2484</v>
      </c>
      <c r="H1890" s="116"/>
      <c r="I1890" s="116"/>
      <c r="L1890" s="170">
        <v>44785</v>
      </c>
      <c r="M1890" s="116">
        <v>977.16250000000002</v>
      </c>
      <c r="N1890" s="116">
        <v>987.82249999999999</v>
      </c>
      <c r="O1890" s="116">
        <v>970.68499999999995</v>
      </c>
      <c r="P1890" s="116">
        <v>985</v>
      </c>
      <c r="Q1890" s="116">
        <v>19543.25</v>
      </c>
      <c r="R1890">
        <v>48903</v>
      </c>
    </row>
    <row r="1891" spans="1:18" x14ac:dyDescent="0.25">
      <c r="A1891" s="170">
        <v>44789</v>
      </c>
      <c r="B1891" s="116">
        <v>992.5</v>
      </c>
      <c r="C1891" s="116">
        <v>984.85749999999996</v>
      </c>
      <c r="D1891" s="116">
        <v>976.33</v>
      </c>
      <c r="E1891" s="116">
        <v>976.33</v>
      </c>
      <c r="F1891" s="116">
        <v>19697.150000000001</v>
      </c>
      <c r="G1891">
        <v>1181</v>
      </c>
      <c r="H1891" s="116"/>
      <c r="I1891" s="116"/>
      <c r="L1891" s="170">
        <v>44789</v>
      </c>
      <c r="M1891" s="116">
        <v>984.14750000000004</v>
      </c>
      <c r="N1891" s="116">
        <v>992.73</v>
      </c>
      <c r="O1891" s="116">
        <v>974.14</v>
      </c>
      <c r="P1891" s="116">
        <v>977.5</v>
      </c>
      <c r="Q1891" s="116">
        <v>19682.95</v>
      </c>
      <c r="R1891">
        <v>66083</v>
      </c>
    </row>
    <row r="1892" spans="1:18" x14ac:dyDescent="0.25">
      <c r="A1892" s="170">
        <v>44790</v>
      </c>
      <c r="B1892" s="116">
        <v>991.25</v>
      </c>
      <c r="C1892" s="116">
        <v>986.47</v>
      </c>
      <c r="D1892" s="116">
        <v>982.75</v>
      </c>
      <c r="E1892" s="116">
        <v>982.75</v>
      </c>
      <c r="F1892" s="116">
        <v>19729.400000000001</v>
      </c>
      <c r="G1892">
        <v>2021</v>
      </c>
      <c r="H1892" s="116"/>
      <c r="I1892" s="116"/>
      <c r="L1892" s="170">
        <v>44790</v>
      </c>
      <c r="M1892" s="116">
        <v>986.76499999999999</v>
      </c>
      <c r="N1892" s="116">
        <v>992.19749999999999</v>
      </c>
      <c r="O1892" s="116">
        <v>983.46</v>
      </c>
      <c r="P1892" s="116">
        <v>984.1</v>
      </c>
      <c r="Q1892" s="116">
        <v>19735.3</v>
      </c>
      <c r="R1892">
        <v>39600</v>
      </c>
    </row>
    <row r="1893" spans="1:18" x14ac:dyDescent="0.25">
      <c r="A1893" s="170">
        <v>44791</v>
      </c>
      <c r="B1893" s="116">
        <v>985.95749999999998</v>
      </c>
      <c r="C1893" s="116">
        <v>978.34500000000003</v>
      </c>
      <c r="D1893" s="116">
        <v>974.55</v>
      </c>
      <c r="E1893" s="116">
        <v>982.55</v>
      </c>
      <c r="F1893" s="116">
        <v>19566.900000000001</v>
      </c>
      <c r="G1893">
        <v>1363</v>
      </c>
      <c r="H1893" s="116"/>
      <c r="I1893" s="116"/>
      <c r="L1893" s="170">
        <v>44791</v>
      </c>
      <c r="M1893" s="116">
        <v>977.88250000000005</v>
      </c>
      <c r="N1893" s="116">
        <v>986.63750000000005</v>
      </c>
      <c r="O1893" s="116">
        <v>974</v>
      </c>
      <c r="P1893" s="116">
        <v>986</v>
      </c>
      <c r="Q1893" s="116">
        <v>19557.650000000001</v>
      </c>
      <c r="R1893">
        <v>48921</v>
      </c>
    </row>
    <row r="1894" spans="1:18" x14ac:dyDescent="0.25">
      <c r="A1894" s="170">
        <v>44792</v>
      </c>
      <c r="B1894" s="116">
        <v>982.5</v>
      </c>
      <c r="C1894" s="116">
        <v>971.9</v>
      </c>
      <c r="D1894" s="116">
        <v>967.5</v>
      </c>
      <c r="E1894" s="116">
        <v>969.01</v>
      </c>
      <c r="F1894" s="116">
        <v>19438</v>
      </c>
      <c r="G1894">
        <v>2125</v>
      </c>
      <c r="H1894" s="116"/>
      <c r="I1894" s="116"/>
      <c r="L1894" s="170">
        <v>44792</v>
      </c>
      <c r="M1894" s="116">
        <v>972.04499999999996</v>
      </c>
      <c r="N1894" s="116">
        <v>983.495</v>
      </c>
      <c r="O1894" s="116">
        <v>967.5</v>
      </c>
      <c r="P1894" s="116">
        <v>980</v>
      </c>
      <c r="Q1894" s="116">
        <v>19440.900000000001</v>
      </c>
      <c r="R1894">
        <v>36698</v>
      </c>
    </row>
    <row r="1895" spans="1:18" x14ac:dyDescent="0.25">
      <c r="A1895" s="170">
        <v>44795</v>
      </c>
      <c r="B1895" s="116">
        <v>981.23749999999995</v>
      </c>
      <c r="C1895" s="116">
        <v>972.73249999999996</v>
      </c>
      <c r="D1895" s="116">
        <v>967.50250000000005</v>
      </c>
      <c r="E1895" s="116">
        <v>967.50250000000005</v>
      </c>
      <c r="F1895" s="116">
        <v>19454.650000000001</v>
      </c>
      <c r="G1895">
        <v>971</v>
      </c>
      <c r="H1895" s="116"/>
      <c r="I1895" s="116"/>
      <c r="L1895" s="170">
        <v>44795</v>
      </c>
      <c r="M1895" s="116">
        <v>972.61</v>
      </c>
      <c r="N1895" s="116">
        <v>981.5</v>
      </c>
      <c r="O1895" s="116">
        <v>967.5</v>
      </c>
      <c r="P1895" s="116">
        <v>970.05</v>
      </c>
      <c r="Q1895" s="116">
        <v>19452.2</v>
      </c>
      <c r="R1895">
        <v>39794</v>
      </c>
    </row>
    <row r="1896" spans="1:18" x14ac:dyDescent="0.25">
      <c r="A1896" s="170">
        <v>44796</v>
      </c>
      <c r="B1896" s="116">
        <v>984.46500000000003</v>
      </c>
      <c r="C1896" s="116">
        <v>979.92250000000001</v>
      </c>
      <c r="D1896" s="116">
        <v>962.5</v>
      </c>
      <c r="E1896" s="116">
        <v>962.5</v>
      </c>
      <c r="F1896" s="116">
        <v>19598.45</v>
      </c>
      <c r="G1896">
        <v>2240</v>
      </c>
      <c r="H1896" s="116"/>
      <c r="I1896" s="116"/>
      <c r="L1896" s="170">
        <v>44796</v>
      </c>
      <c r="M1896" s="116">
        <v>981.28250000000003</v>
      </c>
      <c r="N1896" s="116">
        <v>984.44749999999999</v>
      </c>
      <c r="O1896" s="116">
        <v>962.5575</v>
      </c>
      <c r="P1896" s="116">
        <v>965</v>
      </c>
      <c r="Q1896" s="116">
        <v>19625.650000000001</v>
      </c>
      <c r="R1896">
        <v>42881</v>
      </c>
    </row>
    <row r="1897" spans="1:18" x14ac:dyDescent="0.25">
      <c r="A1897" s="170">
        <v>44797</v>
      </c>
      <c r="B1897" s="116">
        <v>985.13750000000005</v>
      </c>
      <c r="C1897" s="116">
        <v>983.64</v>
      </c>
      <c r="D1897" s="116">
        <v>968.05</v>
      </c>
      <c r="E1897" s="116">
        <v>977.5</v>
      </c>
      <c r="F1897" s="116">
        <v>19672.8</v>
      </c>
      <c r="G1897">
        <v>1942</v>
      </c>
      <c r="H1897" s="116"/>
      <c r="I1897" s="116"/>
      <c r="L1897" s="170">
        <v>44797</v>
      </c>
      <c r="M1897" s="116">
        <v>983.55250000000001</v>
      </c>
      <c r="N1897" s="116">
        <v>985.84749999999997</v>
      </c>
      <c r="O1897" s="116">
        <v>968.40250000000003</v>
      </c>
      <c r="P1897" s="116">
        <v>980.9425</v>
      </c>
      <c r="Q1897" s="116">
        <v>19671.05</v>
      </c>
      <c r="R1897">
        <v>33768</v>
      </c>
    </row>
    <row r="1898" spans="1:18" x14ac:dyDescent="0.25">
      <c r="A1898" s="170">
        <v>44798</v>
      </c>
      <c r="B1898" s="116">
        <v>989.39750000000004</v>
      </c>
      <c r="C1898" s="116">
        <v>977.48500000000001</v>
      </c>
      <c r="D1898" s="116">
        <v>974</v>
      </c>
      <c r="E1898" s="116">
        <v>983.64</v>
      </c>
      <c r="F1898" s="116">
        <v>19549.7</v>
      </c>
      <c r="G1898">
        <v>1005</v>
      </c>
      <c r="H1898" s="116"/>
      <c r="I1898" s="116"/>
      <c r="L1898" s="170">
        <v>44798</v>
      </c>
      <c r="M1898" s="116">
        <v>976.33249999999998</v>
      </c>
      <c r="N1898" s="116">
        <v>989.3</v>
      </c>
      <c r="O1898" s="116">
        <v>973.20249999999999</v>
      </c>
      <c r="P1898" s="116">
        <v>983.55</v>
      </c>
      <c r="Q1898" s="116">
        <v>19526.650000000001</v>
      </c>
      <c r="R1898">
        <v>25909</v>
      </c>
    </row>
    <row r="1899" spans="1:18" x14ac:dyDescent="0.25">
      <c r="A1899" s="170">
        <v>44799</v>
      </c>
      <c r="B1899" s="116">
        <v>982.5</v>
      </c>
      <c r="C1899" s="116">
        <v>976.78499999999997</v>
      </c>
      <c r="D1899" s="116">
        <v>971.83249999999998</v>
      </c>
      <c r="E1899" s="116">
        <v>979.22249999999997</v>
      </c>
      <c r="F1899" s="116">
        <v>19535.7</v>
      </c>
      <c r="G1899">
        <v>1578</v>
      </c>
      <c r="H1899" s="116"/>
      <c r="I1899" s="116"/>
      <c r="L1899" s="170">
        <v>44799</v>
      </c>
      <c r="M1899" s="116">
        <v>976.40499999999997</v>
      </c>
      <c r="N1899" s="116">
        <v>983.30250000000001</v>
      </c>
      <c r="O1899" s="116">
        <v>971.4</v>
      </c>
      <c r="P1899" s="116">
        <v>977</v>
      </c>
      <c r="Q1899" s="116">
        <v>19528.099999999999</v>
      </c>
      <c r="R1899">
        <v>27989</v>
      </c>
    </row>
    <row r="1900" spans="1:18" x14ac:dyDescent="0.25">
      <c r="A1900" s="170">
        <v>44802</v>
      </c>
      <c r="B1900" s="116">
        <v>987.5</v>
      </c>
      <c r="C1900" s="116">
        <v>981.83749999999998</v>
      </c>
      <c r="D1900" s="116">
        <v>965.15250000000003</v>
      </c>
      <c r="E1900" s="116">
        <v>965.15250000000003</v>
      </c>
      <c r="F1900" s="116">
        <v>19636.75</v>
      </c>
      <c r="G1900">
        <v>2079</v>
      </c>
      <c r="H1900" s="116"/>
      <c r="I1900" s="116"/>
      <c r="L1900" s="170">
        <v>44802</v>
      </c>
      <c r="M1900" s="116">
        <v>982.3175</v>
      </c>
      <c r="N1900" s="116">
        <v>987.95</v>
      </c>
      <c r="O1900" s="116">
        <v>964.255</v>
      </c>
      <c r="P1900" s="116">
        <v>970</v>
      </c>
      <c r="Q1900" s="116">
        <v>19646.349999999999</v>
      </c>
      <c r="R1900">
        <v>48462</v>
      </c>
    </row>
    <row r="1901" spans="1:18" x14ac:dyDescent="0.25">
      <c r="A1901" s="170">
        <v>44803</v>
      </c>
      <c r="B1901" s="116">
        <v>999.55</v>
      </c>
      <c r="C1901" s="116">
        <v>996.53750000000002</v>
      </c>
      <c r="D1901" s="116">
        <v>977.51</v>
      </c>
      <c r="E1901" s="116">
        <v>977.51</v>
      </c>
      <c r="F1901" s="116">
        <v>19930.75</v>
      </c>
      <c r="G1901">
        <v>1751</v>
      </c>
      <c r="H1901" s="116"/>
      <c r="I1901" s="116"/>
      <c r="L1901" s="170">
        <v>44803</v>
      </c>
      <c r="M1901" s="116">
        <v>996.29250000000002</v>
      </c>
      <c r="N1901" s="116">
        <v>999.75</v>
      </c>
      <c r="O1901" s="116">
        <v>983</v>
      </c>
      <c r="P1901" s="116">
        <v>983</v>
      </c>
      <c r="Q1901" s="116">
        <v>19925.849999999999</v>
      </c>
      <c r="R1901">
        <v>109751</v>
      </c>
    </row>
    <row r="1902" spans="1:18" x14ac:dyDescent="0.25">
      <c r="A1902" s="170">
        <v>44805</v>
      </c>
      <c r="B1902" s="116">
        <v>1001.6325000000001</v>
      </c>
      <c r="C1902" s="116">
        <v>986.8125</v>
      </c>
      <c r="D1902" s="116">
        <v>980.20500000000004</v>
      </c>
      <c r="E1902" s="116">
        <v>985.05</v>
      </c>
      <c r="F1902" s="116">
        <v>19736.25</v>
      </c>
      <c r="G1902">
        <v>1996</v>
      </c>
      <c r="H1902" s="116"/>
      <c r="I1902" s="116"/>
      <c r="L1902" s="170">
        <v>44805</v>
      </c>
      <c r="M1902" s="116">
        <v>986.64750000000004</v>
      </c>
      <c r="N1902" s="116">
        <v>1002.5</v>
      </c>
      <c r="O1902" s="116">
        <v>978.73</v>
      </c>
      <c r="P1902" s="116">
        <v>985</v>
      </c>
      <c r="Q1902" s="116">
        <v>19732.95</v>
      </c>
      <c r="R1902">
        <v>79062</v>
      </c>
    </row>
    <row r="1903" spans="1:18" x14ac:dyDescent="0.25">
      <c r="A1903" s="170">
        <v>44806</v>
      </c>
      <c r="B1903" s="116">
        <v>992.21749999999997</v>
      </c>
      <c r="C1903" s="116">
        <v>977.995</v>
      </c>
      <c r="D1903" s="116">
        <v>977</v>
      </c>
      <c r="E1903" s="116">
        <v>990</v>
      </c>
      <c r="F1903" s="116">
        <v>19559.900000000001</v>
      </c>
      <c r="G1903">
        <v>1569</v>
      </c>
      <c r="H1903" s="116"/>
      <c r="I1903" s="116"/>
      <c r="L1903" s="170">
        <v>44806</v>
      </c>
      <c r="M1903" s="116">
        <v>978.09</v>
      </c>
      <c r="N1903" s="116">
        <v>992.4</v>
      </c>
      <c r="O1903" s="116">
        <v>976.5</v>
      </c>
      <c r="P1903" s="116">
        <v>987.61500000000001</v>
      </c>
      <c r="Q1903" s="116">
        <v>19561.8</v>
      </c>
      <c r="R1903">
        <v>31241</v>
      </c>
    </row>
    <row r="1904" spans="1:18" x14ac:dyDescent="0.25">
      <c r="A1904" s="170">
        <v>44809</v>
      </c>
      <c r="B1904" s="116">
        <v>978.1</v>
      </c>
      <c r="C1904" s="116">
        <v>963.19</v>
      </c>
      <c r="D1904" s="116">
        <v>961.55</v>
      </c>
      <c r="E1904" s="116">
        <v>978.1</v>
      </c>
      <c r="F1904" s="116">
        <v>19263.8</v>
      </c>
      <c r="G1904">
        <v>1985</v>
      </c>
      <c r="H1904" s="116"/>
      <c r="I1904" s="116"/>
      <c r="L1904" s="170">
        <v>44809</v>
      </c>
      <c r="M1904" s="116">
        <v>962.98500000000001</v>
      </c>
      <c r="N1904" s="116">
        <v>979.13250000000005</v>
      </c>
      <c r="O1904" s="116">
        <v>961.35</v>
      </c>
      <c r="P1904" s="116">
        <v>975</v>
      </c>
      <c r="Q1904" s="116">
        <v>19259.7</v>
      </c>
      <c r="R1904">
        <v>49724</v>
      </c>
    </row>
    <row r="1905" spans="1:18" x14ac:dyDescent="0.25">
      <c r="A1905" s="170">
        <v>44810</v>
      </c>
      <c r="B1905" s="116">
        <v>965.13750000000005</v>
      </c>
      <c r="C1905" s="116">
        <v>952.19500000000005</v>
      </c>
      <c r="D1905" s="116">
        <v>947.5</v>
      </c>
      <c r="E1905" s="116">
        <v>963.15</v>
      </c>
      <c r="F1905" s="116">
        <v>19043.900000000001</v>
      </c>
      <c r="G1905">
        <v>2420</v>
      </c>
      <c r="H1905" s="116"/>
      <c r="I1905" s="116"/>
      <c r="L1905" s="170">
        <v>44810</v>
      </c>
      <c r="M1905" s="116">
        <v>952.09500000000003</v>
      </c>
      <c r="N1905" s="116">
        <v>965.4</v>
      </c>
      <c r="O1905" s="116">
        <v>947.25250000000005</v>
      </c>
      <c r="P1905" s="116">
        <v>963.03499999999997</v>
      </c>
      <c r="Q1905" s="116">
        <v>19041.900000000001</v>
      </c>
      <c r="R1905">
        <v>59370</v>
      </c>
    </row>
    <row r="1906" spans="1:18" x14ac:dyDescent="0.25">
      <c r="A1906" s="170">
        <v>44811</v>
      </c>
      <c r="B1906" s="116">
        <v>965</v>
      </c>
      <c r="C1906" s="116">
        <v>958.9425</v>
      </c>
      <c r="D1906" s="116">
        <v>950</v>
      </c>
      <c r="E1906" s="116">
        <v>950</v>
      </c>
      <c r="F1906" s="116">
        <v>19178.849999999999</v>
      </c>
      <c r="G1906">
        <v>1668</v>
      </c>
      <c r="H1906" s="116"/>
      <c r="I1906" s="116"/>
      <c r="L1906" s="170">
        <v>44811</v>
      </c>
      <c r="M1906" s="116">
        <v>958.96500000000003</v>
      </c>
      <c r="N1906" s="116">
        <v>965.35249999999996</v>
      </c>
      <c r="O1906" s="116">
        <v>950.75</v>
      </c>
      <c r="P1906" s="116">
        <v>952.09500000000003</v>
      </c>
      <c r="Q1906" s="116">
        <v>19179.3</v>
      </c>
      <c r="R1906">
        <v>55736</v>
      </c>
    </row>
    <row r="1907" spans="1:18" x14ac:dyDescent="0.25">
      <c r="A1907" s="170">
        <v>44812</v>
      </c>
      <c r="B1907" s="116">
        <v>964</v>
      </c>
      <c r="C1907" s="116">
        <v>956.75</v>
      </c>
      <c r="D1907" s="116">
        <v>950.5</v>
      </c>
      <c r="E1907" s="116">
        <v>964</v>
      </c>
      <c r="F1907" s="116">
        <v>19135</v>
      </c>
      <c r="G1907">
        <v>1313</v>
      </c>
      <c r="H1907" s="116"/>
      <c r="I1907" s="116"/>
      <c r="L1907" s="170">
        <v>44812</v>
      </c>
      <c r="M1907" s="116">
        <v>956.1875</v>
      </c>
      <c r="N1907" s="116">
        <v>963.85</v>
      </c>
      <c r="O1907" s="116">
        <v>950.25</v>
      </c>
      <c r="P1907" s="116">
        <v>960.05</v>
      </c>
      <c r="Q1907" s="116">
        <v>19123.75</v>
      </c>
      <c r="R1907">
        <v>54647</v>
      </c>
    </row>
    <row r="1908" spans="1:18" x14ac:dyDescent="0.25">
      <c r="A1908" s="170">
        <v>44813</v>
      </c>
      <c r="B1908" s="116">
        <v>967.4</v>
      </c>
      <c r="C1908" s="116">
        <v>951.70249999999999</v>
      </c>
      <c r="D1908" s="116">
        <v>950</v>
      </c>
      <c r="E1908" s="116">
        <v>967.4</v>
      </c>
      <c r="F1908" s="116">
        <v>19034.05</v>
      </c>
      <c r="G1908">
        <v>2219</v>
      </c>
      <c r="H1908" s="116"/>
      <c r="I1908" s="116"/>
      <c r="L1908" s="170">
        <v>44813</v>
      </c>
      <c r="M1908" s="116">
        <v>952.5625</v>
      </c>
      <c r="N1908" s="116">
        <v>968.5</v>
      </c>
      <c r="O1908" s="116">
        <v>949.54</v>
      </c>
      <c r="P1908" s="116">
        <v>968.5</v>
      </c>
      <c r="Q1908" s="116">
        <v>19051.25</v>
      </c>
      <c r="R1908">
        <v>48434</v>
      </c>
    </row>
    <row r="1909" spans="1:18" x14ac:dyDescent="0.25">
      <c r="A1909" s="170">
        <v>44816</v>
      </c>
      <c r="B1909" s="116">
        <v>957.14499999999998</v>
      </c>
      <c r="C1909" s="116">
        <v>948.60500000000002</v>
      </c>
      <c r="D1909" s="116">
        <v>945</v>
      </c>
      <c r="E1909" s="116">
        <v>954.75</v>
      </c>
      <c r="F1909" s="116">
        <v>18972.099999999999</v>
      </c>
      <c r="G1909">
        <v>1465</v>
      </c>
      <c r="H1909" s="116"/>
      <c r="I1909" s="116"/>
      <c r="L1909" s="170">
        <v>44816</v>
      </c>
      <c r="M1909" s="116">
        <v>948.41</v>
      </c>
      <c r="N1909" s="116">
        <v>957.99749999999995</v>
      </c>
      <c r="O1909" s="116">
        <v>944.505</v>
      </c>
      <c r="P1909" s="116">
        <v>952.57749999999999</v>
      </c>
      <c r="Q1909" s="116">
        <v>18968.2</v>
      </c>
      <c r="R1909">
        <v>43560</v>
      </c>
    </row>
    <row r="1910" spans="1:18" x14ac:dyDescent="0.25">
      <c r="A1910" s="170">
        <v>44817</v>
      </c>
      <c r="B1910" s="116">
        <v>962.73749999999995</v>
      </c>
      <c r="C1910" s="116">
        <v>952.57500000000005</v>
      </c>
      <c r="D1910" s="116">
        <v>948.54250000000002</v>
      </c>
      <c r="E1910" s="116">
        <v>948.54250000000002</v>
      </c>
      <c r="F1910" s="116">
        <v>19051.5</v>
      </c>
      <c r="G1910">
        <v>12352</v>
      </c>
      <c r="H1910" s="116"/>
      <c r="I1910" s="116"/>
      <c r="L1910" s="170">
        <v>44817</v>
      </c>
      <c r="M1910" s="116">
        <v>953.1825</v>
      </c>
      <c r="N1910" s="116">
        <v>963.32500000000005</v>
      </c>
      <c r="O1910" s="116">
        <v>948.5</v>
      </c>
      <c r="P1910" s="116">
        <v>948.52499999999998</v>
      </c>
      <c r="Q1910" s="116">
        <v>19063.650000000001</v>
      </c>
      <c r="R1910">
        <v>51146</v>
      </c>
    </row>
    <row r="1911" spans="1:18" x14ac:dyDescent="0.25">
      <c r="A1911" s="170">
        <v>44818</v>
      </c>
      <c r="B1911" s="116">
        <v>961.5</v>
      </c>
      <c r="C1911" s="116">
        <v>954.9375</v>
      </c>
      <c r="D1911" s="116">
        <v>943.46249999999998</v>
      </c>
      <c r="E1911" s="116">
        <v>945</v>
      </c>
      <c r="F1911" s="116">
        <v>19098.75</v>
      </c>
      <c r="G1911">
        <v>1223</v>
      </c>
      <c r="H1911" s="116"/>
      <c r="I1911" s="116"/>
      <c r="L1911" s="170">
        <v>44818</v>
      </c>
      <c r="M1911" s="116">
        <v>955.4375</v>
      </c>
      <c r="N1911" s="116">
        <v>961.71749999999997</v>
      </c>
      <c r="O1911" s="116">
        <v>943.54750000000001</v>
      </c>
      <c r="P1911" s="116">
        <v>943.55</v>
      </c>
      <c r="Q1911" s="116">
        <v>19108.75</v>
      </c>
      <c r="R1911">
        <v>61601</v>
      </c>
    </row>
    <row r="1912" spans="1:18" x14ac:dyDescent="0.25">
      <c r="A1912" s="170">
        <v>44819</v>
      </c>
      <c r="B1912" s="116">
        <v>961.78750000000002</v>
      </c>
      <c r="C1912" s="116">
        <v>950.01499999999999</v>
      </c>
      <c r="D1912" s="116">
        <v>949.02</v>
      </c>
      <c r="E1912" s="116">
        <v>958.24749999999995</v>
      </c>
      <c r="F1912" s="116">
        <v>19000.3</v>
      </c>
      <c r="G1912">
        <v>561</v>
      </c>
      <c r="H1912" s="116"/>
      <c r="I1912" s="116"/>
      <c r="L1912" s="170">
        <v>44819</v>
      </c>
      <c r="M1912" s="116">
        <v>950.45</v>
      </c>
      <c r="N1912" s="116">
        <v>962.85249999999996</v>
      </c>
      <c r="O1912" s="116">
        <v>948.88750000000005</v>
      </c>
      <c r="P1912" s="116">
        <v>959.7</v>
      </c>
      <c r="Q1912" s="116">
        <v>19009</v>
      </c>
      <c r="R1912">
        <v>33455</v>
      </c>
    </row>
    <row r="1913" spans="1:18" x14ac:dyDescent="0.25">
      <c r="A1913" s="170">
        <v>44820</v>
      </c>
      <c r="B1913" s="116">
        <v>949.86749999999995</v>
      </c>
      <c r="C1913" s="116">
        <v>920.61249999999995</v>
      </c>
      <c r="D1913" s="116">
        <v>917.57749999999999</v>
      </c>
      <c r="E1913" s="116">
        <v>949.86749999999995</v>
      </c>
      <c r="F1913" s="116">
        <v>18412.25</v>
      </c>
      <c r="G1913">
        <v>1206</v>
      </c>
      <c r="H1913" s="116"/>
      <c r="I1913" s="116"/>
      <c r="L1913" s="170">
        <v>44820</v>
      </c>
      <c r="M1913" s="116">
        <v>920.21</v>
      </c>
      <c r="N1913" s="116">
        <v>950.45</v>
      </c>
      <c r="O1913" s="116">
        <v>917.02750000000003</v>
      </c>
      <c r="P1913" s="116">
        <v>950.44500000000005</v>
      </c>
      <c r="Q1913" s="116">
        <v>18404.2</v>
      </c>
      <c r="R1913">
        <v>116163</v>
      </c>
    </row>
    <row r="1914" spans="1:18" x14ac:dyDescent="0.25">
      <c r="A1914" s="170">
        <v>44823</v>
      </c>
      <c r="B1914" s="116">
        <v>941.70500000000004</v>
      </c>
      <c r="C1914" s="116">
        <v>938.26750000000004</v>
      </c>
      <c r="D1914" s="116">
        <v>912.99749999999995</v>
      </c>
      <c r="E1914" s="116">
        <v>920.255</v>
      </c>
      <c r="F1914" s="116">
        <v>18765.349999999999</v>
      </c>
      <c r="G1914">
        <v>31766</v>
      </c>
      <c r="H1914" s="116"/>
      <c r="I1914" s="116"/>
      <c r="L1914" s="170">
        <v>44823</v>
      </c>
      <c r="M1914" s="116">
        <v>938.26250000000005</v>
      </c>
      <c r="N1914" s="116">
        <v>942</v>
      </c>
      <c r="O1914" s="116">
        <v>913.36500000000001</v>
      </c>
      <c r="P1914" s="116">
        <v>924.8125</v>
      </c>
      <c r="Q1914" s="116">
        <v>18765.25</v>
      </c>
      <c r="R1914">
        <v>53631</v>
      </c>
    </row>
    <row r="1915" spans="1:18" x14ac:dyDescent="0.25">
      <c r="A1915" s="170">
        <v>44824</v>
      </c>
      <c r="B1915" s="116">
        <v>946.27250000000004</v>
      </c>
      <c r="C1915" s="116">
        <v>930.54499999999996</v>
      </c>
      <c r="D1915" s="116">
        <v>929.05499999999995</v>
      </c>
      <c r="E1915" s="116">
        <v>938.26750000000004</v>
      </c>
      <c r="F1915" s="116">
        <v>18610.900000000001</v>
      </c>
      <c r="G1915">
        <v>10345</v>
      </c>
      <c r="H1915" s="116"/>
      <c r="I1915" s="116"/>
      <c r="L1915" s="170">
        <v>44824</v>
      </c>
      <c r="M1915" s="116">
        <v>930.83249999999998</v>
      </c>
      <c r="N1915" s="116">
        <v>946</v>
      </c>
      <c r="O1915" s="116">
        <v>928.755</v>
      </c>
      <c r="P1915" s="116">
        <v>940.5</v>
      </c>
      <c r="Q1915" s="116">
        <v>18616.650000000001</v>
      </c>
      <c r="R1915">
        <v>83800</v>
      </c>
    </row>
    <row r="1916" spans="1:18" x14ac:dyDescent="0.25">
      <c r="A1916" s="170">
        <v>44825</v>
      </c>
      <c r="B1916" s="116">
        <v>943.95</v>
      </c>
      <c r="C1916" s="116">
        <v>931.57</v>
      </c>
      <c r="D1916" s="116">
        <v>920.75250000000005</v>
      </c>
      <c r="E1916" s="116">
        <v>920.75250000000005</v>
      </c>
      <c r="F1916" s="116">
        <v>18631.400000000001</v>
      </c>
      <c r="G1916">
        <v>874</v>
      </c>
      <c r="H1916" s="116"/>
      <c r="I1916" s="116"/>
      <c r="L1916" s="170">
        <v>44825</v>
      </c>
      <c r="M1916" s="116">
        <v>932.495</v>
      </c>
      <c r="N1916" s="116">
        <v>944.47</v>
      </c>
      <c r="O1916" s="116">
        <v>929.55250000000001</v>
      </c>
      <c r="P1916" s="116">
        <v>930.8</v>
      </c>
      <c r="Q1916" s="116">
        <v>18649.900000000001</v>
      </c>
      <c r="R1916">
        <v>46299</v>
      </c>
    </row>
    <row r="1917" spans="1:18" x14ac:dyDescent="0.25">
      <c r="A1917" s="170">
        <v>44826</v>
      </c>
      <c r="B1917" s="116">
        <v>942.09249999999997</v>
      </c>
      <c r="C1917" s="116">
        <v>931.0575</v>
      </c>
      <c r="D1917" s="116">
        <v>929.87</v>
      </c>
      <c r="E1917" s="116">
        <v>942.09249999999997</v>
      </c>
      <c r="F1917" s="116">
        <v>18621.150000000001</v>
      </c>
      <c r="G1917">
        <v>4053</v>
      </c>
      <c r="H1917" s="116"/>
      <c r="I1917" s="116"/>
      <c r="L1917" s="170">
        <v>44826</v>
      </c>
      <c r="M1917" s="116">
        <v>931.91499999999996</v>
      </c>
      <c r="N1917" s="116">
        <v>941.75</v>
      </c>
      <c r="O1917" s="116">
        <v>929.02750000000003</v>
      </c>
      <c r="P1917" s="116">
        <v>932.495</v>
      </c>
      <c r="Q1917" s="116">
        <v>18638.3</v>
      </c>
      <c r="R1917">
        <v>77931</v>
      </c>
    </row>
    <row r="1918" spans="1:18" x14ac:dyDescent="0.25">
      <c r="A1918" s="170">
        <v>44827</v>
      </c>
      <c r="B1918" s="116">
        <v>932</v>
      </c>
      <c r="C1918" s="116">
        <v>925.35749999999996</v>
      </c>
      <c r="D1918" s="116">
        <v>923</v>
      </c>
      <c r="E1918" s="116">
        <v>932</v>
      </c>
      <c r="F1918" s="116">
        <v>18507.150000000001</v>
      </c>
      <c r="G1918">
        <v>555</v>
      </c>
      <c r="H1918" s="116"/>
      <c r="I1918" s="116"/>
      <c r="L1918" s="170">
        <v>44827</v>
      </c>
      <c r="M1918" s="116">
        <v>924.79499999999996</v>
      </c>
      <c r="N1918" s="116">
        <v>932.81</v>
      </c>
      <c r="O1918" s="116">
        <v>922.50250000000005</v>
      </c>
      <c r="P1918" s="116">
        <v>929.55</v>
      </c>
      <c r="Q1918" s="116">
        <v>18495.900000000001</v>
      </c>
      <c r="R1918">
        <v>35842</v>
      </c>
    </row>
    <row r="1919" spans="1:18" x14ac:dyDescent="0.25">
      <c r="A1919" s="170">
        <v>44830</v>
      </c>
      <c r="B1919" s="116">
        <v>944.25</v>
      </c>
      <c r="C1919" s="116">
        <v>922.71749999999997</v>
      </c>
      <c r="D1919" s="116">
        <v>919.19749999999999</v>
      </c>
      <c r="E1919" s="116">
        <v>924.94500000000005</v>
      </c>
      <c r="F1919" s="116">
        <v>18454.349999999999</v>
      </c>
      <c r="G1919">
        <v>3831</v>
      </c>
      <c r="H1919" s="116"/>
      <c r="I1919" s="116"/>
      <c r="L1919" s="170">
        <v>44830</v>
      </c>
      <c r="M1919" s="116">
        <v>922.66499999999996</v>
      </c>
      <c r="N1919" s="116">
        <v>944.495</v>
      </c>
      <c r="O1919" s="116">
        <v>919.87750000000005</v>
      </c>
      <c r="P1919" s="116">
        <v>924.79</v>
      </c>
      <c r="Q1919" s="116">
        <v>18453.3</v>
      </c>
      <c r="R1919">
        <v>113085</v>
      </c>
    </row>
    <row r="1920" spans="1:18" x14ac:dyDescent="0.25">
      <c r="A1920" s="170">
        <v>44831</v>
      </c>
      <c r="B1920" s="116">
        <v>939.5</v>
      </c>
      <c r="C1920" s="116">
        <v>933.74</v>
      </c>
      <c r="D1920" s="116">
        <v>922.50250000000005</v>
      </c>
      <c r="E1920" s="116">
        <v>922.50250000000005</v>
      </c>
      <c r="F1920" s="116">
        <v>18674.8</v>
      </c>
      <c r="G1920">
        <v>1575</v>
      </c>
      <c r="H1920" s="116"/>
      <c r="I1920" s="116"/>
      <c r="L1920" s="170">
        <v>44831</v>
      </c>
      <c r="M1920" s="116">
        <v>933.63250000000005</v>
      </c>
      <c r="N1920" s="116">
        <v>939.75</v>
      </c>
      <c r="O1920" s="116">
        <v>927.28499999999997</v>
      </c>
      <c r="P1920" s="116">
        <v>927.40250000000003</v>
      </c>
      <c r="Q1920" s="116">
        <v>18672.650000000001</v>
      </c>
      <c r="R1920">
        <v>69314</v>
      </c>
    </row>
    <row r="1921" spans="1:18" x14ac:dyDescent="0.25">
      <c r="A1921" s="170">
        <v>44832</v>
      </c>
      <c r="B1921" s="116">
        <v>949.25</v>
      </c>
      <c r="C1921" s="116">
        <v>943.01250000000005</v>
      </c>
      <c r="D1921" s="116">
        <v>925.92750000000001</v>
      </c>
      <c r="E1921" s="116">
        <v>931.5</v>
      </c>
      <c r="F1921" s="116">
        <v>18860.25</v>
      </c>
      <c r="G1921">
        <v>2786</v>
      </c>
      <c r="H1921" s="116"/>
      <c r="I1921" s="116"/>
      <c r="L1921" s="170">
        <v>44832</v>
      </c>
      <c r="M1921" s="116">
        <v>942.04750000000001</v>
      </c>
      <c r="N1921" s="116">
        <v>948.95</v>
      </c>
      <c r="O1921" s="116">
        <v>926.28499999999997</v>
      </c>
      <c r="P1921" s="116">
        <v>932.75</v>
      </c>
      <c r="Q1921" s="116">
        <v>18840.95</v>
      </c>
      <c r="R1921">
        <v>105517</v>
      </c>
    </row>
    <row r="1922" spans="1:18" x14ac:dyDescent="0.25">
      <c r="A1922" s="170">
        <v>44833</v>
      </c>
      <c r="B1922" s="116">
        <v>956</v>
      </c>
      <c r="C1922" s="116">
        <v>948.92499999999995</v>
      </c>
      <c r="D1922" s="116">
        <v>939.95</v>
      </c>
      <c r="E1922" s="116">
        <v>941.25750000000005</v>
      </c>
      <c r="F1922" s="116">
        <v>18978.5</v>
      </c>
      <c r="G1922">
        <v>2032</v>
      </c>
      <c r="H1922" s="116"/>
      <c r="I1922" s="116"/>
      <c r="L1922" s="170">
        <v>44833</v>
      </c>
      <c r="M1922" s="116">
        <v>948.95749999999998</v>
      </c>
      <c r="N1922" s="116">
        <v>956.5</v>
      </c>
      <c r="O1922" s="116">
        <v>939.5625</v>
      </c>
      <c r="P1922" s="116">
        <v>946.76</v>
      </c>
      <c r="Q1922" s="116">
        <v>18979.150000000001</v>
      </c>
      <c r="R1922">
        <v>87195</v>
      </c>
    </row>
    <row r="1923" spans="1:18" x14ac:dyDescent="0.25">
      <c r="A1923" s="170">
        <v>44834</v>
      </c>
      <c r="B1923" s="116">
        <v>959.3</v>
      </c>
      <c r="C1923" s="116">
        <v>956.23</v>
      </c>
      <c r="D1923" s="116">
        <v>945.87</v>
      </c>
      <c r="E1923" s="116">
        <v>949</v>
      </c>
      <c r="F1923" s="116">
        <v>19124.599999999999</v>
      </c>
      <c r="G1923">
        <v>1199</v>
      </c>
      <c r="H1923" s="116"/>
      <c r="I1923" s="116"/>
      <c r="L1923" s="170">
        <v>44834</v>
      </c>
      <c r="M1923" s="116">
        <v>957.24</v>
      </c>
      <c r="N1923" s="116">
        <v>959.75</v>
      </c>
      <c r="O1923" s="116">
        <v>944.7</v>
      </c>
      <c r="P1923" s="116">
        <v>947.5</v>
      </c>
      <c r="Q1923" s="116">
        <v>19144.8</v>
      </c>
      <c r="R1923">
        <v>80973</v>
      </c>
    </row>
    <row r="1924" spans="1:18" x14ac:dyDescent="0.25">
      <c r="A1924" s="170">
        <v>44837</v>
      </c>
      <c r="B1924" s="116">
        <v>955.35249999999996</v>
      </c>
      <c r="C1924" s="116">
        <v>949.60249999999996</v>
      </c>
      <c r="D1924" s="116">
        <v>938.95</v>
      </c>
      <c r="E1924" s="116">
        <v>955.00250000000005</v>
      </c>
      <c r="F1924" s="116">
        <v>18992.05</v>
      </c>
      <c r="G1924">
        <v>607</v>
      </c>
      <c r="H1924" s="116"/>
      <c r="I1924" s="116"/>
      <c r="L1924" s="170">
        <v>44837</v>
      </c>
      <c r="M1924" s="116">
        <v>949.63</v>
      </c>
      <c r="N1924" s="116">
        <v>957.19749999999999</v>
      </c>
      <c r="O1924" s="116">
        <v>938.5</v>
      </c>
      <c r="P1924" s="116">
        <v>955.875</v>
      </c>
      <c r="Q1924" s="116">
        <v>18992.599999999999</v>
      </c>
      <c r="R1924">
        <v>52046</v>
      </c>
    </row>
    <row r="1925" spans="1:18" x14ac:dyDescent="0.25">
      <c r="A1925" s="170">
        <v>44838</v>
      </c>
      <c r="B1925" s="116">
        <v>967.1925</v>
      </c>
      <c r="C1925" s="116">
        <v>962.43499999999995</v>
      </c>
      <c r="D1925" s="116">
        <v>953.01750000000004</v>
      </c>
      <c r="E1925" s="116">
        <v>953.01750000000004</v>
      </c>
      <c r="F1925" s="116">
        <v>19248.7</v>
      </c>
      <c r="G1925">
        <v>686</v>
      </c>
      <c r="H1925" s="116"/>
      <c r="I1925" s="116"/>
      <c r="L1925" s="170">
        <v>44838</v>
      </c>
      <c r="M1925" s="116">
        <v>962.59249999999997</v>
      </c>
      <c r="N1925" s="116">
        <v>967.5</v>
      </c>
      <c r="O1925" s="116">
        <v>952.56</v>
      </c>
      <c r="P1925" s="116">
        <v>962.5</v>
      </c>
      <c r="Q1925" s="116">
        <v>19251.849999999999</v>
      </c>
      <c r="R1925">
        <v>37289</v>
      </c>
    </row>
    <row r="1926" spans="1:18" x14ac:dyDescent="0.25">
      <c r="A1926" s="170">
        <v>44840</v>
      </c>
      <c r="B1926" s="116">
        <v>975.05</v>
      </c>
      <c r="C1926" s="116">
        <v>964.83500000000004</v>
      </c>
      <c r="D1926" s="116">
        <v>962.5</v>
      </c>
      <c r="E1926" s="116">
        <v>962.75250000000005</v>
      </c>
      <c r="F1926" s="116">
        <v>19296.7</v>
      </c>
      <c r="G1926">
        <v>571</v>
      </c>
      <c r="H1926" s="116"/>
      <c r="I1926" s="116"/>
      <c r="L1926" s="170">
        <v>44840</v>
      </c>
      <c r="M1926" s="116">
        <v>965.00750000000005</v>
      </c>
      <c r="N1926" s="116">
        <v>976.25750000000005</v>
      </c>
      <c r="O1926" s="116">
        <v>961.86249999999995</v>
      </c>
      <c r="P1926" s="116">
        <v>967.10500000000002</v>
      </c>
      <c r="Q1926" s="116">
        <v>19300.150000000001</v>
      </c>
      <c r="R1926">
        <v>67036</v>
      </c>
    </row>
    <row r="1927" spans="1:18" x14ac:dyDescent="0.25">
      <c r="A1927" s="170">
        <v>44841</v>
      </c>
      <c r="B1927" s="116">
        <v>969.15250000000003</v>
      </c>
      <c r="C1927" s="116">
        <v>966.07249999999999</v>
      </c>
      <c r="D1927" s="116">
        <v>958.38</v>
      </c>
      <c r="E1927" s="116">
        <v>962.50250000000005</v>
      </c>
      <c r="F1927" s="116">
        <v>19321.45</v>
      </c>
      <c r="G1927">
        <v>446</v>
      </c>
      <c r="H1927" s="116"/>
      <c r="I1927" s="116"/>
      <c r="L1927" s="170">
        <v>44841</v>
      </c>
      <c r="M1927" s="116">
        <v>966.05</v>
      </c>
      <c r="N1927" s="116">
        <v>969</v>
      </c>
      <c r="O1927" s="116">
        <v>958.38</v>
      </c>
      <c r="P1927" s="116">
        <v>963.76</v>
      </c>
      <c r="Q1927" s="116">
        <v>19321</v>
      </c>
      <c r="R1927">
        <v>39613</v>
      </c>
    </row>
    <row r="1928" spans="1:18" x14ac:dyDescent="0.25">
      <c r="A1928" s="170">
        <v>44844</v>
      </c>
      <c r="B1928" s="116">
        <v>960.25</v>
      </c>
      <c r="C1928" s="116">
        <v>954.82749999999999</v>
      </c>
      <c r="D1928" s="116">
        <v>950.17499999999995</v>
      </c>
      <c r="E1928" s="116">
        <v>952.49749999999995</v>
      </c>
      <c r="F1928" s="116">
        <v>19096.55</v>
      </c>
      <c r="G1928">
        <v>800</v>
      </c>
      <c r="H1928" s="116"/>
      <c r="I1928" s="116"/>
      <c r="L1928" s="170">
        <v>44844</v>
      </c>
      <c r="M1928" s="116">
        <v>955.95249999999999</v>
      </c>
      <c r="N1928" s="116">
        <v>960.25</v>
      </c>
      <c r="O1928" s="116">
        <v>950.24749999999995</v>
      </c>
      <c r="P1928" s="116">
        <v>955</v>
      </c>
      <c r="Q1928" s="116">
        <v>19119.05</v>
      </c>
      <c r="R1928">
        <v>34619</v>
      </c>
    </row>
    <row r="1929" spans="1:18" x14ac:dyDescent="0.25">
      <c r="A1929" s="170">
        <v>44845</v>
      </c>
      <c r="B1929" s="116">
        <v>960.00250000000005</v>
      </c>
      <c r="C1929" s="116">
        <v>922.97249999999997</v>
      </c>
      <c r="D1929" s="116">
        <v>920.59749999999997</v>
      </c>
      <c r="E1929" s="116">
        <v>960.00250000000005</v>
      </c>
      <c r="F1929" s="116">
        <v>18459.45</v>
      </c>
      <c r="G1929">
        <v>45324</v>
      </c>
      <c r="H1929" s="116"/>
      <c r="I1929" s="116"/>
      <c r="L1929" s="170">
        <v>44845</v>
      </c>
      <c r="M1929" s="116">
        <v>922.49749999999995</v>
      </c>
      <c r="N1929" s="116">
        <v>960.73249999999996</v>
      </c>
      <c r="O1929" s="116">
        <v>920.51250000000005</v>
      </c>
      <c r="P1929" s="116">
        <v>960.25</v>
      </c>
      <c r="Q1929" s="116">
        <v>18449.95</v>
      </c>
      <c r="R1929">
        <v>54926</v>
      </c>
    </row>
    <row r="1930" spans="1:18" x14ac:dyDescent="0.25">
      <c r="A1930" s="170">
        <v>44846</v>
      </c>
      <c r="B1930" s="116">
        <v>937.4</v>
      </c>
      <c r="C1930" s="116">
        <v>936.0675</v>
      </c>
      <c r="D1930" s="116">
        <v>922.97249999999997</v>
      </c>
      <c r="E1930" s="116">
        <v>929.25250000000005</v>
      </c>
      <c r="F1930" s="116">
        <v>18721.349999999999</v>
      </c>
      <c r="G1930">
        <v>1236</v>
      </c>
      <c r="H1930" s="116"/>
      <c r="I1930" s="116"/>
      <c r="L1930" s="170">
        <v>44846</v>
      </c>
      <c r="M1930" s="116">
        <v>936.27</v>
      </c>
      <c r="N1930" s="116">
        <v>938.34249999999997</v>
      </c>
      <c r="O1930" s="116">
        <v>922.49749999999995</v>
      </c>
      <c r="P1930" s="116">
        <v>927</v>
      </c>
      <c r="Q1930" s="116">
        <v>18725.400000000001</v>
      </c>
      <c r="R1930">
        <v>38748</v>
      </c>
    </row>
    <row r="1931" spans="1:18" x14ac:dyDescent="0.25">
      <c r="A1931" s="170">
        <v>44847</v>
      </c>
      <c r="B1931" s="116">
        <v>945</v>
      </c>
      <c r="C1931" s="116">
        <v>937.65</v>
      </c>
      <c r="D1931" s="116">
        <v>931.255</v>
      </c>
      <c r="E1931" s="116">
        <v>938.6</v>
      </c>
      <c r="F1931" s="116">
        <v>18753</v>
      </c>
      <c r="G1931">
        <v>443</v>
      </c>
      <c r="H1931" s="116"/>
      <c r="I1931" s="116"/>
      <c r="L1931" s="170">
        <v>44847</v>
      </c>
      <c r="M1931" s="116">
        <v>938.1825</v>
      </c>
      <c r="N1931" s="116">
        <v>946.08249999999998</v>
      </c>
      <c r="O1931" s="116">
        <v>930.25</v>
      </c>
      <c r="P1931" s="116">
        <v>939.5</v>
      </c>
      <c r="Q1931" s="116">
        <v>18763.650000000001</v>
      </c>
      <c r="R1931">
        <v>30277</v>
      </c>
    </row>
    <row r="1932" spans="1:18" x14ac:dyDescent="0.25">
      <c r="A1932" s="170">
        <v>44848</v>
      </c>
      <c r="B1932" s="116">
        <v>951.0625</v>
      </c>
      <c r="C1932" s="116">
        <v>945.95500000000004</v>
      </c>
      <c r="D1932" s="116">
        <v>943.49</v>
      </c>
      <c r="E1932" s="116">
        <v>947.25</v>
      </c>
      <c r="F1932" s="116">
        <v>18919.099999999999</v>
      </c>
      <c r="G1932">
        <v>557</v>
      </c>
      <c r="H1932" s="116"/>
      <c r="I1932" s="116"/>
      <c r="L1932" s="170">
        <v>44848</v>
      </c>
      <c r="M1932" s="116">
        <v>946.4</v>
      </c>
      <c r="N1932" s="116">
        <v>950.6875</v>
      </c>
      <c r="O1932" s="116">
        <v>942.5</v>
      </c>
      <c r="P1932" s="116">
        <v>947.9425</v>
      </c>
      <c r="Q1932" s="116">
        <v>18928</v>
      </c>
      <c r="R1932">
        <v>22065</v>
      </c>
    </row>
    <row r="1933" spans="1:18" x14ac:dyDescent="0.25">
      <c r="A1933" s="170">
        <v>44851</v>
      </c>
      <c r="B1933" s="116">
        <v>952.7</v>
      </c>
      <c r="C1933" s="116">
        <v>946.73249999999996</v>
      </c>
      <c r="D1933" s="116">
        <v>939.8175</v>
      </c>
      <c r="E1933" s="116">
        <v>942.5</v>
      </c>
      <c r="F1933" s="116">
        <v>18934.650000000001</v>
      </c>
      <c r="G1933">
        <v>45848</v>
      </c>
      <c r="H1933" s="116"/>
      <c r="I1933" s="116"/>
      <c r="L1933" s="170">
        <v>44851</v>
      </c>
      <c r="M1933" s="116">
        <v>946.00750000000005</v>
      </c>
      <c r="N1933" s="116">
        <v>953</v>
      </c>
      <c r="O1933" s="116">
        <v>939.61</v>
      </c>
      <c r="P1933" s="116">
        <v>942.5</v>
      </c>
      <c r="Q1933" s="116">
        <v>18920.150000000001</v>
      </c>
      <c r="R1933">
        <v>17425</v>
      </c>
    </row>
    <row r="1934" spans="1:18" x14ac:dyDescent="0.25">
      <c r="A1934" s="170">
        <v>44852</v>
      </c>
      <c r="B1934" s="116">
        <v>971.71</v>
      </c>
      <c r="C1934" s="116">
        <v>969.25</v>
      </c>
      <c r="D1934" s="116">
        <v>950.8175</v>
      </c>
      <c r="E1934" s="116">
        <v>950.8175</v>
      </c>
      <c r="F1934" s="116">
        <v>19385</v>
      </c>
      <c r="G1934">
        <v>1605</v>
      </c>
      <c r="H1934" s="116"/>
      <c r="I1934" s="116"/>
      <c r="L1934" s="170">
        <v>44852</v>
      </c>
      <c r="M1934" s="116">
        <v>969.39250000000004</v>
      </c>
      <c r="N1934" s="116">
        <v>971.45249999999999</v>
      </c>
      <c r="O1934" s="116">
        <v>949.5</v>
      </c>
      <c r="P1934" s="116">
        <v>951</v>
      </c>
      <c r="Q1934" s="116">
        <v>19387.849999999999</v>
      </c>
      <c r="R1934">
        <v>53511</v>
      </c>
    </row>
    <row r="1935" spans="1:18" x14ac:dyDescent="0.25">
      <c r="A1935" s="170">
        <v>44853</v>
      </c>
      <c r="B1935" s="116">
        <v>992.49749999999995</v>
      </c>
      <c r="C1935" s="116">
        <v>987.73249999999996</v>
      </c>
      <c r="D1935" s="116">
        <v>962.39250000000004</v>
      </c>
      <c r="E1935" s="116">
        <v>969.25</v>
      </c>
      <c r="F1935" s="116">
        <v>19754.650000000001</v>
      </c>
      <c r="G1935">
        <v>3696</v>
      </c>
      <c r="H1935" s="116"/>
      <c r="I1935" s="116"/>
      <c r="L1935" s="170">
        <v>44853</v>
      </c>
      <c r="M1935" s="116">
        <v>986.95500000000004</v>
      </c>
      <c r="N1935" s="116">
        <v>992.4</v>
      </c>
      <c r="O1935" s="116">
        <v>962.72500000000002</v>
      </c>
      <c r="P1935" s="116">
        <v>969.39250000000004</v>
      </c>
      <c r="Q1935" s="116">
        <v>19739.099999999999</v>
      </c>
      <c r="R1935">
        <v>130480</v>
      </c>
    </row>
    <row r="1936" spans="1:18" x14ac:dyDescent="0.25">
      <c r="A1936" s="170">
        <v>44854</v>
      </c>
      <c r="B1936" s="116">
        <v>1006.5</v>
      </c>
      <c r="C1936" s="116">
        <v>1002.7325</v>
      </c>
      <c r="D1936" s="116">
        <v>983.46</v>
      </c>
      <c r="E1936" s="116">
        <v>988.98</v>
      </c>
      <c r="F1936" s="116">
        <v>20054.650000000001</v>
      </c>
      <c r="G1936">
        <v>4847</v>
      </c>
      <c r="H1936" s="116"/>
      <c r="I1936" s="116"/>
      <c r="L1936" s="170">
        <v>44854</v>
      </c>
      <c r="M1936" s="116">
        <v>1003.0549999999999</v>
      </c>
      <c r="N1936" s="116">
        <v>1007.1849999999999</v>
      </c>
      <c r="O1936" s="116">
        <v>985</v>
      </c>
      <c r="P1936" s="116">
        <v>985.95</v>
      </c>
      <c r="Q1936" s="116">
        <v>20061.099999999999</v>
      </c>
      <c r="R1936">
        <v>112854</v>
      </c>
    </row>
    <row r="1937" spans="1:18" x14ac:dyDescent="0.25">
      <c r="A1937" s="170">
        <v>44855</v>
      </c>
      <c r="B1937" s="116">
        <v>1017.2424999999999</v>
      </c>
      <c r="C1937" s="116">
        <v>1013.81</v>
      </c>
      <c r="D1937" s="116">
        <v>1001.5</v>
      </c>
      <c r="E1937" s="116">
        <v>1002.5</v>
      </c>
      <c r="F1937" s="116">
        <v>20276.2</v>
      </c>
      <c r="G1937">
        <v>2132</v>
      </c>
      <c r="H1937" s="116"/>
      <c r="I1937" s="116"/>
      <c r="L1937" s="170">
        <v>44855</v>
      </c>
      <c r="M1937" s="116">
        <v>1014.7474999999999</v>
      </c>
      <c r="N1937" s="116">
        <v>1017.5</v>
      </c>
      <c r="O1937" s="116">
        <v>999.125</v>
      </c>
      <c r="P1937" s="116">
        <v>1003.0549999999999</v>
      </c>
      <c r="Q1937" s="116">
        <v>20294.95</v>
      </c>
      <c r="R1937">
        <v>57193</v>
      </c>
    </row>
    <row r="1938" spans="1:18" x14ac:dyDescent="0.25">
      <c r="A1938" s="170">
        <v>44858</v>
      </c>
      <c r="B1938" s="116">
        <v>1052.6500000000001</v>
      </c>
      <c r="C1938" s="116">
        <v>1043.395</v>
      </c>
      <c r="D1938" s="116">
        <v>1017.0475</v>
      </c>
      <c r="E1938" s="116">
        <v>1017.0475</v>
      </c>
      <c r="F1938" s="116">
        <v>20867.900000000001</v>
      </c>
      <c r="G1938">
        <v>1681</v>
      </c>
      <c r="H1938" s="116"/>
      <c r="I1938" s="116"/>
      <c r="L1938" s="170">
        <v>44858</v>
      </c>
      <c r="M1938" s="116">
        <v>1043.7525000000001</v>
      </c>
      <c r="N1938" s="116">
        <v>1052.5</v>
      </c>
      <c r="O1938" s="116">
        <v>1017.5025000000001</v>
      </c>
      <c r="P1938" s="116">
        <v>1017.75</v>
      </c>
      <c r="Q1938" s="116">
        <v>20875.05</v>
      </c>
      <c r="R1938">
        <v>45198</v>
      </c>
    </row>
    <row r="1939" spans="1:18" x14ac:dyDescent="0.25">
      <c r="A1939" s="170">
        <v>44859</v>
      </c>
      <c r="B1939" s="116">
        <v>1050.2225000000001</v>
      </c>
      <c r="C1939" s="116">
        <v>1014.0825</v>
      </c>
      <c r="D1939" s="116">
        <v>1010.9625</v>
      </c>
      <c r="E1939" s="116">
        <v>1042.5</v>
      </c>
      <c r="F1939" s="116">
        <v>20281.650000000001</v>
      </c>
      <c r="G1939">
        <v>2095</v>
      </c>
      <c r="H1939" s="116"/>
      <c r="I1939" s="116"/>
      <c r="L1939" s="170">
        <v>44859</v>
      </c>
      <c r="M1939" s="116">
        <v>1014.12</v>
      </c>
      <c r="N1939" s="116">
        <v>1052.44</v>
      </c>
      <c r="O1939" s="116">
        <v>1010.85</v>
      </c>
      <c r="P1939" s="116">
        <v>1040</v>
      </c>
      <c r="Q1939" s="116">
        <v>20282.400000000001</v>
      </c>
      <c r="R1939">
        <v>71353</v>
      </c>
    </row>
    <row r="1940" spans="1:18" x14ac:dyDescent="0.25">
      <c r="A1940" s="170">
        <v>44861</v>
      </c>
      <c r="B1940" s="116">
        <v>1024.0975000000001</v>
      </c>
      <c r="C1940" s="116">
        <v>1005.0625</v>
      </c>
      <c r="D1940" s="116">
        <v>995.8</v>
      </c>
      <c r="E1940" s="116">
        <v>1020.0275</v>
      </c>
      <c r="F1940" s="116">
        <v>20101.25</v>
      </c>
      <c r="G1940">
        <v>1652</v>
      </c>
      <c r="H1940" s="116"/>
      <c r="I1940" s="116"/>
      <c r="L1940" s="170">
        <v>44861</v>
      </c>
      <c r="M1940" s="116">
        <v>1006.6625</v>
      </c>
      <c r="N1940" s="116">
        <v>1023.75</v>
      </c>
      <c r="O1940" s="116">
        <v>995.5</v>
      </c>
      <c r="P1940" s="116">
        <v>1023.425</v>
      </c>
      <c r="Q1940" s="116">
        <v>20133.25</v>
      </c>
      <c r="R1940">
        <v>101474</v>
      </c>
    </row>
    <row r="1941" spans="1:18" x14ac:dyDescent="0.25">
      <c r="A1941" s="170">
        <v>44862</v>
      </c>
      <c r="B1941" s="116">
        <v>1017.895</v>
      </c>
      <c r="C1941" s="116">
        <v>1014.6775</v>
      </c>
      <c r="D1941" s="116">
        <v>1002.5425</v>
      </c>
      <c r="E1941" s="116">
        <v>1002.5425</v>
      </c>
      <c r="F1941" s="116">
        <v>20293.55</v>
      </c>
      <c r="G1941">
        <v>1073</v>
      </c>
      <c r="H1941" s="116"/>
      <c r="I1941" s="116"/>
      <c r="L1941" s="170">
        <v>44862</v>
      </c>
      <c r="M1941" s="116">
        <v>1014.1224999999999</v>
      </c>
      <c r="N1941" s="116">
        <v>1018.5975</v>
      </c>
      <c r="O1941" s="116">
        <v>1002.5075000000001</v>
      </c>
      <c r="P1941" s="116">
        <v>1006.6625</v>
      </c>
      <c r="Q1941" s="116">
        <v>20282.45</v>
      </c>
      <c r="R1941">
        <v>64930</v>
      </c>
    </row>
    <row r="1942" spans="1:18" x14ac:dyDescent="0.25">
      <c r="A1942" s="170">
        <v>44865</v>
      </c>
      <c r="B1942" s="116">
        <v>1022.5025000000001</v>
      </c>
      <c r="C1942" s="116">
        <v>1018.395</v>
      </c>
      <c r="D1942" s="116">
        <v>1007.3625</v>
      </c>
      <c r="E1942" s="116">
        <v>1015.0525</v>
      </c>
      <c r="F1942" s="116">
        <v>20367.900000000001</v>
      </c>
      <c r="G1942">
        <v>2190</v>
      </c>
      <c r="H1942" s="116"/>
      <c r="I1942" s="116"/>
      <c r="L1942" s="170">
        <v>44865</v>
      </c>
      <c r="M1942" s="116">
        <v>1018.17</v>
      </c>
      <c r="N1942" s="116">
        <v>1023.5</v>
      </c>
      <c r="O1942" s="116">
        <v>1007.5</v>
      </c>
      <c r="P1942" s="116">
        <v>1014.1224999999999</v>
      </c>
      <c r="Q1942" s="116">
        <v>20363.400000000001</v>
      </c>
      <c r="R1942">
        <v>79555</v>
      </c>
    </row>
    <row r="1943" spans="1:18" x14ac:dyDescent="0.25">
      <c r="A1943" s="170">
        <v>44866</v>
      </c>
      <c r="B1943" s="116">
        <v>1036</v>
      </c>
      <c r="C1943" s="116">
        <v>1029.5474999999999</v>
      </c>
      <c r="D1943" s="116">
        <v>1019.515</v>
      </c>
      <c r="E1943" s="116">
        <v>1020</v>
      </c>
      <c r="F1943" s="116">
        <v>20590.95</v>
      </c>
      <c r="G1943">
        <v>2664</v>
      </c>
      <c r="H1943" s="116"/>
      <c r="I1943" s="116"/>
      <c r="L1943" s="170">
        <v>44866</v>
      </c>
      <c r="M1943" s="116">
        <v>1029.4974999999999</v>
      </c>
      <c r="N1943" s="116">
        <v>1036.7425000000001</v>
      </c>
      <c r="O1943" s="116">
        <v>1018.5</v>
      </c>
      <c r="P1943" s="116">
        <v>1019.9775</v>
      </c>
      <c r="Q1943" s="116">
        <v>20589.95</v>
      </c>
      <c r="R1943">
        <v>39706</v>
      </c>
    </row>
    <row r="1944" spans="1:18" x14ac:dyDescent="0.25">
      <c r="A1944" s="170">
        <v>44867</v>
      </c>
      <c r="B1944" s="116">
        <v>1033.355</v>
      </c>
      <c r="C1944" s="116">
        <v>1019.395</v>
      </c>
      <c r="D1944" s="116">
        <v>1011.1275000000001</v>
      </c>
      <c r="E1944" s="116">
        <v>1027.4000000000001</v>
      </c>
      <c r="F1944" s="116">
        <v>20387.900000000001</v>
      </c>
      <c r="G1944">
        <v>1804</v>
      </c>
      <c r="H1944" s="116"/>
      <c r="I1944" s="116"/>
      <c r="L1944" s="170">
        <v>44867</v>
      </c>
      <c r="M1944" s="116">
        <v>1019.3674999999999</v>
      </c>
      <c r="N1944" s="116">
        <v>1035</v>
      </c>
      <c r="O1944" s="116">
        <v>1011.13</v>
      </c>
      <c r="P1944" s="116">
        <v>1029.5</v>
      </c>
      <c r="Q1944" s="116">
        <v>20387.349999999999</v>
      </c>
      <c r="R1944">
        <v>43317</v>
      </c>
    </row>
    <row r="1945" spans="1:18" x14ac:dyDescent="0.25">
      <c r="A1945" s="170">
        <v>44868</v>
      </c>
      <c r="B1945" s="116">
        <v>1023.0975</v>
      </c>
      <c r="C1945" s="116">
        <v>1020.94</v>
      </c>
      <c r="D1945" s="116">
        <v>1008.5</v>
      </c>
      <c r="E1945" s="116">
        <v>1009</v>
      </c>
      <c r="F1945" s="116">
        <v>20418.8</v>
      </c>
      <c r="G1945">
        <v>1949</v>
      </c>
      <c r="H1945" s="116"/>
      <c r="I1945" s="116"/>
      <c r="L1945" s="170">
        <v>44868</v>
      </c>
      <c r="M1945" s="116">
        <v>1021.1725</v>
      </c>
      <c r="N1945" s="116">
        <v>1023.75</v>
      </c>
      <c r="O1945" s="116">
        <v>1007.5025000000001</v>
      </c>
      <c r="P1945" s="116">
        <v>1011.145</v>
      </c>
      <c r="Q1945" s="116">
        <v>20423.45</v>
      </c>
      <c r="R1945">
        <v>35328</v>
      </c>
    </row>
    <row r="1946" spans="1:18" x14ac:dyDescent="0.25">
      <c r="A1946" s="170">
        <v>44869</v>
      </c>
      <c r="B1946" s="116">
        <v>1025.6975</v>
      </c>
      <c r="C1946" s="116">
        <v>1021.225</v>
      </c>
      <c r="D1946" s="116">
        <v>1015.7375</v>
      </c>
      <c r="E1946" s="116">
        <v>1018.5725</v>
      </c>
      <c r="F1946" s="116">
        <v>20424.5</v>
      </c>
      <c r="G1946">
        <v>561</v>
      </c>
      <c r="H1946" s="116"/>
      <c r="I1946" s="116"/>
      <c r="L1946" s="170">
        <v>44869</v>
      </c>
      <c r="M1946" s="116">
        <v>1021.265</v>
      </c>
      <c r="N1946" s="116">
        <v>1026.75</v>
      </c>
      <c r="O1946" s="116">
        <v>1015.235</v>
      </c>
      <c r="P1946" s="116">
        <v>1021.1725</v>
      </c>
      <c r="Q1946" s="116">
        <v>20425.3</v>
      </c>
      <c r="R1946">
        <v>18873</v>
      </c>
    </row>
    <row r="1947" spans="1:18" x14ac:dyDescent="0.25">
      <c r="A1947" s="170">
        <v>44872</v>
      </c>
      <c r="B1947" s="116">
        <v>1035.5925</v>
      </c>
      <c r="C1947" s="116">
        <v>1024.73</v>
      </c>
      <c r="D1947" s="116">
        <v>1019.0725</v>
      </c>
      <c r="E1947" s="116">
        <v>1020.5525</v>
      </c>
      <c r="F1947" s="116">
        <v>20494.599999999999</v>
      </c>
      <c r="G1947">
        <v>1571</v>
      </c>
      <c r="H1947" s="116"/>
      <c r="I1947" s="116"/>
      <c r="L1947" s="170">
        <v>44872</v>
      </c>
      <c r="M1947" s="116">
        <v>1024.0125</v>
      </c>
      <c r="N1947" s="116">
        <v>1036</v>
      </c>
      <c r="O1947" s="116">
        <v>1018.51</v>
      </c>
      <c r="P1947" s="116">
        <v>1022.575</v>
      </c>
      <c r="Q1947" s="116">
        <v>20480.25</v>
      </c>
      <c r="R1947">
        <v>67722</v>
      </c>
    </row>
    <row r="1948" spans="1:18" x14ac:dyDescent="0.25">
      <c r="A1948" s="170">
        <v>44874</v>
      </c>
      <c r="B1948" s="116">
        <v>1042.4974999999999</v>
      </c>
      <c r="C1948" s="116">
        <v>1016.1325000000001</v>
      </c>
      <c r="D1948" s="116">
        <v>1010.25</v>
      </c>
      <c r="E1948" s="116">
        <v>1025.2525000000001</v>
      </c>
      <c r="F1948" s="116">
        <v>20322.650000000001</v>
      </c>
      <c r="G1948">
        <v>2537</v>
      </c>
      <c r="H1948" s="116"/>
      <c r="I1948" s="116"/>
      <c r="L1948" s="170">
        <v>44874</v>
      </c>
      <c r="M1948" s="116">
        <v>1015.995</v>
      </c>
      <c r="N1948" s="116">
        <v>1042.1175000000001</v>
      </c>
      <c r="O1948" s="116">
        <v>1010.25</v>
      </c>
      <c r="P1948" s="116">
        <v>1030.7725</v>
      </c>
      <c r="Q1948" s="116">
        <v>20319.900000000001</v>
      </c>
      <c r="R1948">
        <v>52245</v>
      </c>
    </row>
    <row r="1949" spans="1:18" x14ac:dyDescent="0.25">
      <c r="A1949" s="170">
        <v>44875</v>
      </c>
      <c r="B1949" s="116">
        <v>1018.775</v>
      </c>
      <c r="C1949" s="116">
        <v>1007.99</v>
      </c>
      <c r="D1949" s="116">
        <v>1002.525</v>
      </c>
      <c r="E1949" s="116">
        <v>1012.5</v>
      </c>
      <c r="F1949" s="116">
        <v>20159.8</v>
      </c>
      <c r="G1949">
        <v>1064</v>
      </c>
      <c r="H1949" s="116"/>
      <c r="I1949" s="116"/>
      <c r="L1949" s="170">
        <v>44875</v>
      </c>
      <c r="M1949" s="116">
        <v>1008.765</v>
      </c>
      <c r="N1949" s="116">
        <v>1020</v>
      </c>
      <c r="O1949" s="116">
        <v>1002.2474999999999</v>
      </c>
      <c r="P1949" s="116">
        <v>1014.98</v>
      </c>
      <c r="Q1949" s="116">
        <v>20175.3</v>
      </c>
      <c r="R1949">
        <v>38991</v>
      </c>
    </row>
    <row r="1950" spans="1:18" x14ac:dyDescent="0.25">
      <c r="A1950" s="170">
        <v>44876</v>
      </c>
      <c r="B1950" s="116">
        <v>1024.5</v>
      </c>
      <c r="C1950" s="116">
        <v>1016.475</v>
      </c>
      <c r="D1950" s="116">
        <v>1010.005</v>
      </c>
      <c r="E1950" s="116">
        <v>1010.005</v>
      </c>
      <c r="F1950" s="116">
        <v>20329.5</v>
      </c>
      <c r="G1950">
        <v>598</v>
      </c>
      <c r="H1950" s="116"/>
      <c r="I1950" s="116"/>
      <c r="L1950" s="170">
        <v>44876</v>
      </c>
      <c r="M1950" s="116">
        <v>1016.125</v>
      </c>
      <c r="N1950" s="116">
        <v>1025</v>
      </c>
      <c r="O1950" s="116">
        <v>1010.005</v>
      </c>
      <c r="P1950" s="116">
        <v>1013.81</v>
      </c>
      <c r="Q1950" s="116">
        <v>20322.5</v>
      </c>
      <c r="R1950">
        <v>35837</v>
      </c>
    </row>
    <row r="1951" spans="1:18" x14ac:dyDescent="0.25">
      <c r="A1951" s="170">
        <v>44879</v>
      </c>
      <c r="B1951" s="116">
        <v>1019.2025</v>
      </c>
      <c r="C1951" s="116">
        <v>1002.975</v>
      </c>
      <c r="D1951" s="116">
        <v>995.39750000000004</v>
      </c>
      <c r="E1951" s="116">
        <v>1012.5549999999999</v>
      </c>
      <c r="F1951" s="116">
        <v>20059.5</v>
      </c>
      <c r="G1951">
        <v>1673</v>
      </c>
      <c r="H1951" s="116"/>
      <c r="I1951" s="116"/>
      <c r="L1951" s="170">
        <v>44879</v>
      </c>
      <c r="M1951" s="116">
        <v>1003.26</v>
      </c>
      <c r="N1951" s="116">
        <v>1019.6224999999999</v>
      </c>
      <c r="O1951" s="116">
        <v>994.63499999999999</v>
      </c>
      <c r="P1951" s="116">
        <v>1016.15</v>
      </c>
      <c r="Q1951" s="116">
        <v>20065.2</v>
      </c>
      <c r="R1951">
        <v>48476</v>
      </c>
    </row>
    <row r="1952" spans="1:18" x14ac:dyDescent="0.25">
      <c r="A1952" s="170">
        <v>44880</v>
      </c>
      <c r="B1952" s="116">
        <v>1009.95</v>
      </c>
      <c r="C1952" s="116">
        <v>1002.975</v>
      </c>
      <c r="D1952" s="116">
        <v>992.90250000000003</v>
      </c>
      <c r="E1952" s="116">
        <v>1009.95</v>
      </c>
      <c r="F1952" s="116">
        <v>20059.5</v>
      </c>
      <c r="G1952">
        <v>3659</v>
      </c>
      <c r="H1952" s="116"/>
      <c r="I1952" s="116"/>
      <c r="L1952" s="170">
        <v>44880</v>
      </c>
      <c r="M1952" s="116">
        <v>1002.7775</v>
      </c>
      <c r="N1952" s="116">
        <v>1009.2975</v>
      </c>
      <c r="O1952" s="116">
        <v>992.5</v>
      </c>
      <c r="P1952" s="116">
        <v>1008.2</v>
      </c>
      <c r="Q1952" s="116">
        <v>20055.55</v>
      </c>
      <c r="R1952">
        <v>39341</v>
      </c>
    </row>
    <row r="1953" spans="1:18" x14ac:dyDescent="0.25">
      <c r="A1953" s="170">
        <v>44881</v>
      </c>
      <c r="B1953" s="116">
        <v>1006.15</v>
      </c>
      <c r="C1953" s="116">
        <v>1004.85</v>
      </c>
      <c r="D1953" s="116">
        <v>991.5</v>
      </c>
      <c r="E1953" s="116">
        <v>995.10249999999996</v>
      </c>
      <c r="F1953" s="116">
        <v>20097</v>
      </c>
      <c r="G1953">
        <v>1271</v>
      </c>
      <c r="H1953" s="116"/>
      <c r="I1953" s="116"/>
      <c r="L1953" s="170">
        <v>44881</v>
      </c>
      <c r="M1953" s="116">
        <v>1004.895</v>
      </c>
      <c r="N1953" s="116">
        <v>1007.2125</v>
      </c>
      <c r="O1953" s="116">
        <v>991.25</v>
      </c>
      <c r="P1953" s="116">
        <v>999.60749999999996</v>
      </c>
      <c r="Q1953" s="116">
        <v>20097.900000000001</v>
      </c>
      <c r="R1953">
        <v>44776</v>
      </c>
    </row>
    <row r="1954" spans="1:18" x14ac:dyDescent="0.25">
      <c r="A1954" s="170">
        <v>44882</v>
      </c>
      <c r="B1954" s="116">
        <v>1009</v>
      </c>
      <c r="C1954" s="116">
        <v>999.26750000000004</v>
      </c>
      <c r="D1954" s="116">
        <v>995.005</v>
      </c>
      <c r="E1954" s="116">
        <v>1009</v>
      </c>
      <c r="F1954" s="116">
        <v>19985.349999999999</v>
      </c>
      <c r="G1954">
        <v>360</v>
      </c>
      <c r="H1954" s="116"/>
      <c r="I1954" s="116"/>
      <c r="L1954" s="170">
        <v>44882</v>
      </c>
      <c r="M1954" s="116">
        <v>999.55</v>
      </c>
      <c r="N1954" s="116">
        <v>1006.985</v>
      </c>
      <c r="O1954" s="116">
        <v>994.13250000000005</v>
      </c>
      <c r="P1954" s="116">
        <v>1006.5</v>
      </c>
      <c r="Q1954" s="116">
        <v>19991</v>
      </c>
      <c r="R1954">
        <v>27782</v>
      </c>
    </row>
    <row r="1955" spans="1:18" x14ac:dyDescent="0.25">
      <c r="A1955" s="170">
        <v>44883</v>
      </c>
      <c r="B1955" s="116">
        <v>1000.52</v>
      </c>
      <c r="C1955" s="116">
        <v>997.30499999999995</v>
      </c>
      <c r="D1955" s="116">
        <v>989.44</v>
      </c>
      <c r="E1955" s="116">
        <v>999</v>
      </c>
      <c r="F1955" s="116">
        <v>19946.099999999999</v>
      </c>
      <c r="G1955">
        <v>615</v>
      </c>
      <c r="H1955" s="116"/>
      <c r="I1955" s="116"/>
      <c r="L1955" s="170">
        <v>44883</v>
      </c>
      <c r="M1955" s="116">
        <v>996.255</v>
      </c>
      <c r="N1955" s="116">
        <v>1002.2875</v>
      </c>
      <c r="O1955" s="116">
        <v>989</v>
      </c>
      <c r="P1955" s="116">
        <v>999.75</v>
      </c>
      <c r="Q1955" s="116">
        <v>19925.099999999999</v>
      </c>
      <c r="R1955">
        <v>36686</v>
      </c>
    </row>
    <row r="1956" spans="1:18" x14ac:dyDescent="0.25">
      <c r="A1956" s="170">
        <v>44886</v>
      </c>
      <c r="B1956" s="116">
        <v>992.75250000000005</v>
      </c>
      <c r="C1956" s="116">
        <v>987.88</v>
      </c>
      <c r="D1956" s="116">
        <v>982.88250000000005</v>
      </c>
      <c r="E1956" s="116">
        <v>992.75250000000005</v>
      </c>
      <c r="F1956" s="116">
        <v>19757.599999999999</v>
      </c>
      <c r="G1956">
        <v>1090</v>
      </c>
      <c r="H1956" s="116"/>
      <c r="I1956" s="116"/>
      <c r="L1956" s="170">
        <v>44886</v>
      </c>
      <c r="M1956" s="116">
        <v>988.08500000000004</v>
      </c>
      <c r="N1956" s="116">
        <v>992.98</v>
      </c>
      <c r="O1956" s="116">
        <v>983.28</v>
      </c>
      <c r="P1956" s="116">
        <v>992.6</v>
      </c>
      <c r="Q1956" s="116">
        <v>19761.7</v>
      </c>
      <c r="R1956">
        <v>49844</v>
      </c>
    </row>
    <row r="1957" spans="1:18" x14ac:dyDescent="0.25">
      <c r="A1957" s="170">
        <v>44887</v>
      </c>
      <c r="B1957" s="116">
        <v>994.47500000000002</v>
      </c>
      <c r="C1957" s="116">
        <v>980.36749999999995</v>
      </c>
      <c r="D1957" s="116">
        <v>978</v>
      </c>
      <c r="E1957" s="116">
        <v>985.60249999999996</v>
      </c>
      <c r="F1957" s="116">
        <v>19607.349999999999</v>
      </c>
      <c r="G1957">
        <v>913</v>
      </c>
      <c r="H1957" s="116"/>
      <c r="I1957" s="116"/>
      <c r="L1957" s="170">
        <v>44887</v>
      </c>
      <c r="M1957" s="116">
        <v>980.67499999999995</v>
      </c>
      <c r="N1957" s="116">
        <v>992.46500000000003</v>
      </c>
      <c r="O1957" s="116">
        <v>977.50250000000005</v>
      </c>
      <c r="P1957" s="116">
        <v>988.08500000000004</v>
      </c>
      <c r="Q1957" s="116">
        <v>19613.5</v>
      </c>
      <c r="R1957">
        <v>47422</v>
      </c>
    </row>
    <row r="1958" spans="1:18" x14ac:dyDescent="0.25">
      <c r="A1958" s="170">
        <v>44888</v>
      </c>
      <c r="B1958" s="116">
        <v>990.5</v>
      </c>
      <c r="C1958" s="116">
        <v>977.34249999999997</v>
      </c>
      <c r="D1958" s="116">
        <v>976.20249999999999</v>
      </c>
      <c r="E1958" s="116">
        <v>987.45</v>
      </c>
      <c r="F1958" s="116">
        <v>19546.849999999999</v>
      </c>
      <c r="G1958">
        <v>35237</v>
      </c>
      <c r="H1958" s="116"/>
      <c r="I1958" s="116"/>
      <c r="L1958" s="170">
        <v>44888</v>
      </c>
      <c r="M1958" s="116">
        <v>978.255</v>
      </c>
      <c r="N1958" s="116">
        <v>990.65</v>
      </c>
      <c r="O1958" s="116">
        <v>975.5</v>
      </c>
      <c r="P1958" s="116">
        <v>985</v>
      </c>
      <c r="Q1958" s="116">
        <v>19565.099999999999</v>
      </c>
      <c r="R1958">
        <v>51722</v>
      </c>
    </row>
    <row r="1959" spans="1:18" x14ac:dyDescent="0.25">
      <c r="A1959" s="170">
        <v>44889</v>
      </c>
      <c r="B1959" s="116">
        <v>993</v>
      </c>
      <c r="C1959" s="116">
        <v>989.16499999999996</v>
      </c>
      <c r="D1959" s="116">
        <v>975.3125</v>
      </c>
      <c r="E1959" s="116">
        <v>980.00250000000005</v>
      </c>
      <c r="F1959" s="116">
        <v>19783.3</v>
      </c>
      <c r="G1959">
        <v>459</v>
      </c>
      <c r="H1959" s="116"/>
      <c r="I1959" s="116"/>
      <c r="L1959" s="170">
        <v>44889</v>
      </c>
      <c r="M1959" s="116">
        <v>986.77250000000004</v>
      </c>
      <c r="N1959" s="116">
        <v>993.72</v>
      </c>
      <c r="O1959" s="116">
        <v>975.04250000000002</v>
      </c>
      <c r="P1959" s="116">
        <v>981.25</v>
      </c>
      <c r="Q1959" s="116">
        <v>19735.45</v>
      </c>
      <c r="R1959">
        <v>59696</v>
      </c>
    </row>
    <row r="1960" spans="1:18" x14ac:dyDescent="0.25">
      <c r="A1960" s="170">
        <v>44890</v>
      </c>
      <c r="B1960" s="116">
        <v>987.67250000000001</v>
      </c>
      <c r="C1960" s="116">
        <v>976.39</v>
      </c>
      <c r="D1960" s="116">
        <v>971.78250000000003</v>
      </c>
      <c r="E1960" s="116">
        <v>986.97749999999996</v>
      </c>
      <c r="F1960" s="116">
        <v>19527.8</v>
      </c>
      <c r="G1960">
        <v>1548</v>
      </c>
      <c r="H1960" s="116"/>
      <c r="I1960" s="116"/>
      <c r="L1960" s="170">
        <v>44890</v>
      </c>
      <c r="M1960" s="116">
        <v>976.46749999999997</v>
      </c>
      <c r="N1960" s="116">
        <v>991.2</v>
      </c>
      <c r="O1960" s="116">
        <v>972</v>
      </c>
      <c r="P1960" s="116">
        <v>990</v>
      </c>
      <c r="Q1960" s="116">
        <v>19529.349999999999</v>
      </c>
      <c r="R1960">
        <v>57858</v>
      </c>
    </row>
    <row r="1961" spans="1:18" x14ac:dyDescent="0.25">
      <c r="A1961" s="170">
        <v>44893</v>
      </c>
      <c r="B1961" s="116">
        <v>992.38750000000005</v>
      </c>
      <c r="C1961" s="116">
        <v>991.05</v>
      </c>
      <c r="D1961" s="116">
        <v>967.61749999999995</v>
      </c>
      <c r="E1961" s="116">
        <v>982.495</v>
      </c>
      <c r="F1961" s="116">
        <v>19821</v>
      </c>
      <c r="G1961">
        <v>780</v>
      </c>
      <c r="H1961" s="116"/>
      <c r="I1961" s="116"/>
      <c r="L1961" s="170">
        <v>44893</v>
      </c>
      <c r="M1961" s="116">
        <v>990.77250000000004</v>
      </c>
      <c r="N1961" s="116">
        <v>992.26250000000005</v>
      </c>
      <c r="O1961" s="116">
        <v>973</v>
      </c>
      <c r="P1961" s="116">
        <v>976.25</v>
      </c>
      <c r="Q1961" s="116">
        <v>19815.45</v>
      </c>
      <c r="R1961">
        <v>53000</v>
      </c>
    </row>
    <row r="1962" spans="1:18" x14ac:dyDescent="0.25">
      <c r="A1962" s="170">
        <v>44894</v>
      </c>
      <c r="B1962" s="116">
        <v>1018</v>
      </c>
      <c r="C1962" s="116">
        <v>1005.9275</v>
      </c>
      <c r="D1962" s="116">
        <v>980.75250000000005</v>
      </c>
      <c r="E1962" s="116">
        <v>980.75250000000005</v>
      </c>
      <c r="F1962" s="116">
        <v>20118.55</v>
      </c>
      <c r="G1962">
        <v>3083</v>
      </c>
      <c r="H1962" s="116"/>
      <c r="I1962" s="116"/>
      <c r="L1962" s="170">
        <v>44894</v>
      </c>
      <c r="M1962" s="116">
        <v>1006.06</v>
      </c>
      <c r="N1962" s="116">
        <v>1018.75</v>
      </c>
      <c r="O1962" s="116">
        <v>986.5</v>
      </c>
      <c r="P1962" s="116">
        <v>987.5</v>
      </c>
      <c r="Q1962" s="116">
        <v>20121.2</v>
      </c>
      <c r="R1962">
        <v>73723</v>
      </c>
    </row>
    <row r="1963" spans="1:18" x14ac:dyDescent="0.25">
      <c r="A1963" s="170">
        <v>44895</v>
      </c>
      <c r="B1963" s="116">
        <v>1016.395</v>
      </c>
      <c r="C1963" s="116">
        <v>1005.2925</v>
      </c>
      <c r="D1963" s="116">
        <v>992.48749999999995</v>
      </c>
      <c r="E1963" s="116">
        <v>1004.95</v>
      </c>
      <c r="F1963" s="116">
        <v>20105.849999999999</v>
      </c>
      <c r="G1963">
        <v>1750</v>
      </c>
      <c r="H1963" s="116"/>
      <c r="I1963" s="116"/>
      <c r="L1963" s="170">
        <v>44895</v>
      </c>
      <c r="M1963" s="116">
        <v>1009.1925</v>
      </c>
      <c r="N1963" s="116">
        <v>1016.95</v>
      </c>
      <c r="O1963" s="116">
        <v>992.02</v>
      </c>
      <c r="P1963" s="116">
        <v>1006.06</v>
      </c>
      <c r="Q1963" s="116">
        <v>20183.849999999999</v>
      </c>
      <c r="R1963">
        <v>313389</v>
      </c>
    </row>
    <row r="1964" spans="1:18" x14ac:dyDescent="0.25">
      <c r="A1964" s="170">
        <v>44896</v>
      </c>
      <c r="B1964" s="116">
        <v>1013.41</v>
      </c>
      <c r="C1964" s="116">
        <v>1002.4974999999999</v>
      </c>
      <c r="D1964" s="116">
        <v>997.50250000000005</v>
      </c>
      <c r="E1964" s="116">
        <v>1009.1925</v>
      </c>
      <c r="F1964" s="116">
        <v>20049.95</v>
      </c>
      <c r="G1964">
        <v>813</v>
      </c>
      <c r="H1964" s="116"/>
      <c r="I1964" s="116"/>
      <c r="L1964" s="170">
        <v>44896</v>
      </c>
      <c r="M1964" s="116">
        <v>1002.475</v>
      </c>
      <c r="N1964" s="116">
        <v>1017.495</v>
      </c>
      <c r="O1964" s="116">
        <v>996.75</v>
      </c>
      <c r="P1964" s="116">
        <v>1009.5</v>
      </c>
      <c r="Q1964" s="116">
        <v>20049.5</v>
      </c>
      <c r="R1964">
        <v>52926</v>
      </c>
    </row>
    <row r="1965" spans="1:18" x14ac:dyDescent="0.25">
      <c r="A1965" s="170">
        <v>44897</v>
      </c>
      <c r="B1965" s="116">
        <v>1010</v>
      </c>
      <c r="C1965" s="116">
        <v>987.34500000000003</v>
      </c>
      <c r="D1965" s="116">
        <v>984.5</v>
      </c>
      <c r="E1965" s="116">
        <v>992.90750000000003</v>
      </c>
      <c r="F1965" s="116">
        <v>19746.900000000001</v>
      </c>
      <c r="G1965">
        <v>1916</v>
      </c>
      <c r="H1965" s="116"/>
      <c r="I1965" s="116"/>
      <c r="L1965" s="170">
        <v>44897</v>
      </c>
      <c r="M1965" s="116">
        <v>987.56</v>
      </c>
      <c r="N1965" s="116">
        <v>1006.885</v>
      </c>
      <c r="O1965" s="116">
        <v>983.96249999999998</v>
      </c>
      <c r="P1965" s="116">
        <v>1002.475</v>
      </c>
      <c r="Q1965" s="116">
        <v>19751.2</v>
      </c>
      <c r="R1965">
        <v>69617</v>
      </c>
    </row>
    <row r="1966" spans="1:18" x14ac:dyDescent="0.25">
      <c r="A1966" s="170">
        <v>44900</v>
      </c>
      <c r="B1966" s="116">
        <v>990.505</v>
      </c>
      <c r="C1966" s="116">
        <v>988.08</v>
      </c>
      <c r="D1966" s="116">
        <v>978</v>
      </c>
      <c r="E1966" s="116">
        <v>987.50250000000005</v>
      </c>
      <c r="F1966" s="116">
        <v>19761.599999999999</v>
      </c>
      <c r="G1966">
        <v>1165</v>
      </c>
      <c r="H1966" s="116"/>
      <c r="I1966" s="116"/>
      <c r="L1966" s="170">
        <v>44900</v>
      </c>
      <c r="M1966" s="116">
        <v>987.61</v>
      </c>
      <c r="N1966" s="116">
        <v>992.5</v>
      </c>
      <c r="O1966" s="116">
        <v>977.63499999999999</v>
      </c>
      <c r="P1966" s="116">
        <v>987.99</v>
      </c>
      <c r="Q1966" s="116">
        <v>19752.2</v>
      </c>
      <c r="R1966">
        <v>84999</v>
      </c>
    </row>
    <row r="1967" spans="1:18" x14ac:dyDescent="0.25">
      <c r="A1967" s="170">
        <v>44901</v>
      </c>
      <c r="B1967" s="116">
        <v>999.5</v>
      </c>
      <c r="C1967" s="116">
        <v>995.53750000000002</v>
      </c>
      <c r="D1967" s="116">
        <v>978.51499999999999</v>
      </c>
      <c r="E1967" s="116">
        <v>982.505</v>
      </c>
      <c r="F1967" s="116">
        <v>19910.75</v>
      </c>
      <c r="G1967">
        <v>1735</v>
      </c>
      <c r="H1967" s="116"/>
      <c r="I1967" s="116"/>
      <c r="L1967" s="170">
        <v>44901</v>
      </c>
      <c r="M1967" s="116">
        <v>995.55499999999995</v>
      </c>
      <c r="N1967" s="116">
        <v>999.5</v>
      </c>
      <c r="O1967" s="116">
        <v>978.75</v>
      </c>
      <c r="P1967" s="116">
        <v>987.05</v>
      </c>
      <c r="Q1967" s="116">
        <v>19911.099999999999</v>
      </c>
      <c r="R1967">
        <v>68109</v>
      </c>
    </row>
    <row r="1968" spans="1:18" x14ac:dyDescent="0.25">
      <c r="A1968" s="170">
        <v>44902</v>
      </c>
      <c r="B1968" s="116">
        <v>1003.6825</v>
      </c>
      <c r="C1968" s="116">
        <v>995.51</v>
      </c>
      <c r="D1968" s="116">
        <v>992.08500000000004</v>
      </c>
      <c r="E1968" s="116">
        <v>995.56</v>
      </c>
      <c r="F1968" s="116">
        <v>19910.2</v>
      </c>
      <c r="G1968">
        <v>1223</v>
      </c>
      <c r="H1968" s="116"/>
      <c r="I1968" s="116"/>
      <c r="L1968" s="170">
        <v>44902</v>
      </c>
      <c r="M1968" s="116">
        <v>995.54250000000002</v>
      </c>
      <c r="N1968" s="116">
        <v>1003.9575</v>
      </c>
      <c r="O1968" s="116">
        <v>991.41250000000002</v>
      </c>
      <c r="P1968" s="116">
        <v>996</v>
      </c>
      <c r="Q1968" s="116">
        <v>19910.849999999999</v>
      </c>
      <c r="R1968">
        <v>56956</v>
      </c>
    </row>
    <row r="1969" spans="1:18" x14ac:dyDescent="0.25">
      <c r="A1969" s="170">
        <v>44903</v>
      </c>
      <c r="B1969" s="116">
        <v>1004.8475</v>
      </c>
      <c r="C1969" s="116">
        <v>990.1825</v>
      </c>
      <c r="D1969" s="116">
        <v>986.6925</v>
      </c>
      <c r="E1969" s="116">
        <v>992.50250000000005</v>
      </c>
      <c r="F1969" s="116">
        <v>19803.650000000001</v>
      </c>
      <c r="G1969">
        <v>1001</v>
      </c>
      <c r="H1969" s="116"/>
      <c r="I1969" s="116"/>
      <c r="L1969" s="170">
        <v>44903</v>
      </c>
      <c r="M1969" s="116">
        <v>990.26750000000004</v>
      </c>
      <c r="N1969" s="116">
        <v>1004.95</v>
      </c>
      <c r="O1969" s="116">
        <v>986.55</v>
      </c>
      <c r="P1969" s="116">
        <v>995</v>
      </c>
      <c r="Q1969" s="116">
        <v>19805.349999999999</v>
      </c>
      <c r="R1969">
        <v>40624</v>
      </c>
    </row>
    <row r="1970" spans="1:18" x14ac:dyDescent="0.25">
      <c r="A1970" s="170">
        <v>44904</v>
      </c>
      <c r="B1970" s="116">
        <v>1014.07</v>
      </c>
      <c r="C1970" s="116">
        <v>1012.3525</v>
      </c>
      <c r="D1970" s="116">
        <v>993.05</v>
      </c>
      <c r="E1970" s="116">
        <v>1002</v>
      </c>
      <c r="F1970" s="116">
        <v>20247.05</v>
      </c>
      <c r="G1970">
        <v>1670</v>
      </c>
      <c r="H1970" s="116"/>
      <c r="I1970" s="116"/>
      <c r="L1970" s="170">
        <v>44904</v>
      </c>
      <c r="M1970" s="116">
        <v>1012.0875</v>
      </c>
      <c r="N1970" s="116">
        <v>1014.7474999999999</v>
      </c>
      <c r="O1970" s="116">
        <v>992.21</v>
      </c>
      <c r="P1970" s="116">
        <v>998.4</v>
      </c>
      <c r="Q1970" s="116">
        <v>20241.75</v>
      </c>
      <c r="R1970">
        <v>76755</v>
      </c>
    </row>
    <row r="1971" spans="1:18" x14ac:dyDescent="0.25">
      <c r="A1971" s="170">
        <v>44907</v>
      </c>
      <c r="B1971" s="116">
        <v>1025.3399999999999</v>
      </c>
      <c r="C1971" s="116">
        <v>1024.1175000000001</v>
      </c>
      <c r="D1971" s="116">
        <v>1008.6425</v>
      </c>
      <c r="E1971" s="116">
        <v>1012.5</v>
      </c>
      <c r="F1971" s="116">
        <v>20482.349999999999</v>
      </c>
      <c r="G1971">
        <v>2857</v>
      </c>
      <c r="H1971" s="116"/>
      <c r="I1971" s="116"/>
      <c r="L1971" s="170">
        <v>44907</v>
      </c>
      <c r="M1971" s="116">
        <v>1024.3675000000001</v>
      </c>
      <c r="N1971" s="116">
        <v>1026</v>
      </c>
      <c r="O1971" s="116">
        <v>1007.25</v>
      </c>
      <c r="P1971" s="116">
        <v>1012.5</v>
      </c>
      <c r="Q1971" s="116">
        <v>20487.349999999999</v>
      </c>
      <c r="R1971">
        <v>81060</v>
      </c>
    </row>
    <row r="1972" spans="1:18" x14ac:dyDescent="0.25">
      <c r="A1972" s="170">
        <v>44908</v>
      </c>
      <c r="B1972" s="116">
        <v>1031.4449999999999</v>
      </c>
      <c r="C1972" s="116">
        <v>1019.6125</v>
      </c>
      <c r="D1972" s="116">
        <v>1016.5025000000001</v>
      </c>
      <c r="E1972" s="116">
        <v>1029.9475</v>
      </c>
      <c r="F1972" s="116">
        <v>20392.25</v>
      </c>
      <c r="G1972">
        <v>1044</v>
      </c>
      <c r="H1972" s="116"/>
      <c r="I1972" s="116"/>
      <c r="L1972" s="170">
        <v>44908</v>
      </c>
      <c r="M1972" s="116">
        <v>1019.415</v>
      </c>
      <c r="N1972" s="116">
        <v>1031.7974999999999</v>
      </c>
      <c r="O1972" s="116">
        <v>1016.5</v>
      </c>
      <c r="P1972" s="116">
        <v>1028.05</v>
      </c>
      <c r="Q1972" s="116">
        <v>20388.3</v>
      </c>
      <c r="R1972">
        <v>49134</v>
      </c>
    </row>
    <row r="1973" spans="1:18" x14ac:dyDescent="0.25">
      <c r="A1973" s="170">
        <v>44909</v>
      </c>
      <c r="B1973" s="116">
        <v>1021.7424999999999</v>
      </c>
      <c r="C1973" s="116">
        <v>1002.66</v>
      </c>
      <c r="D1973" s="116">
        <v>1000.01</v>
      </c>
      <c r="E1973" s="116">
        <v>1017.5025000000001</v>
      </c>
      <c r="F1973" s="116">
        <v>20053.2</v>
      </c>
      <c r="G1973">
        <v>1800</v>
      </c>
      <c r="H1973" s="116"/>
      <c r="I1973" s="116"/>
      <c r="L1973" s="170">
        <v>44909</v>
      </c>
      <c r="M1973" s="116">
        <v>1003.175</v>
      </c>
      <c r="N1973" s="116">
        <v>1022.5325</v>
      </c>
      <c r="O1973" s="116">
        <v>1000.3325</v>
      </c>
      <c r="P1973" s="116">
        <v>1019.2575000000001</v>
      </c>
      <c r="Q1973" s="116">
        <v>20063.5</v>
      </c>
      <c r="R1973">
        <v>81680</v>
      </c>
    </row>
    <row r="1974" spans="1:18" x14ac:dyDescent="0.25">
      <c r="A1974" s="170">
        <v>44910</v>
      </c>
      <c r="B1974" s="116">
        <v>1007.5</v>
      </c>
      <c r="C1974" s="116">
        <v>986.54250000000002</v>
      </c>
      <c r="D1974" s="116">
        <v>984.42750000000001</v>
      </c>
      <c r="E1974" s="116">
        <v>1003.6725</v>
      </c>
      <c r="F1974" s="116">
        <v>19730.849999999999</v>
      </c>
      <c r="G1974">
        <v>1186</v>
      </c>
      <c r="H1974" s="116"/>
      <c r="I1974" s="116"/>
      <c r="L1974" s="170">
        <v>44910</v>
      </c>
      <c r="M1974" s="116">
        <v>986.89250000000004</v>
      </c>
      <c r="N1974" s="116">
        <v>1007.4974999999999</v>
      </c>
      <c r="O1974" s="116">
        <v>981.72249999999997</v>
      </c>
      <c r="P1974" s="116">
        <v>1003.175</v>
      </c>
      <c r="Q1974" s="116">
        <v>19737.849999999999</v>
      </c>
      <c r="R1974">
        <v>39554</v>
      </c>
    </row>
    <row r="1975" spans="1:18" x14ac:dyDescent="0.25">
      <c r="A1975" s="170">
        <v>44911</v>
      </c>
      <c r="B1975" s="116">
        <v>992.46749999999997</v>
      </c>
      <c r="C1975" s="116">
        <v>987.55250000000001</v>
      </c>
      <c r="D1975" s="116">
        <v>979.81500000000005</v>
      </c>
      <c r="E1975" s="116">
        <v>982.50250000000005</v>
      </c>
      <c r="F1975" s="116">
        <v>19751.05</v>
      </c>
      <c r="G1975">
        <v>769</v>
      </c>
      <c r="H1975" s="116"/>
      <c r="I1975" s="116"/>
      <c r="L1975" s="170">
        <v>44911</v>
      </c>
      <c r="M1975" s="116">
        <v>986.93499999999995</v>
      </c>
      <c r="N1975" s="116">
        <v>993</v>
      </c>
      <c r="O1975" s="116">
        <v>978.505</v>
      </c>
      <c r="P1975" s="116">
        <v>986.25</v>
      </c>
      <c r="Q1975" s="116">
        <v>19738.7</v>
      </c>
      <c r="R1975">
        <v>69321</v>
      </c>
    </row>
    <row r="1976" spans="1:18" x14ac:dyDescent="0.25">
      <c r="A1976" s="170">
        <v>44914</v>
      </c>
      <c r="B1976" s="116">
        <v>1006.3025</v>
      </c>
      <c r="C1976" s="116">
        <v>1004.3325</v>
      </c>
      <c r="D1976" s="116">
        <v>989.52</v>
      </c>
      <c r="E1976" s="116">
        <v>990</v>
      </c>
      <c r="F1976" s="116">
        <v>20086.650000000001</v>
      </c>
      <c r="G1976">
        <v>2124</v>
      </c>
      <c r="H1976" s="116"/>
      <c r="I1976" s="116"/>
      <c r="L1976" s="170">
        <v>44914</v>
      </c>
      <c r="M1976" s="116">
        <v>1004.0825</v>
      </c>
      <c r="N1976" s="116">
        <v>1006</v>
      </c>
      <c r="O1976" s="116">
        <v>989.99749999999995</v>
      </c>
      <c r="P1976" s="116">
        <v>990</v>
      </c>
      <c r="Q1976" s="116">
        <v>20081.650000000001</v>
      </c>
      <c r="R1976">
        <v>65448</v>
      </c>
    </row>
    <row r="1977" spans="1:18" x14ac:dyDescent="0.25">
      <c r="A1977" s="170">
        <v>44915</v>
      </c>
      <c r="B1977" s="116">
        <v>1008.2474999999999</v>
      </c>
      <c r="C1977" s="116">
        <v>1006.6</v>
      </c>
      <c r="D1977" s="116">
        <v>992.14750000000004</v>
      </c>
      <c r="E1977" s="116">
        <v>1002.8049999999999</v>
      </c>
      <c r="F1977" s="116">
        <v>20132</v>
      </c>
      <c r="G1977">
        <v>1162</v>
      </c>
      <c r="H1977" s="116"/>
      <c r="I1977" s="116"/>
      <c r="L1977" s="170">
        <v>44915</v>
      </c>
      <c r="M1977" s="116">
        <v>1006.7775</v>
      </c>
      <c r="N1977" s="116">
        <v>1008.3925</v>
      </c>
      <c r="O1977" s="116">
        <v>992.55250000000001</v>
      </c>
      <c r="P1977" s="116">
        <v>1007.5</v>
      </c>
      <c r="Q1977" s="116">
        <v>20135.55</v>
      </c>
      <c r="R1977">
        <v>46676</v>
      </c>
    </row>
    <row r="1978" spans="1:18" x14ac:dyDescent="0.25">
      <c r="A1978" s="170">
        <v>44916</v>
      </c>
      <c r="B1978" s="116">
        <v>1017.2</v>
      </c>
      <c r="C1978" s="116">
        <v>1016.045</v>
      </c>
      <c r="D1978" s="116">
        <v>1003.865</v>
      </c>
      <c r="E1978" s="116">
        <v>1007.5</v>
      </c>
      <c r="F1978" s="116">
        <v>20320.900000000001</v>
      </c>
      <c r="G1978">
        <v>5194</v>
      </c>
      <c r="H1978" s="116"/>
      <c r="I1978" s="116"/>
      <c r="L1978" s="170">
        <v>44916</v>
      </c>
      <c r="M1978" s="116">
        <v>1015.71</v>
      </c>
      <c r="N1978" s="116">
        <v>1017.4</v>
      </c>
      <c r="O1978" s="116">
        <v>1003.1075</v>
      </c>
      <c r="P1978" s="116">
        <v>1008.25</v>
      </c>
      <c r="Q1978" s="116">
        <v>20314.2</v>
      </c>
      <c r="R1978">
        <v>70378</v>
      </c>
    </row>
    <row r="1979" spans="1:18" x14ac:dyDescent="0.25">
      <c r="A1979" s="170">
        <v>44917</v>
      </c>
      <c r="B1979" s="116">
        <v>1020</v>
      </c>
      <c r="C1979" s="116">
        <v>1014.85</v>
      </c>
      <c r="D1979" s="116">
        <v>1007.5</v>
      </c>
      <c r="E1979" s="116">
        <v>1015.0549999999999</v>
      </c>
      <c r="F1979" s="116">
        <v>20297</v>
      </c>
      <c r="G1979">
        <v>985</v>
      </c>
      <c r="H1979" s="116"/>
      <c r="I1979" s="116"/>
      <c r="L1979" s="170">
        <v>44917</v>
      </c>
      <c r="M1979" s="116">
        <v>1015.33</v>
      </c>
      <c r="N1979" s="116">
        <v>1022</v>
      </c>
      <c r="O1979" s="116">
        <v>1007.875</v>
      </c>
      <c r="P1979" s="116">
        <v>1019.75</v>
      </c>
      <c r="Q1979" s="116">
        <v>20306.599999999999</v>
      </c>
      <c r="R1979">
        <v>37688</v>
      </c>
    </row>
    <row r="1980" spans="1:18" x14ac:dyDescent="0.25">
      <c r="A1980" s="170">
        <v>44918</v>
      </c>
      <c r="B1980" s="116">
        <v>1022.5725</v>
      </c>
      <c r="C1980" s="116">
        <v>1007.3275</v>
      </c>
      <c r="D1980" s="116">
        <v>932.0625</v>
      </c>
      <c r="E1980" s="116">
        <v>1013.67</v>
      </c>
      <c r="F1980" s="116">
        <v>20146.55</v>
      </c>
      <c r="G1980">
        <v>3972</v>
      </c>
      <c r="H1980" s="116"/>
      <c r="I1980" s="116"/>
      <c r="L1980" s="170">
        <v>44918</v>
      </c>
      <c r="M1980" s="116">
        <v>1006.6375</v>
      </c>
      <c r="N1980" s="116">
        <v>1022.75</v>
      </c>
      <c r="O1980" s="116">
        <v>1002.7525000000001</v>
      </c>
      <c r="P1980" s="116">
        <v>1010</v>
      </c>
      <c r="Q1980" s="116">
        <v>20132.75</v>
      </c>
      <c r="R1980">
        <v>74404</v>
      </c>
    </row>
    <row r="1981" spans="1:18" x14ac:dyDescent="0.25">
      <c r="A1981" s="170">
        <v>44921</v>
      </c>
      <c r="B1981" s="116">
        <v>1011.095</v>
      </c>
      <c r="C1981" s="116">
        <v>994.80250000000001</v>
      </c>
      <c r="D1981" s="116">
        <v>993.5675</v>
      </c>
      <c r="E1981" s="116">
        <v>1007.03</v>
      </c>
      <c r="F1981" s="116">
        <v>19896.05</v>
      </c>
      <c r="G1981">
        <v>1281</v>
      </c>
      <c r="H1981" s="116"/>
      <c r="I1981" s="116"/>
      <c r="L1981" s="170">
        <v>44921</v>
      </c>
      <c r="M1981" s="116">
        <v>994.875</v>
      </c>
      <c r="N1981" s="116">
        <v>1012.2825</v>
      </c>
      <c r="O1981" s="116">
        <v>993</v>
      </c>
      <c r="P1981" s="116">
        <v>1008.7474999999999</v>
      </c>
      <c r="Q1981" s="116">
        <v>19897.5</v>
      </c>
      <c r="R1981">
        <v>33382</v>
      </c>
    </row>
    <row r="1982" spans="1:18" x14ac:dyDescent="0.25">
      <c r="A1982" s="170">
        <v>44922</v>
      </c>
      <c r="B1982" s="116">
        <v>1000.87</v>
      </c>
      <c r="C1982" s="116">
        <v>988.99249999999995</v>
      </c>
      <c r="D1982" s="116">
        <v>987.1825</v>
      </c>
      <c r="E1982" s="116">
        <v>993.1</v>
      </c>
      <c r="F1982" s="116">
        <v>19779.849999999999</v>
      </c>
      <c r="G1982">
        <v>647</v>
      </c>
      <c r="H1982" s="116"/>
      <c r="I1982" s="116"/>
      <c r="L1982" s="170">
        <v>44922</v>
      </c>
      <c r="M1982" s="116">
        <v>988.8</v>
      </c>
      <c r="N1982" s="116">
        <v>1000.885</v>
      </c>
      <c r="O1982" s="116">
        <v>987.25</v>
      </c>
      <c r="P1982" s="116">
        <v>995</v>
      </c>
      <c r="Q1982" s="116">
        <v>19776</v>
      </c>
      <c r="R1982">
        <v>40291</v>
      </c>
    </row>
    <row r="1983" spans="1:18" x14ac:dyDescent="0.25">
      <c r="A1983" s="170">
        <v>44923</v>
      </c>
      <c r="B1983" s="116">
        <v>994.66</v>
      </c>
      <c r="C1983" s="116">
        <v>992.53</v>
      </c>
      <c r="D1983" s="116">
        <v>985.09749999999997</v>
      </c>
      <c r="E1983" s="116">
        <v>994.66</v>
      </c>
      <c r="F1983" s="116">
        <v>19850.599999999999</v>
      </c>
      <c r="G1983">
        <v>512</v>
      </c>
      <c r="H1983" s="116"/>
      <c r="I1983" s="116"/>
      <c r="L1983" s="170">
        <v>44923</v>
      </c>
      <c r="M1983" s="116">
        <v>992.18</v>
      </c>
      <c r="N1983" s="116">
        <v>994.79499999999996</v>
      </c>
      <c r="O1983" s="116">
        <v>985.5</v>
      </c>
      <c r="P1983" s="116">
        <v>989.5</v>
      </c>
      <c r="Q1983" s="116">
        <v>19843.599999999999</v>
      </c>
      <c r="R1983">
        <v>35346</v>
      </c>
    </row>
    <row r="1984" spans="1:18" x14ac:dyDescent="0.25">
      <c r="A1984" s="170">
        <v>44924</v>
      </c>
      <c r="B1984" s="116">
        <v>995.25</v>
      </c>
      <c r="C1984" s="116">
        <v>991.10500000000002</v>
      </c>
      <c r="D1984" s="116">
        <v>982</v>
      </c>
      <c r="E1984" s="116">
        <v>985.05</v>
      </c>
      <c r="F1984" s="116">
        <v>19822.099999999999</v>
      </c>
      <c r="G1984">
        <v>917</v>
      </c>
      <c r="H1984" s="116"/>
      <c r="I1984" s="116"/>
      <c r="L1984" s="170">
        <v>44924</v>
      </c>
      <c r="M1984" s="116">
        <v>990.4</v>
      </c>
      <c r="N1984" s="116">
        <v>995.87750000000005</v>
      </c>
      <c r="O1984" s="116">
        <v>981.52750000000003</v>
      </c>
      <c r="P1984" s="116">
        <v>992</v>
      </c>
      <c r="Q1984" s="116">
        <v>19808</v>
      </c>
      <c r="R1984">
        <v>39851</v>
      </c>
    </row>
    <row r="1985" spans="1:18" x14ac:dyDescent="0.25">
      <c r="A1985" s="170">
        <v>44925</v>
      </c>
      <c r="B1985" s="116">
        <v>994.66</v>
      </c>
      <c r="C1985" s="116">
        <v>979.94</v>
      </c>
      <c r="D1985" s="116">
        <v>977.94500000000005</v>
      </c>
      <c r="E1985" s="116">
        <v>991.10249999999996</v>
      </c>
      <c r="F1985" s="116">
        <v>19598.8</v>
      </c>
      <c r="G1985">
        <v>845</v>
      </c>
      <c r="H1985" s="116"/>
      <c r="I1985" s="116"/>
      <c r="L1985" s="170">
        <v>44925</v>
      </c>
      <c r="M1985" s="116">
        <v>980.3</v>
      </c>
      <c r="N1985" s="116">
        <v>994.5</v>
      </c>
      <c r="O1985" s="116">
        <v>978.09249999999997</v>
      </c>
      <c r="P1985" s="116">
        <v>991.97749999999996</v>
      </c>
      <c r="Q1985" s="116">
        <v>19606</v>
      </c>
      <c r="R1985">
        <v>42644</v>
      </c>
    </row>
    <row r="1986" spans="1:18" x14ac:dyDescent="0.25">
      <c r="A1986" s="170">
        <v>44928</v>
      </c>
      <c r="B1986" s="116">
        <v>983.93499999999995</v>
      </c>
      <c r="C1986" s="116">
        <v>978.19749999999999</v>
      </c>
      <c r="D1986" s="116">
        <v>975.55</v>
      </c>
      <c r="E1986" s="116">
        <v>980.55250000000001</v>
      </c>
      <c r="F1986" s="116">
        <v>19563.95</v>
      </c>
      <c r="G1986">
        <v>671</v>
      </c>
      <c r="H1986" s="116"/>
      <c r="I1986" s="116"/>
      <c r="L1986" s="170">
        <v>44928</v>
      </c>
      <c r="M1986" s="116">
        <v>978.07749999999999</v>
      </c>
      <c r="N1986" s="116">
        <v>985.75</v>
      </c>
      <c r="O1986" s="116">
        <v>975.0625</v>
      </c>
      <c r="P1986" s="116">
        <v>980.83249999999998</v>
      </c>
      <c r="Q1986" s="116">
        <v>19561.55</v>
      </c>
      <c r="R1986">
        <v>25164</v>
      </c>
    </row>
    <row r="1987" spans="1:18" x14ac:dyDescent="0.25">
      <c r="A1987" s="170">
        <v>44929</v>
      </c>
      <c r="B1987" s="116">
        <v>987.75</v>
      </c>
      <c r="C1987" s="116">
        <v>986.66</v>
      </c>
      <c r="D1987" s="116">
        <v>974.19</v>
      </c>
      <c r="E1987" s="116">
        <v>979.95</v>
      </c>
      <c r="F1987" s="116">
        <v>19733.2</v>
      </c>
      <c r="G1987">
        <v>1874</v>
      </c>
      <c r="H1987" s="116"/>
      <c r="I1987" s="116"/>
      <c r="L1987" s="170">
        <v>44929</v>
      </c>
      <c r="M1987" s="116">
        <v>986.36500000000001</v>
      </c>
      <c r="N1987" s="116">
        <v>988.04750000000001</v>
      </c>
      <c r="O1987" s="116">
        <v>973.79750000000001</v>
      </c>
      <c r="P1987" s="116">
        <v>979.95</v>
      </c>
      <c r="Q1987" s="116">
        <v>19727.3</v>
      </c>
      <c r="R1987">
        <v>31415</v>
      </c>
    </row>
    <row r="1988" spans="1:18" x14ac:dyDescent="0.25">
      <c r="A1988" s="170">
        <v>44930</v>
      </c>
      <c r="B1988" s="116">
        <v>989.62249999999995</v>
      </c>
      <c r="C1988" s="116">
        <v>976.73</v>
      </c>
      <c r="D1988" s="116">
        <v>975</v>
      </c>
      <c r="E1988" s="116">
        <v>985.98</v>
      </c>
      <c r="F1988" s="116">
        <v>19534.599999999999</v>
      </c>
      <c r="G1988">
        <v>892</v>
      </c>
      <c r="H1988" s="116"/>
      <c r="I1988" s="116"/>
      <c r="L1988" s="170">
        <v>44930</v>
      </c>
      <c r="M1988" s="116">
        <v>975.995</v>
      </c>
      <c r="N1988" s="116">
        <v>989.9</v>
      </c>
      <c r="O1988" s="116">
        <v>975</v>
      </c>
      <c r="P1988" s="116">
        <v>989</v>
      </c>
      <c r="Q1988" s="116">
        <v>19519.900000000001</v>
      </c>
      <c r="R1988">
        <v>31984</v>
      </c>
    </row>
    <row r="1989" spans="1:18" x14ac:dyDescent="0.25">
      <c r="A1989" s="170">
        <v>44931</v>
      </c>
      <c r="B1989" s="116">
        <v>994.05</v>
      </c>
      <c r="C1989" s="116">
        <v>987.96</v>
      </c>
      <c r="D1989" s="116">
        <v>976.67750000000001</v>
      </c>
      <c r="E1989" s="116">
        <v>977.55</v>
      </c>
      <c r="F1989" s="116">
        <v>19759.2</v>
      </c>
      <c r="G1989">
        <v>1339</v>
      </c>
      <c r="H1989" s="116"/>
      <c r="I1989" s="116"/>
      <c r="L1989" s="170">
        <v>44931</v>
      </c>
      <c r="M1989" s="116">
        <v>988.8</v>
      </c>
      <c r="N1989" s="116">
        <v>994.70749999999998</v>
      </c>
      <c r="O1989" s="116">
        <v>975.97500000000002</v>
      </c>
      <c r="P1989" s="116">
        <v>977</v>
      </c>
      <c r="Q1989" s="116">
        <v>19776</v>
      </c>
      <c r="R1989">
        <v>51393</v>
      </c>
    </row>
    <row r="1990" spans="1:18" x14ac:dyDescent="0.25">
      <c r="A1990" s="170">
        <v>44932</v>
      </c>
      <c r="B1990" s="116">
        <v>996.2</v>
      </c>
      <c r="C1990" s="116">
        <v>994.20249999999999</v>
      </c>
      <c r="D1990" s="116">
        <v>988.8</v>
      </c>
      <c r="E1990" s="116">
        <v>988.8</v>
      </c>
      <c r="F1990" s="116">
        <v>19884.05</v>
      </c>
      <c r="G1990">
        <v>500</v>
      </c>
      <c r="H1990" s="116"/>
      <c r="I1990" s="116"/>
      <c r="L1990" s="170">
        <v>44932</v>
      </c>
      <c r="M1990" s="116">
        <v>994.26250000000005</v>
      </c>
      <c r="N1990" s="116">
        <v>996.32249999999999</v>
      </c>
      <c r="O1990" s="116">
        <v>988.82749999999999</v>
      </c>
      <c r="P1990" s="116">
        <v>990</v>
      </c>
      <c r="Q1990" s="116">
        <v>19885.25</v>
      </c>
      <c r="R1990">
        <v>39386</v>
      </c>
    </row>
    <row r="1991" spans="1:18" x14ac:dyDescent="0.25">
      <c r="A1991" s="170">
        <v>44935</v>
      </c>
      <c r="B1991" s="116">
        <v>1007.5</v>
      </c>
      <c r="C1991" s="116">
        <v>1003.8475</v>
      </c>
      <c r="D1991" s="116">
        <v>995.00250000000005</v>
      </c>
      <c r="E1991" s="116">
        <v>995.005</v>
      </c>
      <c r="F1991" s="116">
        <v>20076.95</v>
      </c>
      <c r="G1991">
        <v>1130</v>
      </c>
      <c r="H1991" s="116"/>
      <c r="I1991" s="116"/>
      <c r="L1991" s="170">
        <v>44935</v>
      </c>
      <c r="M1991" s="116">
        <v>1004.285</v>
      </c>
      <c r="N1991" s="116">
        <v>1008.215</v>
      </c>
      <c r="O1991" s="116">
        <v>994.82500000000005</v>
      </c>
      <c r="P1991" s="116">
        <v>996.74749999999995</v>
      </c>
      <c r="Q1991" s="116">
        <v>20085.7</v>
      </c>
      <c r="R1991">
        <v>36144</v>
      </c>
    </row>
    <row r="1992" spans="1:18" x14ac:dyDescent="0.25">
      <c r="A1992" s="170">
        <v>44936</v>
      </c>
      <c r="B1992" s="116">
        <v>1009.25</v>
      </c>
      <c r="C1992" s="116">
        <v>1001.01</v>
      </c>
      <c r="D1992" s="116">
        <v>998.51</v>
      </c>
      <c r="E1992" s="116">
        <v>1004.25</v>
      </c>
      <c r="F1992" s="116">
        <v>20020.2</v>
      </c>
      <c r="G1992">
        <v>684</v>
      </c>
      <c r="H1992" s="116"/>
      <c r="I1992" s="116"/>
      <c r="L1992" s="170">
        <v>44936</v>
      </c>
      <c r="M1992" s="116">
        <v>1001.1975</v>
      </c>
      <c r="N1992" s="116">
        <v>1009.45</v>
      </c>
      <c r="O1992" s="116">
        <v>997.75250000000005</v>
      </c>
      <c r="P1992" s="116">
        <v>1003.1525</v>
      </c>
      <c r="Q1992" s="116">
        <v>20023.95</v>
      </c>
      <c r="R1992">
        <v>31668</v>
      </c>
    </row>
    <row r="1993" spans="1:18" x14ac:dyDescent="0.25">
      <c r="A1993" s="170">
        <v>44937</v>
      </c>
      <c r="B1993" s="116">
        <v>1006.915</v>
      </c>
      <c r="C1993" s="116">
        <v>988.17250000000001</v>
      </c>
      <c r="D1993" s="116">
        <v>986.5</v>
      </c>
      <c r="E1993" s="116">
        <v>1006.915</v>
      </c>
      <c r="F1993" s="116">
        <v>19763.45</v>
      </c>
      <c r="G1993">
        <v>524</v>
      </c>
      <c r="H1993" s="116"/>
      <c r="I1993" s="116"/>
      <c r="L1993" s="170">
        <v>44937</v>
      </c>
      <c r="M1993" s="116">
        <v>987.91499999999996</v>
      </c>
      <c r="N1993" s="116">
        <v>1004.245</v>
      </c>
      <c r="O1993" s="116">
        <v>985.87</v>
      </c>
      <c r="P1993" s="116">
        <v>1003.5</v>
      </c>
      <c r="Q1993" s="116">
        <v>19758.3</v>
      </c>
      <c r="R1993">
        <v>32510</v>
      </c>
    </row>
    <row r="1994" spans="1:18" x14ac:dyDescent="0.25">
      <c r="A1994" s="170">
        <v>44938</v>
      </c>
      <c r="B1994" s="116">
        <v>997.16499999999996</v>
      </c>
      <c r="C1994" s="116">
        <v>993.94500000000005</v>
      </c>
      <c r="D1994" s="116">
        <v>987.0575</v>
      </c>
      <c r="E1994" s="116">
        <v>987.875</v>
      </c>
      <c r="F1994" s="116">
        <v>19878.900000000001</v>
      </c>
      <c r="G1994">
        <v>500</v>
      </c>
      <c r="H1994" s="116"/>
      <c r="I1994" s="116"/>
      <c r="L1994" s="170">
        <v>44938</v>
      </c>
      <c r="M1994" s="116">
        <v>993.66250000000002</v>
      </c>
      <c r="N1994" s="116">
        <v>997.5</v>
      </c>
      <c r="O1994" s="116">
        <v>987</v>
      </c>
      <c r="P1994" s="116">
        <v>987.91499999999996</v>
      </c>
      <c r="Q1994" s="116">
        <v>19873.25</v>
      </c>
      <c r="R1994">
        <v>33062</v>
      </c>
    </row>
    <row r="1995" spans="1:18" x14ac:dyDescent="0.25">
      <c r="A1995" s="170">
        <v>44939</v>
      </c>
      <c r="B1995" s="116">
        <v>998.49749999999995</v>
      </c>
      <c r="C1995" s="116">
        <v>989.11249999999995</v>
      </c>
      <c r="D1995" s="116">
        <v>987.08249999999998</v>
      </c>
      <c r="E1995" s="116">
        <v>998.49749999999995</v>
      </c>
      <c r="F1995" s="116">
        <v>19782.25</v>
      </c>
      <c r="G1995">
        <v>489</v>
      </c>
      <c r="H1995" s="116"/>
      <c r="I1995" s="116"/>
      <c r="L1995" s="170">
        <v>44939</v>
      </c>
      <c r="M1995" s="116">
        <v>989.21749999999997</v>
      </c>
      <c r="N1995" s="116">
        <v>997.5</v>
      </c>
      <c r="O1995" s="116">
        <v>986.25250000000005</v>
      </c>
      <c r="P1995" s="116">
        <v>997.5</v>
      </c>
      <c r="Q1995" s="116">
        <v>19784.349999999999</v>
      </c>
      <c r="R1995">
        <v>34771</v>
      </c>
    </row>
    <row r="1996" spans="1:18" x14ac:dyDescent="0.25">
      <c r="A1996" s="170">
        <v>44942</v>
      </c>
      <c r="B1996" s="116">
        <v>991.35500000000002</v>
      </c>
      <c r="C1996" s="116">
        <v>987.05250000000001</v>
      </c>
      <c r="D1996" s="116">
        <v>985.08</v>
      </c>
      <c r="E1996" s="116">
        <v>990.75250000000005</v>
      </c>
      <c r="F1996" s="116">
        <v>19741.05</v>
      </c>
      <c r="G1996">
        <v>293</v>
      </c>
      <c r="H1996" s="116"/>
      <c r="I1996" s="116"/>
      <c r="L1996" s="170">
        <v>44942</v>
      </c>
      <c r="M1996" s="116">
        <v>986.78</v>
      </c>
      <c r="N1996" s="116">
        <v>992</v>
      </c>
      <c r="O1996" s="116">
        <v>985.05</v>
      </c>
      <c r="P1996" s="116">
        <v>992</v>
      </c>
      <c r="Q1996" s="116">
        <v>19735.599999999999</v>
      </c>
      <c r="R1996">
        <v>24265</v>
      </c>
    </row>
    <row r="1997" spans="1:18" x14ac:dyDescent="0.25">
      <c r="A1997" s="170">
        <v>44943</v>
      </c>
      <c r="B1997" s="116">
        <v>998.03250000000003</v>
      </c>
      <c r="C1997" s="116">
        <v>996.29499999999996</v>
      </c>
      <c r="D1997" s="116">
        <v>986.31</v>
      </c>
      <c r="E1997" s="116">
        <v>993.995</v>
      </c>
      <c r="F1997" s="116">
        <v>19925.900000000001</v>
      </c>
      <c r="G1997">
        <v>1224</v>
      </c>
      <c r="H1997" s="116"/>
      <c r="I1997" s="116"/>
      <c r="L1997" s="170">
        <v>44943</v>
      </c>
      <c r="M1997" s="116">
        <v>997.28750000000002</v>
      </c>
      <c r="N1997" s="116">
        <v>998.31</v>
      </c>
      <c r="O1997" s="116">
        <v>985.63499999999999</v>
      </c>
      <c r="P1997" s="116">
        <v>986.79499999999996</v>
      </c>
      <c r="Q1997" s="116">
        <v>19945.75</v>
      </c>
      <c r="R1997">
        <v>40187</v>
      </c>
    </row>
    <row r="1998" spans="1:18" x14ac:dyDescent="0.25">
      <c r="A1998" s="170">
        <v>44944</v>
      </c>
      <c r="B1998" s="116">
        <v>1001.25</v>
      </c>
      <c r="C1998" s="116">
        <v>991.07749999999999</v>
      </c>
      <c r="D1998" s="116">
        <v>990</v>
      </c>
      <c r="E1998" s="116">
        <v>995.00250000000005</v>
      </c>
      <c r="F1998" s="116">
        <v>19821.55</v>
      </c>
      <c r="G1998">
        <v>472</v>
      </c>
      <c r="H1998" s="116"/>
      <c r="I1998" s="116"/>
      <c r="L1998" s="170">
        <v>44944</v>
      </c>
      <c r="M1998" s="116">
        <v>991.16750000000002</v>
      </c>
      <c r="N1998" s="116">
        <v>1002.095</v>
      </c>
      <c r="O1998" s="116">
        <v>988.66750000000002</v>
      </c>
      <c r="P1998" s="116">
        <v>997.49749999999995</v>
      </c>
      <c r="Q1998" s="116">
        <v>19823.349999999999</v>
      </c>
      <c r="R1998">
        <v>36399</v>
      </c>
    </row>
    <row r="1999" spans="1:18" x14ac:dyDescent="0.25">
      <c r="A1999" s="170">
        <v>44945</v>
      </c>
      <c r="B1999" s="116">
        <v>994.6</v>
      </c>
      <c r="C1999" s="116">
        <v>983.77</v>
      </c>
      <c r="D1999" s="116">
        <v>981.08</v>
      </c>
      <c r="E1999" s="116">
        <v>992.4</v>
      </c>
      <c r="F1999" s="116">
        <v>19675.400000000001</v>
      </c>
      <c r="G1999">
        <v>439</v>
      </c>
      <c r="H1999" s="116"/>
      <c r="I1999" s="116"/>
      <c r="L1999" s="170">
        <v>44945</v>
      </c>
      <c r="M1999" s="116">
        <v>984.05499999999995</v>
      </c>
      <c r="N1999" s="116">
        <v>994.75</v>
      </c>
      <c r="O1999" s="116">
        <v>980.58249999999998</v>
      </c>
      <c r="P1999" s="116">
        <v>991.16750000000002</v>
      </c>
      <c r="Q1999" s="116">
        <v>19681.099999999999</v>
      </c>
      <c r="R1999">
        <v>30999</v>
      </c>
    </row>
    <row r="2000" spans="1:18" x14ac:dyDescent="0.25">
      <c r="A2000" s="170">
        <v>44946</v>
      </c>
      <c r="B2000" s="116">
        <v>983.77</v>
      </c>
      <c r="C2000" s="116">
        <v>959.97249999999997</v>
      </c>
      <c r="D2000" s="116">
        <v>957.75</v>
      </c>
      <c r="E2000" s="116">
        <v>983.77</v>
      </c>
      <c r="F2000" s="116">
        <v>19199.45</v>
      </c>
      <c r="G2000">
        <v>1591</v>
      </c>
      <c r="H2000" s="116"/>
      <c r="I2000" s="116"/>
      <c r="L2000" s="170">
        <v>44946</v>
      </c>
      <c r="M2000" s="116">
        <v>960.00250000000005</v>
      </c>
      <c r="N2000" s="116">
        <v>983.39250000000004</v>
      </c>
      <c r="O2000" s="116">
        <v>957.49249999999995</v>
      </c>
      <c r="P2000" s="116">
        <v>983.005</v>
      </c>
      <c r="Q2000" s="116">
        <v>19200.05</v>
      </c>
      <c r="R2000">
        <v>72022</v>
      </c>
    </row>
    <row r="2001" spans="1:18" x14ac:dyDescent="0.25">
      <c r="A2001" s="170">
        <v>44949</v>
      </c>
      <c r="B2001" s="116">
        <v>971.5</v>
      </c>
      <c r="C2001" s="116">
        <v>968.42499999999995</v>
      </c>
      <c r="D2001" s="116">
        <v>958.89250000000004</v>
      </c>
      <c r="E2001" s="116">
        <v>960.40250000000003</v>
      </c>
      <c r="F2001" s="116">
        <v>19368.5</v>
      </c>
      <c r="G2001">
        <v>597</v>
      </c>
      <c r="H2001" s="116"/>
      <c r="I2001" s="116"/>
      <c r="L2001" s="170">
        <v>44949</v>
      </c>
      <c r="M2001" s="116">
        <v>968.35500000000002</v>
      </c>
      <c r="N2001" s="116">
        <v>972</v>
      </c>
      <c r="O2001" s="116">
        <v>957.55250000000001</v>
      </c>
      <c r="P2001" s="116">
        <v>962.5</v>
      </c>
      <c r="Q2001" s="116">
        <v>19367.099999999999</v>
      </c>
      <c r="R2001">
        <v>37900</v>
      </c>
    </row>
    <row r="2002" spans="1:18" x14ac:dyDescent="0.25">
      <c r="A2002" s="170">
        <v>44950</v>
      </c>
      <c r="B2002" s="116">
        <v>971.82749999999999</v>
      </c>
      <c r="C2002" s="116">
        <v>964.18</v>
      </c>
      <c r="D2002" s="116">
        <v>958</v>
      </c>
      <c r="E2002" s="116">
        <v>971.82749999999999</v>
      </c>
      <c r="F2002" s="116">
        <v>19283.599999999999</v>
      </c>
      <c r="G2002">
        <v>771</v>
      </c>
      <c r="H2002" s="116"/>
      <c r="I2002" s="116"/>
      <c r="L2002" s="170">
        <v>44950</v>
      </c>
      <c r="M2002" s="116">
        <v>964.53499999999997</v>
      </c>
      <c r="N2002" s="116">
        <v>971.7</v>
      </c>
      <c r="O2002" s="116">
        <v>957.44</v>
      </c>
      <c r="P2002" s="116">
        <v>970</v>
      </c>
      <c r="Q2002" s="116">
        <v>19290.7</v>
      </c>
      <c r="R2002">
        <v>37712</v>
      </c>
    </row>
    <row r="2003" spans="1:18" x14ac:dyDescent="0.25">
      <c r="A2003" s="170">
        <v>44951</v>
      </c>
      <c r="B2003" s="116">
        <v>966.20249999999999</v>
      </c>
      <c r="C2003" s="116">
        <v>962.88250000000005</v>
      </c>
      <c r="D2003" s="116">
        <v>958</v>
      </c>
      <c r="E2003" s="116">
        <v>964.1825</v>
      </c>
      <c r="F2003" s="116">
        <v>19257.650000000001</v>
      </c>
      <c r="G2003">
        <v>628</v>
      </c>
      <c r="H2003" s="116"/>
      <c r="I2003" s="116"/>
      <c r="L2003" s="170">
        <v>44951</v>
      </c>
      <c r="M2003" s="116">
        <v>961.77499999999998</v>
      </c>
      <c r="N2003" s="116">
        <v>967.52499999999998</v>
      </c>
      <c r="O2003" s="116">
        <v>957.5</v>
      </c>
      <c r="P2003" s="116">
        <v>967.45</v>
      </c>
      <c r="Q2003" s="116">
        <v>19235.5</v>
      </c>
      <c r="R2003">
        <v>41160</v>
      </c>
    </row>
    <row r="2004" spans="1:18" x14ac:dyDescent="0.25">
      <c r="A2004" s="170">
        <v>44953</v>
      </c>
      <c r="B2004" s="116">
        <v>968.98</v>
      </c>
      <c r="C2004" s="116">
        <v>960.66</v>
      </c>
      <c r="D2004" s="116">
        <v>951.53250000000003</v>
      </c>
      <c r="E2004" s="116">
        <v>965</v>
      </c>
      <c r="F2004" s="116">
        <v>19213.2</v>
      </c>
      <c r="G2004">
        <v>1068</v>
      </c>
      <c r="H2004" s="116"/>
      <c r="I2004" s="116"/>
      <c r="L2004" s="170">
        <v>44953</v>
      </c>
      <c r="M2004" s="116">
        <v>960.8175</v>
      </c>
      <c r="N2004" s="116">
        <v>969.7</v>
      </c>
      <c r="O2004" s="116">
        <v>951.30250000000001</v>
      </c>
      <c r="P2004" s="116">
        <v>963.00250000000005</v>
      </c>
      <c r="Q2004" s="116">
        <v>19216.349999999999</v>
      </c>
      <c r="R2004">
        <v>44777</v>
      </c>
    </row>
    <row r="2005" spans="1:18" x14ac:dyDescent="0.25">
      <c r="A2005" s="170">
        <v>44956</v>
      </c>
      <c r="B2005" s="116">
        <v>960.65</v>
      </c>
      <c r="C2005" s="116">
        <v>959.01750000000004</v>
      </c>
      <c r="D2005" s="116">
        <v>949.05</v>
      </c>
      <c r="E2005" s="116">
        <v>960</v>
      </c>
      <c r="F2005" s="116">
        <v>19180.349999999999</v>
      </c>
      <c r="G2005">
        <v>759</v>
      </c>
      <c r="H2005" s="116"/>
      <c r="I2005" s="116"/>
      <c r="L2005" s="170">
        <v>44956</v>
      </c>
      <c r="M2005" s="116">
        <v>958.29499999999996</v>
      </c>
      <c r="N2005" s="116">
        <v>960.6825</v>
      </c>
      <c r="O2005" s="116">
        <v>948.9</v>
      </c>
      <c r="P2005" s="116">
        <v>960.3</v>
      </c>
      <c r="Q2005" s="116">
        <v>19165.900000000001</v>
      </c>
      <c r="R2005">
        <v>49830</v>
      </c>
    </row>
    <row r="2006" spans="1:18" x14ac:dyDescent="0.25">
      <c r="A2006" s="170">
        <v>44957</v>
      </c>
      <c r="B2006" s="116">
        <v>963.99749999999995</v>
      </c>
      <c r="C2006" s="116">
        <v>950.77750000000003</v>
      </c>
      <c r="D2006" s="116">
        <v>946.50750000000005</v>
      </c>
      <c r="E2006" s="116">
        <v>963.99749999999995</v>
      </c>
      <c r="F2006" s="116">
        <v>19015.55</v>
      </c>
      <c r="G2006">
        <v>968</v>
      </c>
      <c r="H2006" s="116"/>
      <c r="I2006" s="116"/>
      <c r="L2006" s="170">
        <v>44957</v>
      </c>
      <c r="M2006" s="116">
        <v>950.88750000000005</v>
      </c>
      <c r="N2006" s="116">
        <v>960</v>
      </c>
      <c r="O2006" s="116">
        <v>946.45</v>
      </c>
      <c r="P2006" s="116">
        <v>960</v>
      </c>
      <c r="Q2006" s="116">
        <v>19017.75</v>
      </c>
      <c r="R2006">
        <v>117500</v>
      </c>
    </row>
    <row r="2007" spans="1:18" x14ac:dyDescent="0.25">
      <c r="A2007" s="170">
        <v>44958</v>
      </c>
      <c r="B2007" s="116">
        <v>959.49749999999995</v>
      </c>
      <c r="C2007" s="116">
        <v>953.81</v>
      </c>
      <c r="D2007" s="116">
        <v>946.56</v>
      </c>
      <c r="E2007" s="116">
        <v>959.49749999999995</v>
      </c>
      <c r="F2007" s="116">
        <v>19076.2</v>
      </c>
      <c r="G2007">
        <v>1663</v>
      </c>
      <c r="H2007" s="116"/>
      <c r="I2007" s="116"/>
      <c r="L2007" s="170">
        <v>44958</v>
      </c>
      <c r="M2007" s="116">
        <v>954.49249999999995</v>
      </c>
      <c r="N2007" s="116">
        <v>958.85249999999996</v>
      </c>
      <c r="O2007" s="116">
        <v>945.76250000000005</v>
      </c>
      <c r="P2007" s="116">
        <v>955</v>
      </c>
      <c r="Q2007" s="116">
        <v>19089.849999999999</v>
      </c>
      <c r="R2007">
        <v>68805</v>
      </c>
    </row>
    <row r="2008" spans="1:18" x14ac:dyDescent="0.25">
      <c r="A2008" s="170">
        <v>44959</v>
      </c>
      <c r="B2008" s="116">
        <v>969.995</v>
      </c>
      <c r="C2008" s="116">
        <v>947.89750000000004</v>
      </c>
      <c r="D2008" s="116">
        <v>942.95249999999999</v>
      </c>
      <c r="E2008" s="116">
        <v>969.995</v>
      </c>
      <c r="F2008" s="116">
        <v>18957.95</v>
      </c>
      <c r="G2008">
        <v>710</v>
      </c>
      <c r="H2008" s="116"/>
      <c r="I2008" s="116"/>
      <c r="L2008" s="170">
        <v>44959</v>
      </c>
      <c r="M2008" s="116">
        <v>947.73</v>
      </c>
      <c r="N2008" s="116">
        <v>956.45</v>
      </c>
      <c r="O2008" s="116">
        <v>942.52499999999998</v>
      </c>
      <c r="P2008" s="116">
        <v>956.45</v>
      </c>
      <c r="Q2008" s="116">
        <v>18954.599999999999</v>
      </c>
      <c r="R2008">
        <v>70922</v>
      </c>
    </row>
    <row r="2009" spans="1:18" x14ac:dyDescent="0.25">
      <c r="A2009" s="170">
        <v>44960</v>
      </c>
      <c r="B2009" s="116">
        <v>952.45</v>
      </c>
      <c r="C2009" s="116">
        <v>950.50250000000005</v>
      </c>
      <c r="D2009" s="116">
        <v>939.30499999999995</v>
      </c>
      <c r="E2009" s="116">
        <v>945.00250000000005</v>
      </c>
      <c r="F2009" s="116">
        <v>19010.05</v>
      </c>
      <c r="G2009">
        <v>774</v>
      </c>
      <c r="H2009" s="116"/>
      <c r="I2009" s="116"/>
      <c r="L2009" s="170">
        <v>44960</v>
      </c>
      <c r="M2009" s="116">
        <v>950.21500000000003</v>
      </c>
      <c r="N2009" s="116">
        <v>952.73249999999996</v>
      </c>
      <c r="O2009" s="116">
        <v>938.505</v>
      </c>
      <c r="P2009" s="116">
        <v>950.27</v>
      </c>
      <c r="Q2009" s="116">
        <v>19004.3</v>
      </c>
      <c r="R2009">
        <v>55578</v>
      </c>
    </row>
    <row r="2010" spans="1:18" x14ac:dyDescent="0.25">
      <c r="A2010" s="170">
        <v>44963</v>
      </c>
      <c r="B2010" s="116">
        <v>952.5</v>
      </c>
      <c r="C2010" s="116">
        <v>951.48249999999996</v>
      </c>
      <c r="D2010" s="116">
        <v>937.5</v>
      </c>
      <c r="E2010" s="116">
        <v>950.4</v>
      </c>
      <c r="F2010" s="116">
        <v>19029.650000000001</v>
      </c>
      <c r="G2010">
        <v>1486</v>
      </c>
      <c r="H2010" s="116"/>
      <c r="I2010" s="116"/>
      <c r="L2010" s="170">
        <v>44963</v>
      </c>
      <c r="M2010" s="116">
        <v>951.07500000000005</v>
      </c>
      <c r="N2010" s="116">
        <v>953</v>
      </c>
      <c r="O2010" s="116">
        <v>937.71500000000003</v>
      </c>
      <c r="P2010" s="116">
        <v>950</v>
      </c>
      <c r="Q2010" s="116">
        <v>19021.5</v>
      </c>
      <c r="R2010">
        <v>69134</v>
      </c>
    </row>
    <row r="2011" spans="1:18" x14ac:dyDescent="0.25">
      <c r="A2011" s="170">
        <v>44964</v>
      </c>
      <c r="B2011" s="116">
        <v>954.99749999999995</v>
      </c>
      <c r="C2011" s="116">
        <v>949.1875</v>
      </c>
      <c r="D2011" s="116">
        <v>944.32249999999999</v>
      </c>
      <c r="E2011" s="116">
        <v>954.99749999999995</v>
      </c>
      <c r="F2011" s="116">
        <v>18983.75</v>
      </c>
      <c r="G2011">
        <v>1373</v>
      </c>
      <c r="H2011" s="116"/>
      <c r="I2011" s="116"/>
      <c r="L2011" s="170">
        <v>44964</v>
      </c>
      <c r="M2011" s="116">
        <v>948.9</v>
      </c>
      <c r="N2011" s="116">
        <v>954.995</v>
      </c>
      <c r="O2011" s="116">
        <v>944</v>
      </c>
      <c r="P2011" s="116">
        <v>951.2</v>
      </c>
      <c r="Q2011" s="116">
        <v>18978</v>
      </c>
      <c r="R2011">
        <v>39873</v>
      </c>
    </row>
    <row r="2012" spans="1:18" x14ac:dyDescent="0.25">
      <c r="A2012" s="170">
        <v>44965</v>
      </c>
      <c r="B2012" s="116">
        <v>952.95</v>
      </c>
      <c r="C2012" s="116">
        <v>950.07</v>
      </c>
      <c r="D2012" s="116">
        <v>945</v>
      </c>
      <c r="E2012" s="116">
        <v>948.75</v>
      </c>
      <c r="F2012" s="116">
        <v>19001.400000000001</v>
      </c>
      <c r="G2012">
        <v>2412</v>
      </c>
      <c r="H2012" s="116"/>
      <c r="I2012" s="116"/>
      <c r="L2012" s="170">
        <v>44965</v>
      </c>
      <c r="M2012" s="116">
        <v>949.745</v>
      </c>
      <c r="N2012" s="116">
        <v>953.24249999999995</v>
      </c>
      <c r="O2012" s="116">
        <v>944.50750000000005</v>
      </c>
      <c r="P2012" s="116">
        <v>947.5</v>
      </c>
      <c r="Q2012" s="116">
        <v>18994.900000000001</v>
      </c>
      <c r="R2012">
        <v>23267</v>
      </c>
    </row>
    <row r="2013" spans="1:18" x14ac:dyDescent="0.25">
      <c r="A2013" s="170">
        <v>44966</v>
      </c>
      <c r="B2013" s="116">
        <v>954.13250000000005</v>
      </c>
      <c r="C2013" s="116">
        <v>950.06500000000005</v>
      </c>
      <c r="D2013" s="116">
        <v>948.94</v>
      </c>
      <c r="E2013" s="116">
        <v>950.35</v>
      </c>
      <c r="F2013" s="116">
        <v>19001.3</v>
      </c>
      <c r="G2013">
        <v>1192</v>
      </c>
      <c r="H2013" s="116"/>
      <c r="I2013" s="116"/>
      <c r="L2013" s="170">
        <v>44966</v>
      </c>
      <c r="M2013" s="116">
        <v>950.01499999999999</v>
      </c>
      <c r="N2013" s="116">
        <v>954.21749999999997</v>
      </c>
      <c r="O2013" s="116">
        <v>947.54250000000002</v>
      </c>
      <c r="P2013" s="116">
        <v>949.95</v>
      </c>
      <c r="Q2013" s="116">
        <v>19000.3</v>
      </c>
      <c r="R2013">
        <v>34734</v>
      </c>
    </row>
    <row r="2014" spans="1:18" x14ac:dyDescent="0.25">
      <c r="A2014" s="170">
        <v>44967</v>
      </c>
      <c r="B2014" s="116">
        <v>953.35749999999996</v>
      </c>
      <c r="C2014" s="116">
        <v>951.61</v>
      </c>
      <c r="D2014" s="116">
        <v>944.23</v>
      </c>
      <c r="E2014" s="116">
        <v>950</v>
      </c>
      <c r="F2014" s="116">
        <v>19032.2</v>
      </c>
      <c r="G2014">
        <v>801</v>
      </c>
      <c r="H2014" s="116"/>
      <c r="I2014" s="116"/>
      <c r="L2014" s="170">
        <v>44967</v>
      </c>
      <c r="M2014" s="116">
        <v>951.1925</v>
      </c>
      <c r="N2014" s="116">
        <v>953.50750000000005</v>
      </c>
      <c r="O2014" s="116">
        <v>943.75250000000005</v>
      </c>
      <c r="P2014" s="116">
        <v>950.5</v>
      </c>
      <c r="Q2014" s="116">
        <v>19023.849999999999</v>
      </c>
      <c r="R2014">
        <v>26383</v>
      </c>
    </row>
    <row r="2015" spans="1:18" x14ac:dyDescent="0.25">
      <c r="A2015" s="170">
        <v>44970</v>
      </c>
      <c r="B2015" s="116">
        <v>958.23749999999995</v>
      </c>
      <c r="C2015" s="116">
        <v>951.86749999999995</v>
      </c>
      <c r="D2015" s="116">
        <v>945.005</v>
      </c>
      <c r="E2015" s="116">
        <v>945.005</v>
      </c>
      <c r="F2015" s="116">
        <v>19037.349999999999</v>
      </c>
      <c r="G2015">
        <v>1243</v>
      </c>
      <c r="H2015" s="116"/>
      <c r="I2015" s="116"/>
      <c r="L2015" s="170">
        <v>44970</v>
      </c>
      <c r="M2015" s="116">
        <v>951.34</v>
      </c>
      <c r="N2015" s="116">
        <v>959.95</v>
      </c>
      <c r="O2015" s="116">
        <v>947.49749999999995</v>
      </c>
      <c r="P2015" s="116">
        <v>954.75</v>
      </c>
      <c r="Q2015" s="116">
        <v>19026.8</v>
      </c>
      <c r="R2015">
        <v>32489</v>
      </c>
    </row>
    <row r="2016" spans="1:18" x14ac:dyDescent="0.25">
      <c r="A2016" s="170">
        <v>44971</v>
      </c>
      <c r="B2016" s="116">
        <v>962.75</v>
      </c>
      <c r="C2016" s="116">
        <v>954.14250000000004</v>
      </c>
      <c r="D2016" s="116">
        <v>951</v>
      </c>
      <c r="E2016" s="116">
        <v>951</v>
      </c>
      <c r="F2016" s="116">
        <v>19082.849999999999</v>
      </c>
      <c r="G2016">
        <v>985</v>
      </c>
      <c r="H2016" s="116"/>
      <c r="I2016" s="116"/>
      <c r="L2016" s="170">
        <v>44971</v>
      </c>
      <c r="M2016" s="116">
        <v>954.14499999999998</v>
      </c>
      <c r="N2016" s="116">
        <v>963</v>
      </c>
      <c r="O2016" s="116">
        <v>951.375</v>
      </c>
      <c r="P2016" s="116">
        <v>955.74</v>
      </c>
      <c r="Q2016" s="116">
        <v>19082.900000000001</v>
      </c>
      <c r="R2016">
        <v>38589</v>
      </c>
    </row>
    <row r="2017" spans="1:18" x14ac:dyDescent="0.25">
      <c r="A2017" s="170">
        <v>44972</v>
      </c>
      <c r="B2017" s="116">
        <v>965</v>
      </c>
      <c r="C2017" s="116">
        <v>962.29</v>
      </c>
      <c r="D2017" s="116">
        <v>947.375</v>
      </c>
      <c r="E2017" s="116">
        <v>951.5675</v>
      </c>
      <c r="F2017" s="116">
        <v>19245.8</v>
      </c>
      <c r="G2017">
        <v>828</v>
      </c>
      <c r="H2017" s="116"/>
      <c r="I2017" s="116"/>
      <c r="L2017" s="170">
        <v>44972</v>
      </c>
      <c r="M2017" s="116">
        <v>963.04750000000001</v>
      </c>
      <c r="N2017" s="116">
        <v>964.94</v>
      </c>
      <c r="O2017" s="116">
        <v>946.50250000000005</v>
      </c>
      <c r="P2017" s="116">
        <v>953.75</v>
      </c>
      <c r="Q2017" s="116">
        <v>19260.95</v>
      </c>
      <c r="R2017">
        <v>31998</v>
      </c>
    </row>
    <row r="2018" spans="1:18" x14ac:dyDescent="0.25">
      <c r="A2018" s="170">
        <v>44973</v>
      </c>
      <c r="B2018" s="116">
        <v>989.99749999999995</v>
      </c>
      <c r="C2018" s="116">
        <v>981.03499999999997</v>
      </c>
      <c r="D2018" s="116">
        <v>957.4425</v>
      </c>
      <c r="E2018" s="116">
        <v>972.5</v>
      </c>
      <c r="F2018" s="116">
        <v>19620.7</v>
      </c>
      <c r="G2018">
        <v>2179</v>
      </c>
      <c r="H2018" s="116"/>
      <c r="I2018" s="116"/>
      <c r="L2018" s="170">
        <v>44973</v>
      </c>
      <c r="M2018" s="116">
        <v>981.4425</v>
      </c>
      <c r="N2018" s="116">
        <v>989.99249999999995</v>
      </c>
      <c r="O2018" s="116">
        <v>957</v>
      </c>
      <c r="P2018" s="116">
        <v>971.5</v>
      </c>
      <c r="Q2018" s="116">
        <v>19628.849999999999</v>
      </c>
      <c r="R2018">
        <v>174007</v>
      </c>
    </row>
    <row r="2019" spans="1:18" x14ac:dyDescent="0.25">
      <c r="A2019" s="170">
        <v>44974</v>
      </c>
      <c r="B2019" s="116">
        <v>982</v>
      </c>
      <c r="C2019" s="116">
        <v>950.44749999999999</v>
      </c>
      <c r="D2019" s="116">
        <v>941.88250000000005</v>
      </c>
      <c r="E2019" s="116">
        <v>982</v>
      </c>
      <c r="F2019" s="116">
        <v>19008.95</v>
      </c>
      <c r="G2019">
        <v>3079</v>
      </c>
      <c r="H2019" s="116"/>
      <c r="I2019" s="116"/>
      <c r="L2019" s="170">
        <v>44974</v>
      </c>
      <c r="M2019" s="116">
        <v>951.06500000000005</v>
      </c>
      <c r="N2019" s="116">
        <v>978.75250000000005</v>
      </c>
      <c r="O2019" s="116">
        <v>941.10249999999996</v>
      </c>
      <c r="P2019" s="116">
        <v>978.75250000000005</v>
      </c>
      <c r="Q2019" s="116">
        <v>19021.3</v>
      </c>
      <c r="R2019">
        <v>188435</v>
      </c>
    </row>
    <row r="2020" spans="1:18" x14ac:dyDescent="0.25">
      <c r="A2020" s="170">
        <v>44977</v>
      </c>
      <c r="B2020" s="116">
        <v>952.6</v>
      </c>
      <c r="C2020" s="116">
        <v>941.05250000000001</v>
      </c>
      <c r="D2020" s="116">
        <v>939.27750000000003</v>
      </c>
      <c r="E2020" s="116">
        <v>952.495</v>
      </c>
      <c r="F2020" s="116">
        <v>18821.05</v>
      </c>
      <c r="G2020">
        <v>1350</v>
      </c>
      <c r="H2020" s="116"/>
      <c r="I2020" s="116"/>
      <c r="L2020" s="170">
        <v>44977</v>
      </c>
      <c r="M2020" s="116">
        <v>941.15250000000003</v>
      </c>
      <c r="N2020" s="116">
        <v>957.25</v>
      </c>
      <c r="O2020" s="116">
        <v>939</v>
      </c>
      <c r="P2020" s="116">
        <v>951.5</v>
      </c>
      <c r="Q2020" s="116">
        <v>18823.05</v>
      </c>
      <c r="R2020">
        <v>65311</v>
      </c>
    </row>
    <row r="2021" spans="1:18" x14ac:dyDescent="0.25">
      <c r="A2021" s="170">
        <v>44978</v>
      </c>
      <c r="B2021" s="116">
        <v>947.14</v>
      </c>
      <c r="C2021" s="116">
        <v>942.19749999999999</v>
      </c>
      <c r="D2021" s="116">
        <v>938.87750000000005</v>
      </c>
      <c r="E2021" s="116">
        <v>947.14</v>
      </c>
      <c r="F2021" s="116">
        <v>18843.95</v>
      </c>
      <c r="G2021">
        <v>797</v>
      </c>
      <c r="H2021" s="116"/>
      <c r="I2021" s="116"/>
      <c r="L2021" s="170">
        <v>44978</v>
      </c>
      <c r="M2021" s="116">
        <v>942.43499999999995</v>
      </c>
      <c r="N2021" s="116">
        <v>946.69</v>
      </c>
      <c r="O2021" s="116">
        <v>938</v>
      </c>
      <c r="P2021" s="116">
        <v>944.05499999999995</v>
      </c>
      <c r="Q2021" s="116">
        <v>18848.7</v>
      </c>
      <c r="R2021">
        <v>44954</v>
      </c>
    </row>
    <row r="2022" spans="1:18" x14ac:dyDescent="0.25">
      <c r="A2022" s="170">
        <v>44979</v>
      </c>
      <c r="B2022" s="116">
        <v>942.66</v>
      </c>
      <c r="C2022" s="116">
        <v>933.3175</v>
      </c>
      <c r="D2022" s="116">
        <v>931.03250000000003</v>
      </c>
      <c r="E2022" s="116">
        <v>942.19749999999999</v>
      </c>
      <c r="F2022" s="116">
        <v>18666.349999999999</v>
      </c>
      <c r="G2022">
        <v>1103</v>
      </c>
      <c r="H2022" s="116"/>
      <c r="I2022" s="116"/>
      <c r="L2022" s="170">
        <v>44979</v>
      </c>
      <c r="M2022" s="116">
        <v>933.70749999999998</v>
      </c>
      <c r="N2022" s="116">
        <v>944.14</v>
      </c>
      <c r="O2022" s="116">
        <v>931.5575</v>
      </c>
      <c r="P2022" s="116">
        <v>944.14</v>
      </c>
      <c r="Q2022" s="116">
        <v>18674.150000000001</v>
      </c>
      <c r="R2022">
        <v>42080</v>
      </c>
    </row>
    <row r="2023" spans="1:18" x14ac:dyDescent="0.25">
      <c r="A2023" s="170">
        <v>44980</v>
      </c>
      <c r="B2023" s="116">
        <v>941.28250000000003</v>
      </c>
      <c r="C2023" s="116">
        <v>932.0675</v>
      </c>
      <c r="D2023" s="116">
        <v>928.18</v>
      </c>
      <c r="E2023" s="116">
        <v>934.23749999999995</v>
      </c>
      <c r="F2023" s="116">
        <v>18641.349999999999</v>
      </c>
      <c r="G2023">
        <v>513</v>
      </c>
      <c r="H2023" s="116"/>
      <c r="I2023" s="116"/>
      <c r="L2023" s="170">
        <v>44980</v>
      </c>
      <c r="M2023" s="116">
        <v>932.4</v>
      </c>
      <c r="N2023" s="116">
        <v>941.20749999999998</v>
      </c>
      <c r="O2023" s="116">
        <v>927.55</v>
      </c>
      <c r="P2023" s="116">
        <v>932.99749999999995</v>
      </c>
      <c r="Q2023" s="116">
        <v>18648</v>
      </c>
      <c r="R2023">
        <v>49268</v>
      </c>
    </row>
    <row r="2024" spans="1:18" x14ac:dyDescent="0.25">
      <c r="A2024" s="170">
        <v>44981</v>
      </c>
      <c r="B2024" s="116">
        <v>942</v>
      </c>
      <c r="C2024" s="116">
        <v>933.2</v>
      </c>
      <c r="D2024" s="116">
        <v>931.755</v>
      </c>
      <c r="E2024" s="116">
        <v>936.495</v>
      </c>
      <c r="F2024" s="116">
        <v>18664</v>
      </c>
      <c r="G2024">
        <v>575</v>
      </c>
      <c r="H2024" s="116"/>
      <c r="I2024" s="116"/>
      <c r="L2024" s="170">
        <v>44981</v>
      </c>
      <c r="M2024" s="116">
        <v>934.04499999999996</v>
      </c>
      <c r="N2024" s="116">
        <v>942.45</v>
      </c>
      <c r="O2024" s="116">
        <v>930.75</v>
      </c>
      <c r="P2024" s="116">
        <v>937.0625</v>
      </c>
      <c r="Q2024" s="116">
        <v>18680.900000000001</v>
      </c>
      <c r="R2024">
        <v>38875</v>
      </c>
    </row>
    <row r="2025" spans="1:18" x14ac:dyDescent="0.25">
      <c r="A2025" s="170">
        <v>44984</v>
      </c>
      <c r="B2025" s="116">
        <v>941.56</v>
      </c>
      <c r="C2025" s="116">
        <v>931.32500000000005</v>
      </c>
      <c r="D2025" s="116">
        <v>925</v>
      </c>
      <c r="E2025" s="116">
        <v>933.26499999999999</v>
      </c>
      <c r="F2025" s="116">
        <v>18626.5</v>
      </c>
      <c r="G2025">
        <v>1147</v>
      </c>
      <c r="H2025" s="116"/>
      <c r="I2025" s="116"/>
      <c r="L2025" s="170">
        <v>44984</v>
      </c>
      <c r="M2025" s="116">
        <v>931.13750000000005</v>
      </c>
      <c r="N2025" s="116">
        <v>942.25</v>
      </c>
      <c r="O2025" s="116">
        <v>924.6</v>
      </c>
      <c r="P2025" s="116">
        <v>935</v>
      </c>
      <c r="Q2025" s="116">
        <v>18622.75</v>
      </c>
      <c r="R2025">
        <v>51625</v>
      </c>
    </row>
    <row r="2026" spans="1:18" x14ac:dyDescent="0.25">
      <c r="A2026" s="170">
        <v>44985</v>
      </c>
      <c r="B2026" s="116">
        <v>935.58749999999998</v>
      </c>
      <c r="C2026" s="116">
        <v>932.89750000000004</v>
      </c>
      <c r="D2026" s="116">
        <v>922.93499999999995</v>
      </c>
      <c r="E2026" s="116">
        <v>931.50250000000005</v>
      </c>
      <c r="F2026" s="116">
        <v>18657.95</v>
      </c>
      <c r="G2026">
        <v>989</v>
      </c>
      <c r="H2026" s="116"/>
      <c r="I2026" s="116"/>
      <c r="L2026" s="170">
        <v>44985</v>
      </c>
      <c r="M2026" s="116">
        <v>933.5</v>
      </c>
      <c r="N2026" s="116">
        <v>936.25</v>
      </c>
      <c r="O2026" s="116">
        <v>923.00750000000005</v>
      </c>
      <c r="P2026" s="116">
        <v>931.51</v>
      </c>
      <c r="Q2026" s="116">
        <v>18670</v>
      </c>
      <c r="R2026">
        <v>109182</v>
      </c>
    </row>
    <row r="2027" spans="1:18" x14ac:dyDescent="0.25">
      <c r="A2027" s="170">
        <v>44986</v>
      </c>
      <c r="B2027" s="116">
        <v>940.77250000000004</v>
      </c>
      <c r="C2027" s="116">
        <v>939.75750000000005</v>
      </c>
      <c r="D2027" s="116">
        <v>929.79</v>
      </c>
      <c r="E2027" s="116">
        <v>938.49749999999995</v>
      </c>
      <c r="F2027" s="116">
        <v>18795.150000000001</v>
      </c>
      <c r="G2027">
        <v>578</v>
      </c>
      <c r="H2027" s="116"/>
      <c r="I2027" s="116"/>
      <c r="L2027" s="170">
        <v>44986</v>
      </c>
      <c r="M2027" s="116">
        <v>938.9425</v>
      </c>
      <c r="N2027" s="116">
        <v>941.02</v>
      </c>
      <c r="O2027" s="116">
        <v>928.75750000000005</v>
      </c>
      <c r="P2027" s="116">
        <v>935</v>
      </c>
      <c r="Q2027" s="116">
        <v>18778.849999999999</v>
      </c>
      <c r="R2027">
        <v>63926</v>
      </c>
    </row>
    <row r="2028" spans="1:18" x14ac:dyDescent="0.25">
      <c r="A2028" s="170">
        <v>44987</v>
      </c>
      <c r="B2028" s="116">
        <v>939.60749999999996</v>
      </c>
      <c r="C2028" s="116">
        <v>924.495</v>
      </c>
      <c r="D2028" s="116">
        <v>923.34249999999997</v>
      </c>
      <c r="E2028" s="116">
        <v>933.755</v>
      </c>
      <c r="F2028" s="116">
        <v>18489.900000000001</v>
      </c>
      <c r="G2028">
        <v>843</v>
      </c>
      <c r="H2028" s="116"/>
      <c r="I2028" s="116"/>
      <c r="L2028" s="170">
        <v>44987</v>
      </c>
      <c r="M2028" s="116">
        <v>924.08749999999998</v>
      </c>
      <c r="N2028" s="116">
        <v>940</v>
      </c>
      <c r="O2028" s="116">
        <v>922.84</v>
      </c>
      <c r="P2028" s="116">
        <v>939.99749999999995</v>
      </c>
      <c r="Q2028" s="116">
        <v>18481.75</v>
      </c>
      <c r="R2028">
        <v>39070</v>
      </c>
    </row>
    <row r="2029" spans="1:18" x14ac:dyDescent="0.25">
      <c r="A2029" s="170">
        <v>44988</v>
      </c>
      <c r="B2029" s="116">
        <v>930.24</v>
      </c>
      <c r="C2029" s="116">
        <v>922.90750000000003</v>
      </c>
      <c r="D2029" s="116">
        <v>920</v>
      </c>
      <c r="E2029" s="116">
        <v>925.10249999999996</v>
      </c>
      <c r="F2029" s="116">
        <v>18458.150000000001</v>
      </c>
      <c r="G2029">
        <v>1363</v>
      </c>
      <c r="H2029" s="116"/>
      <c r="I2029" s="116"/>
      <c r="L2029" s="170">
        <v>44988</v>
      </c>
      <c r="M2029" s="116">
        <v>922.495</v>
      </c>
      <c r="N2029" s="116">
        <v>930.73249999999996</v>
      </c>
      <c r="O2029" s="116">
        <v>920.27499999999998</v>
      </c>
      <c r="P2029" s="116">
        <v>927.45</v>
      </c>
      <c r="Q2029" s="116">
        <v>18449.900000000001</v>
      </c>
      <c r="R2029">
        <v>46018</v>
      </c>
    </row>
    <row r="2030" spans="1:18" x14ac:dyDescent="0.25">
      <c r="A2030" s="170">
        <v>44991</v>
      </c>
      <c r="B2030" s="116">
        <v>928.05499999999995</v>
      </c>
      <c r="C2030" s="116">
        <v>925.89250000000004</v>
      </c>
      <c r="D2030" s="116">
        <v>921.15250000000003</v>
      </c>
      <c r="E2030" s="116">
        <v>925.00250000000005</v>
      </c>
      <c r="F2030" s="116">
        <v>18517.849999999999</v>
      </c>
      <c r="G2030">
        <v>1192</v>
      </c>
      <c r="H2030" s="116"/>
      <c r="I2030" s="116"/>
      <c r="L2030" s="170">
        <v>44991</v>
      </c>
      <c r="M2030" s="116">
        <v>925.74249999999995</v>
      </c>
      <c r="N2030" s="116">
        <v>927.70249999999999</v>
      </c>
      <c r="O2030" s="116">
        <v>921.25</v>
      </c>
      <c r="P2030" s="116">
        <v>926.1</v>
      </c>
      <c r="Q2030" s="116">
        <v>18514.849999999999</v>
      </c>
      <c r="R2030">
        <v>52949</v>
      </c>
    </row>
    <row r="2031" spans="1:18" x14ac:dyDescent="0.25">
      <c r="A2031" s="170">
        <v>44993</v>
      </c>
      <c r="B2031" s="116">
        <v>928.54499999999996</v>
      </c>
      <c r="C2031" s="116">
        <v>925.15250000000003</v>
      </c>
      <c r="D2031" s="116">
        <v>919.95</v>
      </c>
      <c r="E2031" s="116">
        <v>922.5</v>
      </c>
      <c r="F2031" s="116">
        <v>18503.05</v>
      </c>
      <c r="G2031">
        <v>996</v>
      </c>
      <c r="H2031" s="116"/>
      <c r="I2031" s="116"/>
      <c r="L2031" s="170">
        <v>44993</v>
      </c>
      <c r="M2031" s="116">
        <v>925.91250000000002</v>
      </c>
      <c r="N2031" s="116">
        <v>928.69</v>
      </c>
      <c r="O2031" s="116">
        <v>919.87750000000005</v>
      </c>
      <c r="P2031" s="116">
        <v>920.25</v>
      </c>
      <c r="Q2031" s="116">
        <v>18518.25</v>
      </c>
      <c r="R2031">
        <v>45746</v>
      </c>
    </row>
    <row r="2032" spans="1:18" x14ac:dyDescent="0.25">
      <c r="A2032" s="170">
        <v>44994</v>
      </c>
      <c r="B2032" s="116">
        <v>928.8</v>
      </c>
      <c r="C2032" s="116">
        <v>927.09</v>
      </c>
      <c r="D2032" s="116">
        <v>921.99249999999995</v>
      </c>
      <c r="E2032" s="116">
        <v>925.29250000000002</v>
      </c>
      <c r="F2032" s="116">
        <v>18541.8</v>
      </c>
      <c r="G2032">
        <v>553</v>
      </c>
      <c r="H2032" s="116"/>
      <c r="I2032" s="116"/>
      <c r="L2032" s="170">
        <v>44994</v>
      </c>
      <c r="M2032" s="116">
        <v>926.78499999999997</v>
      </c>
      <c r="N2032" s="116">
        <v>928.95</v>
      </c>
      <c r="O2032" s="116">
        <v>921.5</v>
      </c>
      <c r="P2032" s="116">
        <v>925</v>
      </c>
      <c r="Q2032" s="116">
        <v>18535.7</v>
      </c>
      <c r="R2032">
        <v>56615</v>
      </c>
    </row>
    <row r="2033" spans="1:18" x14ac:dyDescent="0.25">
      <c r="A2033" s="170">
        <v>44995</v>
      </c>
      <c r="B2033" s="116">
        <v>927.09</v>
      </c>
      <c r="C2033" s="116">
        <v>923.97</v>
      </c>
      <c r="D2033" s="116">
        <v>918.74</v>
      </c>
      <c r="E2033" s="116">
        <v>927.09</v>
      </c>
      <c r="F2033" s="116">
        <v>18479.400000000001</v>
      </c>
      <c r="G2033">
        <v>609</v>
      </c>
      <c r="H2033" s="116"/>
      <c r="I2033" s="116"/>
      <c r="L2033" s="170">
        <v>44995</v>
      </c>
      <c r="M2033" s="116">
        <v>924.28750000000002</v>
      </c>
      <c r="N2033" s="116">
        <v>926.5</v>
      </c>
      <c r="O2033" s="116">
        <v>917.75250000000005</v>
      </c>
      <c r="P2033" s="116">
        <v>926.5</v>
      </c>
      <c r="Q2033" s="116">
        <v>18485.75</v>
      </c>
      <c r="R2033">
        <v>23634</v>
      </c>
    </row>
    <row r="2034" spans="1:18" x14ac:dyDescent="0.25">
      <c r="A2034" s="170">
        <v>44998</v>
      </c>
      <c r="B2034" s="116">
        <v>925.36749999999995</v>
      </c>
      <c r="C2034" s="116">
        <v>916.14499999999998</v>
      </c>
      <c r="D2034" s="116">
        <v>913.59749999999997</v>
      </c>
      <c r="E2034" s="116">
        <v>920.255</v>
      </c>
      <c r="F2034" s="116">
        <v>18322.900000000001</v>
      </c>
      <c r="G2034">
        <v>645</v>
      </c>
      <c r="H2034" s="116"/>
      <c r="I2034" s="116"/>
      <c r="L2034" s="170">
        <v>44998</v>
      </c>
      <c r="M2034" s="116">
        <v>915.87249999999995</v>
      </c>
      <c r="N2034" s="116">
        <v>924.995</v>
      </c>
      <c r="O2034" s="116">
        <v>913.00250000000005</v>
      </c>
      <c r="P2034" s="116">
        <v>921.49749999999995</v>
      </c>
      <c r="Q2034" s="116">
        <v>18317.45</v>
      </c>
      <c r="R2034">
        <v>36476</v>
      </c>
    </row>
    <row r="2035" spans="1:18" x14ac:dyDescent="0.25">
      <c r="A2035" s="170">
        <v>44999</v>
      </c>
      <c r="B2035" s="116">
        <v>921.6875</v>
      </c>
      <c r="C2035" s="116">
        <v>913.25750000000005</v>
      </c>
      <c r="D2035" s="116">
        <v>910.58</v>
      </c>
      <c r="E2035" s="116">
        <v>916.95749999999998</v>
      </c>
      <c r="F2035" s="116">
        <v>18265.150000000001</v>
      </c>
      <c r="G2035">
        <v>1992</v>
      </c>
      <c r="H2035" s="116"/>
      <c r="I2035" s="116"/>
      <c r="L2035" s="170">
        <v>44999</v>
      </c>
      <c r="M2035" s="116">
        <v>913.23249999999996</v>
      </c>
      <c r="N2035" s="116">
        <v>921.75</v>
      </c>
      <c r="O2035" s="116">
        <v>910.65</v>
      </c>
      <c r="P2035" s="116">
        <v>917.5</v>
      </c>
      <c r="Q2035" s="116">
        <v>18264.650000000001</v>
      </c>
      <c r="R2035">
        <v>43879</v>
      </c>
    </row>
    <row r="2036" spans="1:18" x14ac:dyDescent="0.25">
      <c r="A2036" s="170">
        <v>45000</v>
      </c>
      <c r="B2036" s="116">
        <v>919.99749999999995</v>
      </c>
      <c r="C2036" s="116">
        <v>900.14</v>
      </c>
      <c r="D2036" s="116">
        <v>894.4</v>
      </c>
      <c r="E2036" s="116">
        <v>919.99749999999995</v>
      </c>
      <c r="F2036" s="116">
        <v>18002.8</v>
      </c>
      <c r="G2036">
        <v>1960</v>
      </c>
      <c r="H2036" s="116"/>
      <c r="I2036" s="116"/>
      <c r="L2036" s="170">
        <v>45000</v>
      </c>
      <c r="M2036" s="116">
        <v>899.66750000000002</v>
      </c>
      <c r="N2036" s="116">
        <v>918.55499999999995</v>
      </c>
      <c r="O2036" s="116">
        <v>894</v>
      </c>
      <c r="P2036" s="116">
        <v>915</v>
      </c>
      <c r="Q2036" s="116">
        <v>17993.349999999999</v>
      </c>
      <c r="R2036">
        <v>77958</v>
      </c>
    </row>
    <row r="2037" spans="1:18" x14ac:dyDescent="0.25">
      <c r="A2037" s="170">
        <v>45001</v>
      </c>
      <c r="B2037" s="116">
        <v>925</v>
      </c>
      <c r="C2037" s="116">
        <v>922.19</v>
      </c>
      <c r="D2037" s="116">
        <v>898.75</v>
      </c>
      <c r="E2037" s="116">
        <v>900.15</v>
      </c>
      <c r="F2037" s="116">
        <v>18443.8</v>
      </c>
      <c r="G2037">
        <v>2672</v>
      </c>
      <c r="H2037" s="116"/>
      <c r="I2037" s="116"/>
      <c r="L2037" s="170">
        <v>45001</v>
      </c>
      <c r="M2037" s="116">
        <v>922.53250000000003</v>
      </c>
      <c r="N2037" s="116">
        <v>925</v>
      </c>
      <c r="O2037" s="116">
        <v>898.38750000000005</v>
      </c>
      <c r="P2037" s="116">
        <v>899.5</v>
      </c>
      <c r="Q2037" s="116">
        <v>18450.650000000001</v>
      </c>
      <c r="R2037">
        <v>83043</v>
      </c>
    </row>
    <row r="2038" spans="1:18" x14ac:dyDescent="0.25">
      <c r="A2038" s="170">
        <v>45002</v>
      </c>
      <c r="B2038" s="116">
        <v>944.11249999999995</v>
      </c>
      <c r="C2038" s="116">
        <v>942.55250000000001</v>
      </c>
      <c r="D2038" s="116">
        <v>922.505</v>
      </c>
      <c r="E2038" s="116">
        <v>922.505</v>
      </c>
      <c r="F2038" s="116">
        <v>18851.05</v>
      </c>
      <c r="G2038">
        <v>1226</v>
      </c>
      <c r="H2038" s="116"/>
      <c r="I2038" s="116"/>
      <c r="L2038" s="170">
        <v>45002</v>
      </c>
      <c r="M2038" s="116">
        <v>942.90750000000003</v>
      </c>
      <c r="N2038" s="116">
        <v>943.75</v>
      </c>
      <c r="O2038" s="116">
        <v>923.74749999999995</v>
      </c>
      <c r="P2038" s="116">
        <v>924.94500000000005</v>
      </c>
      <c r="Q2038" s="116">
        <v>18858.150000000001</v>
      </c>
      <c r="R2038">
        <v>133430</v>
      </c>
    </row>
    <row r="2039" spans="1:18" x14ac:dyDescent="0.25">
      <c r="A2039" s="170">
        <v>45005</v>
      </c>
      <c r="B2039" s="116">
        <v>949.45</v>
      </c>
      <c r="C2039" s="116">
        <v>946.65250000000003</v>
      </c>
      <c r="D2039" s="116">
        <v>932.9</v>
      </c>
      <c r="E2039" s="116">
        <v>935</v>
      </c>
      <c r="F2039" s="116">
        <v>18933.05</v>
      </c>
      <c r="G2039">
        <v>622</v>
      </c>
      <c r="H2039" s="116"/>
      <c r="I2039" s="116"/>
      <c r="L2039" s="170">
        <v>45005</v>
      </c>
      <c r="M2039" s="116">
        <v>946.89250000000004</v>
      </c>
      <c r="N2039" s="116">
        <v>949.5</v>
      </c>
      <c r="O2039" s="116">
        <v>932.60500000000002</v>
      </c>
      <c r="P2039" s="116">
        <v>945</v>
      </c>
      <c r="Q2039" s="116">
        <v>18937.849999999999</v>
      </c>
      <c r="R2039">
        <v>75645</v>
      </c>
    </row>
    <row r="2040" spans="1:18" x14ac:dyDescent="0.25">
      <c r="A2040" s="170">
        <v>45006</v>
      </c>
      <c r="B2040" s="116">
        <v>962.96249999999998</v>
      </c>
      <c r="C2040" s="116">
        <v>945.72249999999997</v>
      </c>
      <c r="D2040" s="116">
        <v>942.30499999999995</v>
      </c>
      <c r="E2040" s="116">
        <v>949.95</v>
      </c>
      <c r="F2040" s="116">
        <v>18914.45</v>
      </c>
      <c r="G2040">
        <v>1775</v>
      </c>
      <c r="H2040" s="116"/>
      <c r="I2040" s="116"/>
      <c r="L2040" s="170">
        <v>45006</v>
      </c>
      <c r="M2040" s="116">
        <v>946.37</v>
      </c>
      <c r="N2040" s="116">
        <v>962.95</v>
      </c>
      <c r="O2040" s="116">
        <v>941.00250000000005</v>
      </c>
      <c r="P2040" s="116">
        <v>949.5</v>
      </c>
      <c r="Q2040" s="116">
        <v>18927.400000000001</v>
      </c>
      <c r="R2040">
        <v>97762</v>
      </c>
    </row>
    <row r="2041" spans="1:18" x14ac:dyDescent="0.25">
      <c r="A2041" s="170">
        <v>45007</v>
      </c>
      <c r="B2041" s="116">
        <v>951.99749999999995</v>
      </c>
      <c r="C2041" s="116">
        <v>940.71249999999998</v>
      </c>
      <c r="D2041" s="116">
        <v>939.14750000000004</v>
      </c>
      <c r="E2041" s="116">
        <v>951.99749999999995</v>
      </c>
      <c r="F2041" s="116">
        <v>18814.25</v>
      </c>
      <c r="G2041">
        <v>1072</v>
      </c>
      <c r="H2041" s="116"/>
      <c r="I2041" s="116"/>
      <c r="L2041" s="170">
        <v>45007</v>
      </c>
      <c r="M2041" s="116">
        <v>940.98500000000001</v>
      </c>
      <c r="N2041" s="116">
        <v>950.45</v>
      </c>
      <c r="O2041" s="116">
        <v>934.93499999999995</v>
      </c>
      <c r="P2041" s="116">
        <v>950.45</v>
      </c>
      <c r="Q2041" s="116">
        <v>18819.7</v>
      </c>
      <c r="R2041">
        <v>28248</v>
      </c>
    </row>
    <row r="2042" spans="1:18" x14ac:dyDescent="0.25">
      <c r="A2042" s="170">
        <v>45008</v>
      </c>
      <c r="B2042" s="116">
        <v>958.20500000000004</v>
      </c>
      <c r="C2042" s="116">
        <v>951.15750000000003</v>
      </c>
      <c r="D2042" s="116">
        <v>940.54750000000001</v>
      </c>
      <c r="E2042" s="116">
        <v>942</v>
      </c>
      <c r="F2042" s="116">
        <v>19023.150000000001</v>
      </c>
      <c r="G2042">
        <v>1281</v>
      </c>
      <c r="H2042" s="116"/>
      <c r="I2042" s="116"/>
      <c r="L2042" s="170">
        <v>45008</v>
      </c>
      <c r="M2042" s="116">
        <v>952.22249999999997</v>
      </c>
      <c r="N2042" s="116">
        <v>958.495</v>
      </c>
      <c r="O2042" s="116">
        <v>935.50750000000005</v>
      </c>
      <c r="P2042" s="116">
        <v>940.98500000000001</v>
      </c>
      <c r="Q2042" s="116">
        <v>19044.45</v>
      </c>
      <c r="R2042">
        <v>56685</v>
      </c>
    </row>
    <row r="2043" spans="1:18" x14ac:dyDescent="0.25">
      <c r="A2043" s="170">
        <v>45009</v>
      </c>
      <c r="B2043" s="116">
        <v>955</v>
      </c>
      <c r="C2043" s="116">
        <v>947.58249999999998</v>
      </c>
      <c r="D2043" s="116">
        <v>944.8175</v>
      </c>
      <c r="E2043" s="116">
        <v>952.25</v>
      </c>
      <c r="F2043" s="116">
        <v>18951.650000000001</v>
      </c>
      <c r="G2043">
        <v>527</v>
      </c>
      <c r="H2043" s="116"/>
      <c r="I2043" s="116"/>
      <c r="L2043" s="170">
        <v>45009</v>
      </c>
      <c r="M2043" s="116">
        <v>947.65499999999997</v>
      </c>
      <c r="N2043" s="116">
        <v>955</v>
      </c>
      <c r="O2043" s="116">
        <v>944.4</v>
      </c>
      <c r="P2043" s="116">
        <v>950.25250000000005</v>
      </c>
      <c r="Q2043" s="116">
        <v>18953.099999999999</v>
      </c>
      <c r="R2043">
        <v>26299</v>
      </c>
    </row>
    <row r="2044" spans="1:18" x14ac:dyDescent="0.25">
      <c r="A2044" s="170">
        <v>45012</v>
      </c>
      <c r="B2044" s="116">
        <v>956.05</v>
      </c>
      <c r="C2044" s="116">
        <v>947.27750000000003</v>
      </c>
      <c r="D2044" s="116">
        <v>942.09749999999997</v>
      </c>
      <c r="E2044" s="116">
        <v>950.57249999999999</v>
      </c>
      <c r="F2044" s="116">
        <v>18945.55</v>
      </c>
      <c r="G2044">
        <v>644</v>
      </c>
      <c r="H2044" s="116"/>
      <c r="I2044" s="116"/>
      <c r="L2044" s="170">
        <v>45012</v>
      </c>
      <c r="M2044" s="116">
        <v>944.55</v>
      </c>
      <c r="N2044" s="116">
        <v>956.39</v>
      </c>
      <c r="O2044" s="116">
        <v>940.75250000000005</v>
      </c>
      <c r="P2044" s="116">
        <v>950</v>
      </c>
      <c r="Q2044" s="116">
        <v>18891</v>
      </c>
      <c r="R2044">
        <v>35854</v>
      </c>
    </row>
    <row r="2045" spans="1:18" x14ac:dyDescent="0.25">
      <c r="A2045" s="170">
        <v>45013</v>
      </c>
      <c r="B2045" s="116">
        <v>950.5</v>
      </c>
      <c r="C2045" s="116">
        <v>946.43</v>
      </c>
      <c r="D2045" s="116">
        <v>942.80250000000001</v>
      </c>
      <c r="E2045" s="116">
        <v>945.33</v>
      </c>
      <c r="F2045" s="116">
        <v>18928.599999999999</v>
      </c>
      <c r="G2045">
        <v>795</v>
      </c>
      <c r="H2045" s="116"/>
      <c r="I2045" s="116"/>
      <c r="L2045" s="170">
        <v>45013</v>
      </c>
      <c r="M2045" s="116">
        <v>947.3</v>
      </c>
      <c r="N2045" s="116">
        <v>950.99749999999995</v>
      </c>
      <c r="O2045" s="116">
        <v>942.5</v>
      </c>
      <c r="P2045" s="116">
        <v>945</v>
      </c>
      <c r="Q2045" s="116">
        <v>18946</v>
      </c>
      <c r="R2045">
        <v>35481</v>
      </c>
    </row>
    <row r="2046" spans="1:18" x14ac:dyDescent="0.25">
      <c r="A2046" s="170">
        <v>45014</v>
      </c>
      <c r="B2046" s="116">
        <v>956.24749999999995</v>
      </c>
      <c r="C2046" s="116">
        <v>953.17250000000001</v>
      </c>
      <c r="D2046" s="116">
        <v>943.745</v>
      </c>
      <c r="E2046" s="116">
        <v>945.00250000000005</v>
      </c>
      <c r="F2046" s="116">
        <v>19063.45</v>
      </c>
      <c r="G2046">
        <v>669</v>
      </c>
      <c r="H2046" s="116"/>
      <c r="I2046" s="116"/>
      <c r="L2046" s="170">
        <v>45014</v>
      </c>
      <c r="M2046" s="116">
        <v>952.64750000000004</v>
      </c>
      <c r="N2046" s="116">
        <v>956.25</v>
      </c>
      <c r="O2046" s="116">
        <v>943.81</v>
      </c>
      <c r="P2046" s="116">
        <v>946.5</v>
      </c>
      <c r="Q2046" s="116">
        <v>19052.95</v>
      </c>
      <c r="R2046">
        <v>48606</v>
      </c>
    </row>
    <row r="2047" spans="1:18" x14ac:dyDescent="0.25">
      <c r="A2047" s="170">
        <v>45016</v>
      </c>
      <c r="B2047" s="116">
        <v>987.5</v>
      </c>
      <c r="C2047" s="116">
        <v>984.59249999999997</v>
      </c>
      <c r="D2047" s="116">
        <v>955.005</v>
      </c>
      <c r="E2047" s="116">
        <v>955.005</v>
      </c>
      <c r="F2047" s="116">
        <v>19691.849999999999</v>
      </c>
      <c r="G2047">
        <v>5584</v>
      </c>
      <c r="H2047" s="116"/>
      <c r="I2047" s="116"/>
      <c r="L2047" s="170">
        <v>45016</v>
      </c>
      <c r="M2047" s="116">
        <v>985.22500000000002</v>
      </c>
      <c r="N2047" s="116">
        <v>987.59500000000003</v>
      </c>
      <c r="O2047" s="116">
        <v>957.75</v>
      </c>
      <c r="P2047" s="116">
        <v>957.75</v>
      </c>
      <c r="Q2047" s="116">
        <v>19704.5</v>
      </c>
      <c r="R2047">
        <v>148444</v>
      </c>
    </row>
    <row r="2048" spans="1:18" x14ac:dyDescent="0.25">
      <c r="A2048" s="170">
        <v>45019</v>
      </c>
      <c r="B2048" s="116">
        <v>989.5</v>
      </c>
      <c r="C2048" s="116">
        <v>984.90750000000003</v>
      </c>
      <c r="D2048" s="116">
        <v>969.96749999999997</v>
      </c>
      <c r="E2048" s="116">
        <v>989.5</v>
      </c>
      <c r="F2048" s="116">
        <v>19698.150000000001</v>
      </c>
      <c r="G2048">
        <v>1432</v>
      </c>
      <c r="H2048" s="116"/>
      <c r="I2048" s="116"/>
      <c r="L2048" s="170">
        <v>45019</v>
      </c>
      <c r="M2048" s="116">
        <v>985.27250000000004</v>
      </c>
      <c r="N2048" s="116">
        <v>989.5</v>
      </c>
      <c r="O2048" s="116">
        <v>969.30250000000001</v>
      </c>
      <c r="P2048" s="116">
        <v>989.2</v>
      </c>
      <c r="Q2048" s="116">
        <v>19705.45</v>
      </c>
      <c r="R2048">
        <v>63740</v>
      </c>
    </row>
    <row r="2049" spans="1:18" x14ac:dyDescent="0.25">
      <c r="A2049" s="170">
        <v>45021</v>
      </c>
      <c r="B2049" s="116">
        <v>992.495</v>
      </c>
      <c r="C2049" s="116">
        <v>989.98</v>
      </c>
      <c r="D2049" s="116">
        <v>980.13750000000005</v>
      </c>
      <c r="E2049" s="116">
        <v>984.995</v>
      </c>
      <c r="F2049" s="116">
        <v>19799.599999999999</v>
      </c>
      <c r="G2049">
        <v>1220</v>
      </c>
      <c r="H2049" s="116"/>
      <c r="I2049" s="116"/>
      <c r="L2049" s="170">
        <v>45021</v>
      </c>
      <c r="M2049" s="116">
        <v>991.10249999999996</v>
      </c>
      <c r="N2049" s="116">
        <v>993.65</v>
      </c>
      <c r="O2049" s="116">
        <v>980.05</v>
      </c>
      <c r="P2049" s="116">
        <v>982.95</v>
      </c>
      <c r="Q2049" s="116">
        <v>19822.05</v>
      </c>
      <c r="R2049">
        <v>47151</v>
      </c>
    </row>
    <row r="2050" spans="1:18" x14ac:dyDescent="0.25">
      <c r="A2050" s="170">
        <v>45022</v>
      </c>
      <c r="B2050" s="116">
        <v>991.65</v>
      </c>
      <c r="C2050" s="116">
        <v>985.15750000000003</v>
      </c>
      <c r="D2050" s="116">
        <v>980.39250000000004</v>
      </c>
      <c r="E2050" s="116">
        <v>989.50250000000005</v>
      </c>
      <c r="F2050" s="116">
        <v>19703.150000000001</v>
      </c>
      <c r="G2050">
        <v>588</v>
      </c>
      <c r="H2050" s="116"/>
      <c r="I2050" s="116"/>
      <c r="L2050" s="170">
        <v>45022</v>
      </c>
      <c r="M2050" s="116">
        <v>985.41250000000002</v>
      </c>
      <c r="N2050" s="116">
        <v>992</v>
      </c>
      <c r="O2050" s="116">
        <v>980.25</v>
      </c>
      <c r="P2050" s="116">
        <v>989.75</v>
      </c>
      <c r="Q2050" s="116">
        <v>19708.25</v>
      </c>
      <c r="R2050">
        <v>40978</v>
      </c>
    </row>
    <row r="2051" spans="1:18" x14ac:dyDescent="0.25">
      <c r="A2051" s="170">
        <v>45026</v>
      </c>
      <c r="B2051" s="116">
        <v>985.69500000000005</v>
      </c>
      <c r="C2051" s="116">
        <v>976.77</v>
      </c>
      <c r="D2051" s="116">
        <v>975.50250000000005</v>
      </c>
      <c r="E2051" s="116">
        <v>982.50250000000005</v>
      </c>
      <c r="F2051" s="116">
        <v>19535.400000000001</v>
      </c>
      <c r="G2051">
        <v>463</v>
      </c>
      <c r="H2051" s="116"/>
      <c r="I2051" s="116"/>
      <c r="L2051" s="170">
        <v>45026</v>
      </c>
      <c r="M2051" s="116">
        <v>976.51</v>
      </c>
      <c r="N2051" s="116">
        <v>985.82249999999999</v>
      </c>
      <c r="O2051" s="116">
        <v>975.05</v>
      </c>
      <c r="P2051" s="116">
        <v>985</v>
      </c>
      <c r="Q2051" s="116">
        <v>19530.2</v>
      </c>
      <c r="R2051">
        <v>22414</v>
      </c>
    </row>
    <row r="2052" spans="1:18" x14ac:dyDescent="0.25">
      <c r="A2052" s="170">
        <v>45027</v>
      </c>
      <c r="B2052" s="116">
        <v>984.41</v>
      </c>
      <c r="C2052" s="116">
        <v>983.59500000000003</v>
      </c>
      <c r="D2052" s="116">
        <v>973.42750000000001</v>
      </c>
      <c r="E2052" s="116">
        <v>981.87249999999995</v>
      </c>
      <c r="F2052" s="116">
        <v>19671.900000000001</v>
      </c>
      <c r="G2052">
        <v>2835</v>
      </c>
      <c r="H2052" s="116"/>
      <c r="I2052" s="116"/>
      <c r="L2052" s="170">
        <v>45027</v>
      </c>
      <c r="M2052" s="116">
        <v>983.73</v>
      </c>
      <c r="N2052" s="116">
        <v>984.75</v>
      </c>
      <c r="O2052" s="116">
        <v>973.75</v>
      </c>
      <c r="P2052" s="116">
        <v>982.4</v>
      </c>
      <c r="Q2052" s="116">
        <v>19674.599999999999</v>
      </c>
      <c r="R2052">
        <v>44126</v>
      </c>
    </row>
    <row r="2053" spans="1:18" x14ac:dyDescent="0.25">
      <c r="A2053" s="170">
        <v>45028</v>
      </c>
      <c r="B2053" s="116">
        <v>981.3075</v>
      </c>
      <c r="C2053" s="116">
        <v>972.29750000000001</v>
      </c>
      <c r="D2053" s="116">
        <v>968.73749999999995</v>
      </c>
      <c r="E2053" s="116">
        <v>980.00250000000005</v>
      </c>
      <c r="F2053" s="116">
        <v>19445.95</v>
      </c>
      <c r="G2053">
        <v>859</v>
      </c>
      <c r="H2053" s="116"/>
      <c r="I2053" s="116"/>
      <c r="L2053" s="170">
        <v>45028</v>
      </c>
      <c r="M2053" s="116">
        <v>972.01499999999999</v>
      </c>
      <c r="N2053" s="116">
        <v>984.75</v>
      </c>
      <c r="O2053" s="116">
        <v>968.24749999999995</v>
      </c>
      <c r="P2053" s="116">
        <v>984.75</v>
      </c>
      <c r="Q2053" s="116">
        <v>19440.3</v>
      </c>
      <c r="R2053">
        <v>56882</v>
      </c>
    </row>
    <row r="2054" spans="1:18" x14ac:dyDescent="0.25">
      <c r="A2054" s="170">
        <v>45029</v>
      </c>
      <c r="B2054" s="116">
        <v>983.875</v>
      </c>
      <c r="C2054" s="116">
        <v>973.69749999999999</v>
      </c>
      <c r="D2054" s="116">
        <v>970.72500000000002</v>
      </c>
      <c r="E2054" s="116">
        <v>975</v>
      </c>
      <c r="F2054" s="116">
        <v>19473.95</v>
      </c>
      <c r="G2054">
        <v>1813</v>
      </c>
      <c r="H2054" s="116"/>
      <c r="I2054" s="116"/>
      <c r="L2054" s="170">
        <v>45029</v>
      </c>
      <c r="M2054" s="116">
        <v>973.26750000000004</v>
      </c>
      <c r="N2054" s="116">
        <v>984</v>
      </c>
      <c r="O2054" s="116">
        <v>970.8125</v>
      </c>
      <c r="P2054" s="116">
        <v>975</v>
      </c>
      <c r="Q2054" s="116">
        <v>19465.349999999999</v>
      </c>
      <c r="R2054">
        <v>46151</v>
      </c>
    </row>
    <row r="2055" spans="1:18" x14ac:dyDescent="0.25">
      <c r="A2055" s="170">
        <v>45033</v>
      </c>
      <c r="B2055" s="116">
        <v>1020.2975</v>
      </c>
      <c r="C2055" s="116">
        <v>1012.535</v>
      </c>
      <c r="D2055" s="116">
        <v>976.45</v>
      </c>
      <c r="E2055" s="116">
        <v>976.51</v>
      </c>
      <c r="F2055" s="116">
        <v>20250.7</v>
      </c>
      <c r="G2055">
        <v>10280</v>
      </c>
      <c r="H2055" s="116"/>
      <c r="I2055" s="116"/>
      <c r="L2055" s="170">
        <v>45033</v>
      </c>
      <c r="M2055" s="116">
        <v>1012.22</v>
      </c>
      <c r="N2055" s="116">
        <v>1020.5</v>
      </c>
      <c r="O2055" s="116">
        <v>975.10749999999996</v>
      </c>
      <c r="P2055" s="116">
        <v>979.5</v>
      </c>
      <c r="Q2055" s="116">
        <v>20244.400000000001</v>
      </c>
      <c r="R2055">
        <v>194351</v>
      </c>
    </row>
    <row r="2056" spans="1:18" x14ac:dyDescent="0.25">
      <c r="A2056" s="170">
        <v>45034</v>
      </c>
      <c r="B2056" s="116">
        <v>1035</v>
      </c>
      <c r="C2056" s="116">
        <v>1032.6849999999999</v>
      </c>
      <c r="D2056" s="116">
        <v>1005.0075000000001</v>
      </c>
      <c r="E2056" s="116">
        <v>1005.0075000000001</v>
      </c>
      <c r="F2056" s="116">
        <v>20653.7</v>
      </c>
      <c r="G2056">
        <v>3730</v>
      </c>
      <c r="H2056" s="116"/>
      <c r="I2056" s="116"/>
      <c r="L2056" s="170">
        <v>45034</v>
      </c>
      <c r="M2056" s="116">
        <v>1033.0625</v>
      </c>
      <c r="N2056" s="116">
        <v>1035</v>
      </c>
      <c r="O2056" s="116">
        <v>1010</v>
      </c>
      <c r="P2056" s="116">
        <v>1010</v>
      </c>
      <c r="Q2056" s="116">
        <v>20661.25</v>
      </c>
      <c r="R2056">
        <v>139860</v>
      </c>
    </row>
    <row r="2057" spans="1:18" x14ac:dyDescent="0.25">
      <c r="A2057" s="170">
        <v>45035</v>
      </c>
      <c r="B2057" s="116">
        <v>1032.6849999999999</v>
      </c>
      <c r="C2057" s="116">
        <v>1030.23</v>
      </c>
      <c r="D2057" s="116">
        <v>1020</v>
      </c>
      <c r="E2057" s="116">
        <v>1032.6849999999999</v>
      </c>
      <c r="F2057" s="116">
        <v>20604.599999999999</v>
      </c>
      <c r="G2057">
        <v>1179</v>
      </c>
      <c r="H2057" s="116"/>
      <c r="I2057" s="116"/>
      <c r="L2057" s="170">
        <v>45035</v>
      </c>
      <c r="M2057" s="116">
        <v>1030.9349999999999</v>
      </c>
      <c r="N2057" s="116">
        <v>1033.1824999999999</v>
      </c>
      <c r="O2057" s="116">
        <v>1019.4</v>
      </c>
      <c r="P2057" s="116">
        <v>1032.9925000000001</v>
      </c>
      <c r="Q2057" s="116">
        <v>20618.7</v>
      </c>
      <c r="R2057">
        <v>89874</v>
      </c>
    </row>
    <row r="2058" spans="1:18" x14ac:dyDescent="0.25">
      <c r="A2058" s="170">
        <v>45036</v>
      </c>
      <c r="B2058" s="116">
        <v>1035.01</v>
      </c>
      <c r="C2058" s="116">
        <v>1023.6025</v>
      </c>
      <c r="D2058" s="116">
        <v>1020</v>
      </c>
      <c r="E2058" s="116">
        <v>1027.5525</v>
      </c>
      <c r="F2058" s="116">
        <v>20472.05</v>
      </c>
      <c r="G2058">
        <v>809</v>
      </c>
      <c r="H2058" s="116"/>
      <c r="I2058" s="116"/>
      <c r="L2058" s="170">
        <v>45036</v>
      </c>
      <c r="M2058" s="116">
        <v>1023.655</v>
      </c>
      <c r="N2058" s="116">
        <v>1036.0350000000001</v>
      </c>
      <c r="O2058" s="116">
        <v>1019</v>
      </c>
      <c r="P2058" s="116">
        <v>1029.75</v>
      </c>
      <c r="Q2058" s="116">
        <v>20473.099999999999</v>
      </c>
      <c r="R2058">
        <v>52213</v>
      </c>
    </row>
    <row r="2059" spans="1:18" x14ac:dyDescent="0.25">
      <c r="A2059" s="170">
        <v>45037</v>
      </c>
      <c r="B2059" s="116">
        <v>1029.135</v>
      </c>
      <c r="C2059" s="116">
        <v>1024.1175000000001</v>
      </c>
      <c r="D2059" s="116">
        <v>1010.7575000000001</v>
      </c>
      <c r="E2059" s="116">
        <v>1010.7575000000001</v>
      </c>
      <c r="F2059" s="116">
        <v>20482.349999999999</v>
      </c>
      <c r="G2059">
        <v>978</v>
      </c>
      <c r="H2059" s="116"/>
      <c r="I2059" s="116"/>
      <c r="L2059" s="170">
        <v>45037</v>
      </c>
      <c r="M2059" s="116">
        <v>1024.8425</v>
      </c>
      <c r="N2059" s="116">
        <v>1029.3499999999999</v>
      </c>
      <c r="O2059" s="116">
        <v>1019.37</v>
      </c>
      <c r="P2059" s="116">
        <v>1023.655</v>
      </c>
      <c r="Q2059" s="116">
        <v>20496.849999999999</v>
      </c>
      <c r="R2059">
        <v>44305</v>
      </c>
    </row>
    <row r="2060" spans="1:18" x14ac:dyDescent="0.25">
      <c r="A2060" s="170">
        <v>45040</v>
      </c>
      <c r="B2060" s="116">
        <v>1035.3</v>
      </c>
      <c r="C2060" s="116">
        <v>1033.2725</v>
      </c>
      <c r="D2060" s="116">
        <v>1020.1975</v>
      </c>
      <c r="E2060" s="116">
        <v>1022.5025000000001</v>
      </c>
      <c r="F2060" s="116">
        <v>20665.45</v>
      </c>
      <c r="G2060">
        <v>1368</v>
      </c>
      <c r="H2060" s="116"/>
      <c r="I2060" s="116"/>
      <c r="L2060" s="170">
        <v>45040</v>
      </c>
      <c r="M2060" s="116">
        <v>1034.4649999999999</v>
      </c>
      <c r="N2060" s="116">
        <v>1035.45</v>
      </c>
      <c r="O2060" s="116">
        <v>1020.0525</v>
      </c>
      <c r="P2060" s="116">
        <v>1025.0474999999999</v>
      </c>
      <c r="Q2060" s="116">
        <v>20689.3</v>
      </c>
      <c r="R2060">
        <v>57868</v>
      </c>
    </row>
    <row r="2061" spans="1:18" x14ac:dyDescent="0.25">
      <c r="A2061" s="170">
        <v>45041</v>
      </c>
      <c r="B2061" s="116">
        <v>1045.4749999999999</v>
      </c>
      <c r="C2061" s="116">
        <v>1033.1500000000001</v>
      </c>
      <c r="D2061" s="116">
        <v>1015.77</v>
      </c>
      <c r="E2061" s="116">
        <v>1034.5</v>
      </c>
      <c r="F2061" s="116">
        <v>20663</v>
      </c>
      <c r="G2061">
        <v>4547</v>
      </c>
      <c r="H2061" s="116"/>
      <c r="I2061" s="116"/>
      <c r="L2061" s="170">
        <v>45041</v>
      </c>
      <c r="M2061" s="116">
        <v>1033.26</v>
      </c>
      <c r="N2061" s="116">
        <v>1046.43</v>
      </c>
      <c r="O2061" s="116">
        <v>1015.4</v>
      </c>
      <c r="P2061" s="116">
        <v>1035.45</v>
      </c>
      <c r="Q2061" s="116">
        <v>20665.2</v>
      </c>
      <c r="R2061">
        <v>168464</v>
      </c>
    </row>
    <row r="2062" spans="1:18" x14ac:dyDescent="0.25">
      <c r="A2062" s="170">
        <v>45042</v>
      </c>
      <c r="B2062" s="116">
        <v>1054.6775</v>
      </c>
      <c r="C2062" s="116">
        <v>1050.1324999999999</v>
      </c>
      <c r="D2062" s="116">
        <v>1024.2774999999999</v>
      </c>
      <c r="E2062" s="116">
        <v>1024.5025000000001</v>
      </c>
      <c r="F2062" s="116">
        <v>21002.65</v>
      </c>
      <c r="G2062">
        <v>4283</v>
      </c>
      <c r="H2062" s="116"/>
      <c r="I2062" s="116"/>
      <c r="L2062" s="170">
        <v>45042</v>
      </c>
      <c r="M2062" s="116">
        <v>1051.3125</v>
      </c>
      <c r="N2062" s="116">
        <v>1054.45</v>
      </c>
      <c r="O2062" s="116">
        <v>1023.625</v>
      </c>
      <c r="P2062" s="116">
        <v>1029.95</v>
      </c>
      <c r="Q2062" s="116">
        <v>21026.25</v>
      </c>
      <c r="R2062">
        <v>124894</v>
      </c>
    </row>
    <row r="2063" spans="1:18" x14ac:dyDescent="0.25">
      <c r="A2063" s="170">
        <v>45043</v>
      </c>
      <c r="B2063" s="116">
        <v>1059.5</v>
      </c>
      <c r="C2063" s="116">
        <v>1057.5150000000001</v>
      </c>
      <c r="D2063" s="116">
        <v>1050.3475000000001</v>
      </c>
      <c r="E2063" s="116">
        <v>1054.3975</v>
      </c>
      <c r="F2063" s="116">
        <v>21150.3</v>
      </c>
      <c r="G2063">
        <v>1761</v>
      </c>
      <c r="H2063" s="116"/>
      <c r="I2063" s="116"/>
      <c r="L2063" s="170">
        <v>45043</v>
      </c>
      <c r="M2063" s="116">
        <v>1057.365</v>
      </c>
      <c r="N2063" s="116">
        <v>1059.9974999999999</v>
      </c>
      <c r="O2063" s="116">
        <v>1050.0025000000001</v>
      </c>
      <c r="P2063" s="116">
        <v>1053.3125</v>
      </c>
      <c r="Q2063" s="116">
        <v>21147.3</v>
      </c>
      <c r="R2063">
        <v>102232</v>
      </c>
    </row>
    <row r="2064" spans="1:18" x14ac:dyDescent="0.25">
      <c r="A2064" s="170">
        <v>45044</v>
      </c>
      <c r="B2064" s="116">
        <v>1092.5</v>
      </c>
      <c r="C2064" s="116">
        <v>1087.9475</v>
      </c>
      <c r="D2064" s="116">
        <v>1056.22</v>
      </c>
      <c r="E2064" s="116">
        <v>1057.5</v>
      </c>
      <c r="F2064" s="116">
        <v>21758.95</v>
      </c>
      <c r="G2064">
        <v>3297</v>
      </c>
      <c r="H2064" s="116"/>
      <c r="I2064" s="116"/>
      <c r="L2064" s="170">
        <v>45044</v>
      </c>
      <c r="M2064" s="116">
        <v>1088.07</v>
      </c>
      <c r="N2064" s="116">
        <v>1092.48</v>
      </c>
      <c r="O2064" s="116">
        <v>1056.5</v>
      </c>
      <c r="P2064" s="116">
        <v>1059.0975000000001</v>
      </c>
      <c r="Q2064" s="116">
        <v>21761.4</v>
      </c>
      <c r="R2064">
        <v>166516</v>
      </c>
    </row>
    <row r="2065" spans="1:18" x14ac:dyDescent="0.25">
      <c r="A2065" s="170">
        <v>45048</v>
      </c>
      <c r="B2065" s="116">
        <v>1104.9974999999999</v>
      </c>
      <c r="C2065" s="116">
        <v>1086.6400000000001</v>
      </c>
      <c r="D2065" s="116">
        <v>1083.2525000000001</v>
      </c>
      <c r="E2065" s="116">
        <v>1087.95</v>
      </c>
      <c r="F2065" s="116">
        <v>21732.799999999999</v>
      </c>
      <c r="G2065">
        <v>1820</v>
      </c>
      <c r="H2065" s="116"/>
      <c r="I2065" s="116"/>
      <c r="L2065" s="170">
        <v>45048</v>
      </c>
      <c r="M2065" s="116">
        <v>1087.2925</v>
      </c>
      <c r="N2065" s="116">
        <v>1104.95</v>
      </c>
      <c r="O2065" s="116">
        <v>1083.625</v>
      </c>
      <c r="P2065" s="116">
        <v>1090</v>
      </c>
      <c r="Q2065" s="116">
        <v>21745.85</v>
      </c>
      <c r="R2065">
        <v>89170</v>
      </c>
    </row>
    <row r="2066" spans="1:18" x14ac:dyDescent="0.25">
      <c r="A2066" s="170">
        <v>45049</v>
      </c>
      <c r="B2066" s="116">
        <v>1096.7974999999999</v>
      </c>
      <c r="C2066" s="116">
        <v>1093.26</v>
      </c>
      <c r="D2066" s="116">
        <v>1079.7625</v>
      </c>
      <c r="E2066" s="116">
        <v>1080.0050000000001</v>
      </c>
      <c r="F2066" s="116">
        <v>21865.200000000001</v>
      </c>
      <c r="G2066">
        <v>2322</v>
      </c>
      <c r="H2066" s="116"/>
      <c r="I2066" s="116"/>
      <c r="L2066" s="170">
        <v>45049</v>
      </c>
      <c r="M2066" s="116">
        <v>1093.7850000000001</v>
      </c>
      <c r="N2066" s="116">
        <v>1097.2925</v>
      </c>
      <c r="O2066" s="116">
        <v>1078.92</v>
      </c>
      <c r="P2066" s="116">
        <v>1087.25</v>
      </c>
      <c r="Q2066" s="116">
        <v>21875.7</v>
      </c>
      <c r="R2066">
        <v>57013</v>
      </c>
    </row>
    <row r="2067" spans="1:18" x14ac:dyDescent="0.25">
      <c r="A2067" s="170">
        <v>45050</v>
      </c>
      <c r="B2067" s="116">
        <v>1099.8074999999999</v>
      </c>
      <c r="C2067" s="116">
        <v>1085.1975</v>
      </c>
      <c r="D2067" s="116">
        <v>1082.5</v>
      </c>
      <c r="E2067" s="116">
        <v>1084.0025000000001</v>
      </c>
      <c r="F2067" s="116">
        <v>21703.95</v>
      </c>
      <c r="G2067">
        <v>1165</v>
      </c>
      <c r="H2067" s="116"/>
      <c r="I2067" s="116"/>
      <c r="L2067" s="170">
        <v>45050</v>
      </c>
      <c r="M2067" s="116">
        <v>1084.6875</v>
      </c>
      <c r="N2067" s="116">
        <v>1099.7474999999999</v>
      </c>
      <c r="O2067" s="116">
        <v>1081.8924999999999</v>
      </c>
      <c r="P2067" s="116">
        <v>1093.9425000000001</v>
      </c>
      <c r="Q2067" s="116">
        <v>21693.75</v>
      </c>
      <c r="R2067">
        <v>63534</v>
      </c>
    </row>
    <row r="2068" spans="1:18" x14ac:dyDescent="0.25">
      <c r="A2068" s="170">
        <v>45051</v>
      </c>
      <c r="B2068" s="116">
        <v>1103.845</v>
      </c>
      <c r="C2068" s="116">
        <v>1100.4324999999999</v>
      </c>
      <c r="D2068" s="116">
        <v>1087.75</v>
      </c>
      <c r="E2068" s="116">
        <v>1087.75</v>
      </c>
      <c r="F2068" s="116">
        <v>22008.65</v>
      </c>
      <c r="G2068">
        <v>2053</v>
      </c>
      <c r="H2068" s="116"/>
      <c r="I2068" s="116"/>
      <c r="L2068" s="170">
        <v>45051</v>
      </c>
      <c r="M2068" s="116">
        <v>1100.9925000000001</v>
      </c>
      <c r="N2068" s="116">
        <v>1103.9349999999999</v>
      </c>
      <c r="O2068" s="116">
        <v>1087.4949999999999</v>
      </c>
      <c r="P2068" s="116">
        <v>1089.9974999999999</v>
      </c>
      <c r="Q2068" s="116">
        <v>22019.85</v>
      </c>
      <c r="R2068">
        <v>55076</v>
      </c>
    </row>
    <row r="2069" spans="1:18" x14ac:dyDescent="0.25">
      <c r="A2069" s="170">
        <v>45054</v>
      </c>
      <c r="B2069" s="116">
        <v>1114.7974999999999</v>
      </c>
      <c r="C2069" s="116">
        <v>1098.8125</v>
      </c>
      <c r="D2069" s="116">
        <v>1088.5</v>
      </c>
      <c r="E2069" s="116">
        <v>1100.0025000000001</v>
      </c>
      <c r="F2069" s="116">
        <v>21976.25</v>
      </c>
      <c r="G2069">
        <v>4871</v>
      </c>
      <c r="H2069" s="116"/>
      <c r="I2069" s="116"/>
      <c r="L2069" s="170">
        <v>45054</v>
      </c>
      <c r="M2069" s="116">
        <v>1099.1624999999999</v>
      </c>
      <c r="N2069" s="116">
        <v>1115</v>
      </c>
      <c r="O2069" s="116">
        <v>1088.02</v>
      </c>
      <c r="P2069" s="116">
        <v>1102.5</v>
      </c>
      <c r="Q2069" s="116">
        <v>21983.25</v>
      </c>
      <c r="R2069">
        <v>75656</v>
      </c>
    </row>
    <row r="2070" spans="1:18" x14ac:dyDescent="0.25">
      <c r="A2070" s="170">
        <v>45055</v>
      </c>
      <c r="B2070" s="116">
        <v>1104.4000000000001</v>
      </c>
      <c r="C2070" s="116">
        <v>1098.3775000000001</v>
      </c>
      <c r="D2070" s="116">
        <v>1094.5</v>
      </c>
      <c r="E2070" s="116">
        <v>1100</v>
      </c>
      <c r="F2070" s="116">
        <v>21967.55</v>
      </c>
      <c r="G2070">
        <v>634</v>
      </c>
      <c r="H2070" s="116"/>
      <c r="I2070" s="116"/>
      <c r="L2070" s="170">
        <v>45055</v>
      </c>
      <c r="M2070" s="116">
        <v>1098.5675000000001</v>
      </c>
      <c r="N2070" s="116">
        <v>1107.2474999999999</v>
      </c>
      <c r="O2070" s="116">
        <v>1092.335</v>
      </c>
      <c r="P2070" s="116">
        <v>1100</v>
      </c>
      <c r="Q2070" s="116">
        <v>21971.35</v>
      </c>
      <c r="R2070">
        <v>43287</v>
      </c>
    </row>
    <row r="2071" spans="1:18" x14ac:dyDescent="0.25">
      <c r="A2071" s="170">
        <v>45056</v>
      </c>
      <c r="B2071" s="116">
        <v>1106.1475</v>
      </c>
      <c r="C2071" s="116">
        <v>1103.0274999999999</v>
      </c>
      <c r="D2071" s="116">
        <v>1095.7525000000001</v>
      </c>
      <c r="E2071" s="116">
        <v>1095.7525000000001</v>
      </c>
      <c r="F2071" s="116">
        <v>22060.55</v>
      </c>
      <c r="G2071">
        <v>592</v>
      </c>
      <c r="H2071" s="116"/>
      <c r="I2071" s="116"/>
      <c r="L2071" s="170">
        <v>45056</v>
      </c>
      <c r="M2071" s="116">
        <v>1102.5</v>
      </c>
      <c r="N2071" s="116">
        <v>1106.4949999999999</v>
      </c>
      <c r="O2071" s="116">
        <v>1098.4749999999999</v>
      </c>
      <c r="P2071" s="116">
        <v>1098.5675000000001</v>
      </c>
      <c r="Q2071" s="116">
        <v>22050</v>
      </c>
      <c r="R2071">
        <v>60441</v>
      </c>
    </row>
    <row r="2072" spans="1:18" x14ac:dyDescent="0.25">
      <c r="A2072" s="170">
        <v>45057</v>
      </c>
      <c r="B2072" s="116">
        <v>1111</v>
      </c>
      <c r="C2072" s="116">
        <v>1101.125</v>
      </c>
      <c r="D2072" s="116">
        <v>1097.1125</v>
      </c>
      <c r="E2072" s="116">
        <v>1103.3375000000001</v>
      </c>
      <c r="F2072" s="116">
        <v>22022.5</v>
      </c>
      <c r="G2072">
        <v>1370</v>
      </c>
      <c r="H2072" s="116"/>
      <c r="I2072" s="116"/>
      <c r="L2072" s="170">
        <v>45057</v>
      </c>
      <c r="M2072" s="116">
        <v>1100.99</v>
      </c>
      <c r="N2072" s="116">
        <v>1111.75</v>
      </c>
      <c r="O2072" s="116">
        <v>1097.5150000000001</v>
      </c>
      <c r="P2072" s="116">
        <v>1104.95</v>
      </c>
      <c r="Q2072" s="116">
        <v>22019.8</v>
      </c>
      <c r="R2072">
        <v>68937</v>
      </c>
    </row>
    <row r="2073" spans="1:18" x14ac:dyDescent="0.25">
      <c r="A2073" s="170">
        <v>45058</v>
      </c>
      <c r="B2073" s="116">
        <v>1102.6324999999999</v>
      </c>
      <c r="C2073" s="116">
        <v>1090.0050000000001</v>
      </c>
      <c r="D2073" s="116">
        <v>1088</v>
      </c>
      <c r="E2073" s="116">
        <v>1100.0025000000001</v>
      </c>
      <c r="F2073" s="116">
        <v>21800.1</v>
      </c>
      <c r="G2073">
        <v>783</v>
      </c>
      <c r="H2073" s="116"/>
      <c r="I2073" s="116"/>
      <c r="L2073" s="170">
        <v>45058</v>
      </c>
      <c r="M2073" s="116">
        <v>1089.7075</v>
      </c>
      <c r="N2073" s="116">
        <v>1103.47</v>
      </c>
      <c r="O2073" s="116">
        <v>1087</v>
      </c>
      <c r="P2073" s="116">
        <v>1100.95</v>
      </c>
      <c r="Q2073" s="116">
        <v>21794.15</v>
      </c>
      <c r="R2073">
        <v>66961</v>
      </c>
    </row>
    <row r="2074" spans="1:18" x14ac:dyDescent="0.25">
      <c r="A2074" s="170">
        <v>45061</v>
      </c>
      <c r="B2074" s="116">
        <v>1100.75</v>
      </c>
      <c r="C2074" s="116">
        <v>1089.0050000000001</v>
      </c>
      <c r="D2074" s="116">
        <v>1087.8625</v>
      </c>
      <c r="E2074" s="116">
        <v>1090</v>
      </c>
      <c r="F2074" s="116">
        <v>21780.1</v>
      </c>
      <c r="G2074">
        <v>21951</v>
      </c>
      <c r="H2074" s="116"/>
      <c r="I2074" s="116"/>
      <c r="L2074" s="170">
        <v>45061</v>
      </c>
      <c r="M2074" s="116">
        <v>1089.33</v>
      </c>
      <c r="N2074" s="116">
        <v>1100.9949999999999</v>
      </c>
      <c r="O2074" s="116">
        <v>1087.5625</v>
      </c>
      <c r="P2074" s="116">
        <v>1091</v>
      </c>
      <c r="Q2074" s="116">
        <v>21786.6</v>
      </c>
      <c r="R2074">
        <v>72570</v>
      </c>
    </row>
    <row r="2075" spans="1:18" x14ac:dyDescent="0.25">
      <c r="A2075" s="170">
        <v>45062</v>
      </c>
      <c r="B2075" s="116">
        <v>1099.51</v>
      </c>
      <c r="C2075" s="116">
        <v>1089.1199999999999</v>
      </c>
      <c r="D2075" s="116">
        <v>1086.01</v>
      </c>
      <c r="E2075" s="116">
        <v>1089.8</v>
      </c>
      <c r="F2075" s="116">
        <v>21782.400000000001</v>
      </c>
      <c r="G2075">
        <v>10893</v>
      </c>
      <c r="H2075" s="116"/>
      <c r="I2075" s="116"/>
      <c r="L2075" s="170">
        <v>45062</v>
      </c>
      <c r="M2075" s="116">
        <v>1089.02</v>
      </c>
      <c r="N2075" s="116">
        <v>1099.45</v>
      </c>
      <c r="O2075" s="116">
        <v>1086</v>
      </c>
      <c r="P2075" s="116">
        <v>1093.75</v>
      </c>
      <c r="Q2075" s="116">
        <v>21780.400000000001</v>
      </c>
      <c r="R2075">
        <v>77257</v>
      </c>
    </row>
    <row r="2076" spans="1:18" x14ac:dyDescent="0.25">
      <c r="A2076" s="170">
        <v>45063</v>
      </c>
      <c r="B2076" s="116">
        <v>1094.3599999999999</v>
      </c>
      <c r="C2076" s="116">
        <v>1086.5474999999999</v>
      </c>
      <c r="D2076" s="116">
        <v>1080.0074999999999</v>
      </c>
      <c r="E2076" s="116">
        <v>1089.1199999999999</v>
      </c>
      <c r="F2076" s="116">
        <v>21730.95</v>
      </c>
      <c r="G2076">
        <v>1068</v>
      </c>
      <c r="H2076" s="116"/>
      <c r="I2076" s="116"/>
      <c r="L2076" s="170">
        <v>45063</v>
      </c>
      <c r="M2076" s="116">
        <v>1086.625</v>
      </c>
      <c r="N2076" s="116">
        <v>1094.5650000000001</v>
      </c>
      <c r="O2076" s="116">
        <v>1080</v>
      </c>
      <c r="P2076" s="116">
        <v>1089.02</v>
      </c>
      <c r="Q2076" s="116">
        <v>21732.5</v>
      </c>
      <c r="R2076">
        <v>66788</v>
      </c>
    </row>
    <row r="2077" spans="1:18" x14ac:dyDescent="0.25">
      <c r="A2077" s="170">
        <v>45064</v>
      </c>
      <c r="B2077" s="116">
        <v>1096.3125</v>
      </c>
      <c r="C2077" s="116">
        <v>1083.4949999999999</v>
      </c>
      <c r="D2077" s="116">
        <v>1082.6099999999999</v>
      </c>
      <c r="E2077" s="116">
        <v>1088.0550000000001</v>
      </c>
      <c r="F2077" s="116">
        <v>21669.9</v>
      </c>
      <c r="G2077">
        <v>2093</v>
      </c>
      <c r="H2077" s="116"/>
      <c r="I2077" s="116"/>
      <c r="L2077" s="170">
        <v>45064</v>
      </c>
      <c r="M2077" s="116">
        <v>1083.98</v>
      </c>
      <c r="N2077" s="116">
        <v>1097.5</v>
      </c>
      <c r="O2077" s="116">
        <v>1082.51</v>
      </c>
      <c r="P2077" s="116">
        <v>1092.5</v>
      </c>
      <c r="Q2077" s="116">
        <v>21679.599999999999</v>
      </c>
      <c r="R2077">
        <v>51175</v>
      </c>
    </row>
    <row r="2078" spans="1:18" x14ac:dyDescent="0.25">
      <c r="A2078" s="170">
        <v>45065</v>
      </c>
      <c r="B2078" s="116">
        <v>1094.0999999999999</v>
      </c>
      <c r="C2078" s="116">
        <v>1084.9375</v>
      </c>
      <c r="D2078" s="116">
        <v>1075.3025</v>
      </c>
      <c r="E2078" s="116">
        <v>1094.0999999999999</v>
      </c>
      <c r="F2078" s="116">
        <v>21698.75</v>
      </c>
      <c r="G2078">
        <v>792</v>
      </c>
      <c r="H2078" s="116"/>
      <c r="I2078" s="116"/>
      <c r="L2078" s="170">
        <v>45065</v>
      </c>
      <c r="M2078" s="116">
        <v>1084.5074999999999</v>
      </c>
      <c r="N2078" s="116">
        <v>1090</v>
      </c>
      <c r="O2078" s="116">
        <v>1075.3050000000001</v>
      </c>
      <c r="P2078" s="116">
        <v>1090</v>
      </c>
      <c r="Q2078" s="116">
        <v>21690.15</v>
      </c>
      <c r="R2078">
        <v>73220</v>
      </c>
    </row>
    <row r="2079" spans="1:18" x14ac:dyDescent="0.25">
      <c r="A2079" s="170">
        <v>45068</v>
      </c>
      <c r="B2079" s="116">
        <v>1083.4324999999999</v>
      </c>
      <c r="C2079" s="116">
        <v>1073.9575</v>
      </c>
      <c r="D2079" s="116">
        <v>1062.8175000000001</v>
      </c>
      <c r="E2079" s="116">
        <v>1082.5025000000001</v>
      </c>
      <c r="F2079" s="116">
        <v>21479.15</v>
      </c>
      <c r="G2079">
        <v>1341</v>
      </c>
      <c r="H2079" s="116"/>
      <c r="I2079" s="116"/>
      <c r="L2079" s="170">
        <v>45068</v>
      </c>
      <c r="M2079" s="116">
        <v>1074.74</v>
      </c>
      <c r="N2079" s="116">
        <v>1084.95</v>
      </c>
      <c r="O2079" s="116">
        <v>1071.105</v>
      </c>
      <c r="P2079" s="116">
        <v>1084.95</v>
      </c>
      <c r="Q2079" s="116">
        <v>21494.799999999999</v>
      </c>
      <c r="R2079">
        <v>51095</v>
      </c>
    </row>
    <row r="2080" spans="1:18" x14ac:dyDescent="0.25">
      <c r="A2080" s="170">
        <v>45069</v>
      </c>
      <c r="B2080" s="116">
        <v>1084.5050000000001</v>
      </c>
      <c r="C2080" s="116">
        <v>1069.6275000000001</v>
      </c>
      <c r="D2080" s="116">
        <v>1068.2025000000001</v>
      </c>
      <c r="E2080" s="116">
        <v>1072.7</v>
      </c>
      <c r="F2080" s="116">
        <v>21392.55</v>
      </c>
      <c r="G2080">
        <v>1320</v>
      </c>
      <c r="H2080" s="116"/>
      <c r="I2080" s="116"/>
      <c r="L2080" s="170">
        <v>45069</v>
      </c>
      <c r="M2080" s="116">
        <v>1070.1849999999999</v>
      </c>
      <c r="N2080" s="116">
        <v>1080.5</v>
      </c>
      <c r="O2080" s="116">
        <v>1068.105</v>
      </c>
      <c r="P2080" s="116">
        <v>1072.5</v>
      </c>
      <c r="Q2080" s="116">
        <v>21403.7</v>
      </c>
      <c r="R2080">
        <v>55459</v>
      </c>
    </row>
    <row r="2081" spans="1:18" x14ac:dyDescent="0.25">
      <c r="A2081" s="170">
        <v>45070</v>
      </c>
      <c r="B2081" s="116">
        <v>1074.9775</v>
      </c>
      <c r="C2081" s="116">
        <v>1069.42</v>
      </c>
      <c r="D2081" s="116">
        <v>1064</v>
      </c>
      <c r="E2081" s="116">
        <v>1070</v>
      </c>
      <c r="F2081" s="116">
        <v>21388.400000000001</v>
      </c>
      <c r="G2081">
        <v>633</v>
      </c>
      <c r="H2081" s="116"/>
      <c r="I2081" s="116"/>
      <c r="L2081" s="170">
        <v>45070</v>
      </c>
      <c r="M2081" s="116">
        <v>1069.03</v>
      </c>
      <c r="N2081" s="116">
        <v>1074.9000000000001</v>
      </c>
      <c r="O2081" s="116">
        <v>1063.75</v>
      </c>
      <c r="P2081" s="116">
        <v>1070.1849999999999</v>
      </c>
      <c r="Q2081" s="116">
        <v>21380.6</v>
      </c>
      <c r="R2081">
        <v>44364</v>
      </c>
    </row>
    <row r="2082" spans="1:18" x14ac:dyDescent="0.25">
      <c r="A2082" s="170">
        <v>45071</v>
      </c>
      <c r="B2082" s="116">
        <v>1081.4349999999999</v>
      </c>
      <c r="C2082" s="116">
        <v>1073.6199999999999</v>
      </c>
      <c r="D2082" s="116">
        <v>1065.93</v>
      </c>
      <c r="E2082" s="116">
        <v>1074.95</v>
      </c>
      <c r="F2082" s="116">
        <v>21472.400000000001</v>
      </c>
      <c r="G2082">
        <v>11962</v>
      </c>
      <c r="H2082" s="116"/>
      <c r="I2082" s="116"/>
      <c r="L2082" s="170">
        <v>45071</v>
      </c>
      <c r="M2082" s="116">
        <v>1073.7449999999999</v>
      </c>
      <c r="N2082" s="116">
        <v>1081.5999999999999</v>
      </c>
      <c r="O2082" s="116">
        <v>1065.5425</v>
      </c>
      <c r="P2082" s="116">
        <v>1075</v>
      </c>
      <c r="Q2082" s="116">
        <v>21474.9</v>
      </c>
      <c r="R2082">
        <v>81502</v>
      </c>
    </row>
    <row r="2083" spans="1:18" x14ac:dyDescent="0.25">
      <c r="A2083" s="170">
        <v>45072</v>
      </c>
      <c r="B2083" s="116">
        <v>1080.7974999999999</v>
      </c>
      <c r="C2083" s="116">
        <v>1079.4949999999999</v>
      </c>
      <c r="D2083" s="116">
        <v>1068.7375</v>
      </c>
      <c r="E2083" s="116">
        <v>1070.0025000000001</v>
      </c>
      <c r="F2083" s="116">
        <v>21589.9</v>
      </c>
      <c r="G2083">
        <v>2052</v>
      </c>
      <c r="H2083" s="116"/>
      <c r="I2083" s="116"/>
      <c r="L2083" s="170">
        <v>45072</v>
      </c>
      <c r="M2083" s="116">
        <v>1079.0875000000001</v>
      </c>
      <c r="N2083" s="116">
        <v>1081.45</v>
      </c>
      <c r="O2083" s="116">
        <v>1068.5</v>
      </c>
      <c r="P2083" s="116">
        <v>1074.2474999999999</v>
      </c>
      <c r="Q2083" s="116">
        <v>21581.75</v>
      </c>
      <c r="R2083">
        <v>63159</v>
      </c>
    </row>
    <row r="2084" spans="1:18" x14ac:dyDescent="0.25">
      <c r="A2084" s="170">
        <v>45075</v>
      </c>
      <c r="B2084" s="116">
        <v>1092</v>
      </c>
      <c r="C2084" s="116">
        <v>1086.0474999999999</v>
      </c>
      <c r="D2084" s="116">
        <v>1077.5525</v>
      </c>
      <c r="E2084" s="116">
        <v>1077.5525</v>
      </c>
      <c r="F2084" s="116">
        <v>21720.95</v>
      </c>
      <c r="G2084">
        <v>1580</v>
      </c>
      <c r="H2084" s="116"/>
      <c r="I2084" s="116"/>
      <c r="L2084" s="170">
        <v>45075</v>
      </c>
      <c r="M2084" s="116">
        <v>1086.4725000000001</v>
      </c>
      <c r="N2084" s="116">
        <v>1092.5</v>
      </c>
      <c r="O2084" s="116">
        <v>1077.605</v>
      </c>
      <c r="P2084" s="116">
        <v>1086.2474999999999</v>
      </c>
      <c r="Q2084" s="116">
        <v>21729.45</v>
      </c>
      <c r="R2084">
        <v>53437</v>
      </c>
    </row>
    <row r="2085" spans="1:18" x14ac:dyDescent="0.25">
      <c r="A2085" s="170">
        <v>45076</v>
      </c>
      <c r="B2085" s="116">
        <v>1085.6500000000001</v>
      </c>
      <c r="C2085" s="116">
        <v>1078.645</v>
      </c>
      <c r="D2085" s="116">
        <v>1075.8375000000001</v>
      </c>
      <c r="E2085" s="116">
        <v>1085.6500000000001</v>
      </c>
      <c r="F2085" s="116">
        <v>21572.9</v>
      </c>
      <c r="G2085">
        <v>7224</v>
      </c>
      <c r="H2085" s="116"/>
      <c r="I2085" s="116"/>
      <c r="L2085" s="170">
        <v>45076</v>
      </c>
      <c r="M2085" s="116">
        <v>1078.7225000000001</v>
      </c>
      <c r="N2085" s="116">
        <v>1086.43</v>
      </c>
      <c r="O2085" s="116">
        <v>1075.5525</v>
      </c>
      <c r="P2085" s="116">
        <v>1084</v>
      </c>
      <c r="Q2085" s="116">
        <v>21574.45</v>
      </c>
      <c r="R2085">
        <v>46981</v>
      </c>
    </row>
    <row r="2086" spans="1:18" x14ac:dyDescent="0.25">
      <c r="A2086" s="170">
        <v>45077</v>
      </c>
      <c r="B2086" s="116">
        <v>1092.79</v>
      </c>
      <c r="C2086" s="116">
        <v>1084.68</v>
      </c>
      <c r="D2086" s="116">
        <v>1076.01</v>
      </c>
      <c r="E2086" s="116">
        <v>1078.5</v>
      </c>
      <c r="F2086" s="116">
        <v>21693.599999999999</v>
      </c>
      <c r="G2086">
        <v>2898</v>
      </c>
      <c r="H2086" s="116"/>
      <c r="I2086" s="116"/>
      <c r="L2086" s="170">
        <v>45077</v>
      </c>
      <c r="M2086" s="116">
        <v>1083.655</v>
      </c>
      <c r="N2086" s="116">
        <v>1092.9175</v>
      </c>
      <c r="O2086" s="116">
        <v>1075.75</v>
      </c>
      <c r="P2086" s="116">
        <v>1079</v>
      </c>
      <c r="Q2086" s="116">
        <v>21673.1</v>
      </c>
      <c r="R2086">
        <v>424794</v>
      </c>
    </row>
    <row r="2087" spans="1:18" x14ac:dyDescent="0.25">
      <c r="A2087" s="170">
        <v>45078</v>
      </c>
      <c r="B2087" s="116">
        <v>1095.7525000000001</v>
      </c>
      <c r="C2087" s="116">
        <v>1092.9449999999999</v>
      </c>
      <c r="D2087" s="116">
        <v>1079.1175000000001</v>
      </c>
      <c r="E2087" s="116">
        <v>1087.5</v>
      </c>
      <c r="F2087" s="116">
        <v>21858.9</v>
      </c>
      <c r="G2087">
        <v>1433</v>
      </c>
      <c r="H2087" s="116"/>
      <c r="I2087" s="116"/>
      <c r="L2087" s="170">
        <v>45078</v>
      </c>
      <c r="M2087" s="116">
        <v>1093.7149999999999</v>
      </c>
      <c r="N2087" s="116">
        <v>1096.2474999999999</v>
      </c>
      <c r="O2087" s="116">
        <v>1078.6400000000001</v>
      </c>
      <c r="P2087" s="116">
        <v>1089.3</v>
      </c>
      <c r="Q2087" s="116">
        <v>21874.3</v>
      </c>
      <c r="R2087">
        <v>59866</v>
      </c>
    </row>
    <row r="2088" spans="1:18" x14ac:dyDescent="0.25">
      <c r="A2088" s="170">
        <v>45079</v>
      </c>
      <c r="B2088" s="116">
        <v>1104.0525</v>
      </c>
      <c r="C2088" s="116">
        <v>1102.03</v>
      </c>
      <c r="D2088" s="116">
        <v>1091.05</v>
      </c>
      <c r="E2088" s="116">
        <v>1095.5525</v>
      </c>
      <c r="F2088" s="116">
        <v>22040.6</v>
      </c>
      <c r="G2088">
        <v>3210</v>
      </c>
      <c r="H2088" s="116"/>
      <c r="I2088" s="116"/>
      <c r="L2088" s="170">
        <v>45079</v>
      </c>
      <c r="M2088" s="116">
        <v>1102.3225</v>
      </c>
      <c r="N2088" s="116">
        <v>1104.75</v>
      </c>
      <c r="O2088" s="116">
        <v>1091</v>
      </c>
      <c r="P2088" s="116">
        <v>1100</v>
      </c>
      <c r="Q2088" s="116">
        <v>22046.45</v>
      </c>
      <c r="R2088">
        <v>58248</v>
      </c>
    </row>
    <row r="2089" spans="1:18" x14ac:dyDescent="0.25">
      <c r="A2089" s="170">
        <v>45082</v>
      </c>
      <c r="B2089" s="116">
        <v>1105.8</v>
      </c>
      <c r="C2089" s="116">
        <v>1091.5999999999999</v>
      </c>
      <c r="D2089" s="116">
        <v>1089.4949999999999</v>
      </c>
      <c r="E2089" s="116">
        <v>1102.03</v>
      </c>
      <c r="F2089" s="116">
        <v>21832</v>
      </c>
      <c r="G2089">
        <v>1056</v>
      </c>
      <c r="H2089" s="116"/>
      <c r="I2089" s="116"/>
      <c r="L2089" s="170">
        <v>45082</v>
      </c>
      <c r="M2089" s="116">
        <v>1091.7075</v>
      </c>
      <c r="N2089" s="116">
        <v>1106.4849999999999</v>
      </c>
      <c r="O2089" s="116">
        <v>1089.5</v>
      </c>
      <c r="P2089" s="116">
        <v>1099.9525000000001</v>
      </c>
      <c r="Q2089" s="116">
        <v>21834.15</v>
      </c>
      <c r="R2089">
        <v>81509</v>
      </c>
    </row>
    <row r="2090" spans="1:18" x14ac:dyDescent="0.25">
      <c r="A2090" s="170">
        <v>45083</v>
      </c>
      <c r="B2090" s="116">
        <v>1096.7674999999999</v>
      </c>
      <c r="C2090" s="116">
        <v>1085.0650000000001</v>
      </c>
      <c r="D2090" s="116">
        <v>1081.5975000000001</v>
      </c>
      <c r="E2090" s="116">
        <v>1091.7075</v>
      </c>
      <c r="F2090" s="116">
        <v>21701.3</v>
      </c>
      <c r="G2090">
        <v>799</v>
      </c>
      <c r="H2090" s="116"/>
      <c r="I2090" s="116"/>
      <c r="L2090" s="170">
        <v>45083</v>
      </c>
      <c r="M2090" s="116">
        <v>1085.27</v>
      </c>
      <c r="N2090" s="116">
        <v>1096.5775000000001</v>
      </c>
      <c r="O2090" s="116">
        <v>1080.8775000000001</v>
      </c>
      <c r="P2090" s="116">
        <v>1093.7075</v>
      </c>
      <c r="Q2090" s="116">
        <v>21705.4</v>
      </c>
      <c r="R2090">
        <v>78523</v>
      </c>
    </row>
    <row r="2091" spans="1:18" x14ac:dyDescent="0.25">
      <c r="A2091" s="170">
        <v>45084</v>
      </c>
      <c r="B2091" s="116">
        <v>1121.4375</v>
      </c>
      <c r="C2091" s="116">
        <v>1119.0050000000001</v>
      </c>
      <c r="D2091" s="116">
        <v>1086.8</v>
      </c>
      <c r="E2091" s="116">
        <v>1086.8</v>
      </c>
      <c r="F2091" s="116">
        <v>22380.1</v>
      </c>
      <c r="G2091">
        <v>3249</v>
      </c>
      <c r="H2091" s="116"/>
      <c r="I2091" s="116"/>
      <c r="L2091" s="170">
        <v>45084</v>
      </c>
      <c r="M2091" s="116">
        <v>1118.3875</v>
      </c>
      <c r="N2091" s="116">
        <v>1121.2375</v>
      </c>
      <c r="O2091" s="116">
        <v>1087.4949999999999</v>
      </c>
      <c r="P2091" s="116">
        <v>1087.4949999999999</v>
      </c>
      <c r="Q2091" s="116">
        <v>22367.75</v>
      </c>
      <c r="R2091">
        <v>156812</v>
      </c>
    </row>
    <row r="2092" spans="1:18" x14ac:dyDescent="0.25">
      <c r="A2092" s="170">
        <v>45085</v>
      </c>
      <c r="B2092" s="116">
        <v>1127.665</v>
      </c>
      <c r="C2092" s="116">
        <v>1106.875</v>
      </c>
      <c r="D2092" s="116">
        <v>1105.7725</v>
      </c>
      <c r="E2092" s="116">
        <v>1119.8</v>
      </c>
      <c r="F2092" s="116">
        <v>22137.5</v>
      </c>
      <c r="G2092">
        <v>2384</v>
      </c>
      <c r="H2092" s="116"/>
      <c r="I2092" s="116"/>
      <c r="L2092" s="170">
        <v>45085</v>
      </c>
      <c r="M2092" s="116">
        <v>1107.4449999999999</v>
      </c>
      <c r="N2092" s="116">
        <v>1128.8775000000001</v>
      </c>
      <c r="O2092" s="116">
        <v>1104.3724999999999</v>
      </c>
      <c r="P2092" s="116">
        <v>1123</v>
      </c>
      <c r="Q2092" s="116">
        <v>22148.9</v>
      </c>
      <c r="R2092">
        <v>72929</v>
      </c>
    </row>
    <row r="2093" spans="1:18" x14ac:dyDescent="0.25">
      <c r="A2093" s="170">
        <v>45086</v>
      </c>
      <c r="B2093" s="116">
        <v>1114.1925000000001</v>
      </c>
      <c r="C2093" s="116">
        <v>1104.3975</v>
      </c>
      <c r="D2093" s="116">
        <v>1102.3599999999999</v>
      </c>
      <c r="E2093" s="116">
        <v>1107.9475</v>
      </c>
      <c r="F2093" s="116">
        <v>22087.95</v>
      </c>
      <c r="G2093">
        <v>639</v>
      </c>
      <c r="H2093" s="116"/>
      <c r="I2093" s="116"/>
      <c r="L2093" s="170">
        <v>45086</v>
      </c>
      <c r="M2093" s="116">
        <v>1103.6724999999999</v>
      </c>
      <c r="N2093" s="116">
        <v>1114</v>
      </c>
      <c r="O2093" s="116">
        <v>1102.0450000000001</v>
      </c>
      <c r="P2093" s="116">
        <v>1105.0450000000001</v>
      </c>
      <c r="Q2093" s="116">
        <v>22073.45</v>
      </c>
      <c r="R2093">
        <v>70915</v>
      </c>
    </row>
    <row r="2094" spans="1:18" x14ac:dyDescent="0.25">
      <c r="A2094" s="170">
        <v>45089</v>
      </c>
      <c r="B2094" s="116">
        <v>1117.81</v>
      </c>
      <c r="C2094" s="116">
        <v>1114.5074999999999</v>
      </c>
      <c r="D2094" s="116">
        <v>1099.0025000000001</v>
      </c>
      <c r="E2094" s="116">
        <v>1099.0025000000001</v>
      </c>
      <c r="F2094" s="116">
        <v>22290.15</v>
      </c>
      <c r="G2094">
        <v>1249</v>
      </c>
      <c r="H2094" s="116"/>
      <c r="I2094" s="116"/>
      <c r="L2094" s="170">
        <v>45089</v>
      </c>
      <c r="M2094" s="116">
        <v>1114.4675</v>
      </c>
      <c r="N2094" s="116">
        <v>1117.45</v>
      </c>
      <c r="O2094" s="116">
        <v>1101.4575</v>
      </c>
      <c r="P2094" s="116">
        <v>1102.5</v>
      </c>
      <c r="Q2094" s="116">
        <v>22289.35</v>
      </c>
      <c r="R2094">
        <v>62352</v>
      </c>
    </row>
    <row r="2095" spans="1:18" x14ac:dyDescent="0.25">
      <c r="A2095" s="170">
        <v>45090</v>
      </c>
      <c r="B2095" s="116">
        <v>1133.5</v>
      </c>
      <c r="C2095" s="116">
        <v>1124.7674999999999</v>
      </c>
      <c r="D2095" s="116">
        <v>1115</v>
      </c>
      <c r="E2095" s="116">
        <v>1115</v>
      </c>
      <c r="F2095" s="116">
        <v>22495.35</v>
      </c>
      <c r="G2095">
        <v>2322</v>
      </c>
      <c r="H2095" s="116"/>
      <c r="I2095" s="116"/>
      <c r="L2095" s="170">
        <v>45090</v>
      </c>
      <c r="M2095" s="116">
        <v>1124.6300000000001</v>
      </c>
      <c r="N2095" s="116">
        <v>1133.9000000000001</v>
      </c>
      <c r="O2095" s="116">
        <v>1114.6175000000001</v>
      </c>
      <c r="P2095" s="116">
        <v>1117.45</v>
      </c>
      <c r="Q2095" s="116">
        <v>22492.6</v>
      </c>
      <c r="R2095">
        <v>83347</v>
      </c>
    </row>
    <row r="2096" spans="1:18" x14ac:dyDescent="0.25">
      <c r="A2096" s="170">
        <v>45091</v>
      </c>
      <c r="B2096" s="116">
        <v>1137.1500000000001</v>
      </c>
      <c r="C2096" s="116">
        <v>1136.2225000000001</v>
      </c>
      <c r="D2096" s="116">
        <v>1125</v>
      </c>
      <c r="E2096" s="116">
        <v>1125</v>
      </c>
      <c r="F2096" s="116">
        <v>22724.45</v>
      </c>
      <c r="G2096">
        <v>5127</v>
      </c>
      <c r="H2096" s="116"/>
      <c r="I2096" s="116"/>
      <c r="L2096" s="170">
        <v>45091</v>
      </c>
      <c r="M2096" s="116">
        <v>1136.4375</v>
      </c>
      <c r="N2096" s="116">
        <v>1137.55</v>
      </c>
      <c r="O2096" s="116">
        <v>1125</v>
      </c>
      <c r="P2096" s="116">
        <v>1126.25</v>
      </c>
      <c r="Q2096" s="116">
        <v>22728.75</v>
      </c>
      <c r="R2096">
        <v>72377</v>
      </c>
    </row>
    <row r="2097" spans="1:18" x14ac:dyDescent="0.25">
      <c r="A2097" s="170">
        <v>45092</v>
      </c>
      <c r="B2097" s="116">
        <v>1149.0074999999999</v>
      </c>
      <c r="C2097" s="116">
        <v>1148</v>
      </c>
      <c r="D2097" s="116">
        <v>1135</v>
      </c>
      <c r="E2097" s="116">
        <v>1136.2225000000001</v>
      </c>
      <c r="F2097" s="116">
        <v>22960</v>
      </c>
      <c r="G2097">
        <v>789</v>
      </c>
      <c r="H2097" s="116"/>
      <c r="I2097" s="116"/>
      <c r="L2097" s="170">
        <v>45092</v>
      </c>
      <c r="M2097" s="116">
        <v>1148.31</v>
      </c>
      <c r="N2097" s="116">
        <v>1150</v>
      </c>
      <c r="O2097" s="116">
        <v>1131.625</v>
      </c>
      <c r="P2097" s="116">
        <v>1136.4375</v>
      </c>
      <c r="Q2097" s="116">
        <v>22966.2</v>
      </c>
      <c r="R2097">
        <v>73757</v>
      </c>
    </row>
    <row r="2098" spans="1:18" x14ac:dyDescent="0.25">
      <c r="A2098" s="170">
        <v>45093</v>
      </c>
      <c r="B2098" s="116">
        <v>1160</v>
      </c>
      <c r="C2098" s="116">
        <v>1148.635</v>
      </c>
      <c r="D2098" s="116">
        <v>1144.655</v>
      </c>
      <c r="E2098" s="116">
        <v>1150</v>
      </c>
      <c r="F2098" s="116">
        <v>22972.7</v>
      </c>
      <c r="G2098">
        <v>1460</v>
      </c>
      <c r="H2098" s="116"/>
      <c r="I2098" s="116"/>
      <c r="L2098" s="170">
        <v>45093</v>
      </c>
      <c r="M2098" s="116">
        <v>1148.4275</v>
      </c>
      <c r="N2098" s="116">
        <v>1158.7625</v>
      </c>
      <c r="O2098" s="116">
        <v>1143.865</v>
      </c>
      <c r="P2098" s="116">
        <v>1148.31</v>
      </c>
      <c r="Q2098" s="116">
        <v>22968.55</v>
      </c>
      <c r="R2098">
        <v>73541</v>
      </c>
    </row>
    <row r="2099" spans="1:18" x14ac:dyDescent="0.25">
      <c r="A2099" s="170">
        <v>45096</v>
      </c>
      <c r="B2099" s="116">
        <v>1157.1424999999999</v>
      </c>
      <c r="C2099" s="116">
        <v>1139.23</v>
      </c>
      <c r="D2099" s="116">
        <v>1137.81</v>
      </c>
      <c r="E2099" s="116">
        <v>1148.9024999999999</v>
      </c>
      <c r="F2099" s="116">
        <v>22784.6</v>
      </c>
      <c r="G2099">
        <v>1605</v>
      </c>
      <c r="H2099" s="116"/>
      <c r="I2099" s="116"/>
      <c r="L2099" s="170">
        <v>45096</v>
      </c>
      <c r="M2099" s="116">
        <v>1139.7425000000001</v>
      </c>
      <c r="N2099" s="116">
        <v>1157.5</v>
      </c>
      <c r="O2099" s="116">
        <v>1138.0625</v>
      </c>
      <c r="P2099" s="116">
        <v>1151.25</v>
      </c>
      <c r="Q2099" s="116">
        <v>22794.85</v>
      </c>
      <c r="R2099">
        <v>43331</v>
      </c>
    </row>
    <row r="2100" spans="1:18" x14ac:dyDescent="0.25">
      <c r="A2100" s="170">
        <v>45097</v>
      </c>
      <c r="B2100" s="116">
        <v>1149.95</v>
      </c>
      <c r="C2100" s="116">
        <v>1147.2774999999999</v>
      </c>
      <c r="D2100" s="116">
        <v>1136.3275000000001</v>
      </c>
      <c r="E2100" s="116">
        <v>1138.67</v>
      </c>
      <c r="F2100" s="116">
        <v>22945.55</v>
      </c>
      <c r="G2100">
        <v>602</v>
      </c>
      <c r="H2100" s="116"/>
      <c r="I2100" s="116"/>
      <c r="L2100" s="170">
        <v>45097</v>
      </c>
      <c r="M2100" s="116">
        <v>1147.7774999999999</v>
      </c>
      <c r="N2100" s="116">
        <v>1149.9974999999999</v>
      </c>
      <c r="O2100" s="116">
        <v>1136</v>
      </c>
      <c r="P2100" s="116">
        <v>1139.7425000000001</v>
      </c>
      <c r="Q2100" s="116">
        <v>22955.55</v>
      </c>
      <c r="R2100">
        <v>68877</v>
      </c>
    </row>
    <row r="2101" spans="1:18" x14ac:dyDescent="0.25">
      <c r="A2101" s="170">
        <v>45098</v>
      </c>
      <c r="B2101" s="116">
        <v>1152.8175000000001</v>
      </c>
      <c r="C2101" s="116">
        <v>1143.2025000000001</v>
      </c>
      <c r="D2101" s="116">
        <v>1138.6175000000001</v>
      </c>
      <c r="E2101" s="116">
        <v>1150</v>
      </c>
      <c r="F2101" s="116">
        <v>22864.05</v>
      </c>
      <c r="G2101">
        <v>695</v>
      </c>
      <c r="H2101" s="116"/>
      <c r="I2101" s="116"/>
      <c r="L2101" s="170">
        <v>45098</v>
      </c>
      <c r="M2101" s="116">
        <v>1144.58</v>
      </c>
      <c r="N2101" s="116">
        <v>1153.4849999999999</v>
      </c>
      <c r="O2101" s="116">
        <v>1138.25</v>
      </c>
      <c r="P2101" s="116">
        <v>1147.8050000000001</v>
      </c>
      <c r="Q2101" s="116">
        <v>22891.599999999999</v>
      </c>
      <c r="R2101">
        <v>64642</v>
      </c>
    </row>
    <row r="2102" spans="1:18" x14ac:dyDescent="0.25">
      <c r="A2102" s="170">
        <v>45099</v>
      </c>
      <c r="B2102" s="116">
        <v>1147.4625000000001</v>
      </c>
      <c r="C2102" s="116">
        <v>1126.4375</v>
      </c>
      <c r="D2102" s="116">
        <v>1124.6324999999999</v>
      </c>
      <c r="E2102" s="116">
        <v>1139.9925000000001</v>
      </c>
      <c r="F2102" s="116">
        <v>22528.75</v>
      </c>
      <c r="G2102">
        <v>1037</v>
      </c>
      <c r="H2102" s="116"/>
      <c r="I2102" s="116"/>
      <c r="L2102" s="170">
        <v>45099</v>
      </c>
      <c r="M2102" s="116">
        <v>1126.645</v>
      </c>
      <c r="N2102" s="116">
        <v>1144.5374999999999</v>
      </c>
      <c r="O2102" s="116">
        <v>1124.635</v>
      </c>
      <c r="P2102" s="116">
        <v>1140</v>
      </c>
      <c r="Q2102" s="116">
        <v>22532.9</v>
      </c>
      <c r="R2102">
        <v>49903</v>
      </c>
    </row>
    <row r="2103" spans="1:18" x14ac:dyDescent="0.25">
      <c r="A2103" s="170">
        <v>45100</v>
      </c>
      <c r="B2103" s="116">
        <v>1130.75</v>
      </c>
      <c r="C2103" s="116">
        <v>1125.57</v>
      </c>
      <c r="D2103" s="116">
        <v>1123.8125</v>
      </c>
      <c r="E2103" s="116">
        <v>1125</v>
      </c>
      <c r="F2103" s="116">
        <v>22511.4</v>
      </c>
      <c r="G2103">
        <v>2525</v>
      </c>
      <c r="H2103" s="116"/>
      <c r="I2103" s="116"/>
      <c r="L2103" s="170">
        <v>45100</v>
      </c>
      <c r="M2103" s="116">
        <v>1126.8425</v>
      </c>
      <c r="N2103" s="116">
        <v>1130.9974999999999</v>
      </c>
      <c r="O2103" s="116">
        <v>1122.6824999999999</v>
      </c>
      <c r="P2103" s="116">
        <v>1126.645</v>
      </c>
      <c r="Q2103" s="116">
        <v>22536.85</v>
      </c>
      <c r="R2103">
        <v>43515</v>
      </c>
    </row>
    <row r="2104" spans="1:18" x14ac:dyDescent="0.25">
      <c r="A2104" s="170">
        <v>45103</v>
      </c>
      <c r="B2104" s="116">
        <v>1135.31</v>
      </c>
      <c r="C2104" s="116">
        <v>1131.4000000000001</v>
      </c>
      <c r="D2104" s="116">
        <v>1125.3875</v>
      </c>
      <c r="E2104" s="116">
        <v>1125.57</v>
      </c>
      <c r="F2104" s="116">
        <v>22628</v>
      </c>
      <c r="G2104">
        <v>656</v>
      </c>
      <c r="H2104" s="116"/>
      <c r="I2104" s="116"/>
      <c r="L2104" s="170">
        <v>45103</v>
      </c>
      <c r="M2104" s="116">
        <v>1131.54</v>
      </c>
      <c r="N2104" s="116">
        <v>1135</v>
      </c>
      <c r="O2104" s="116">
        <v>1125.25</v>
      </c>
      <c r="P2104" s="116">
        <v>1126.0025000000001</v>
      </c>
      <c r="Q2104" s="116">
        <v>22630.799999999999</v>
      </c>
      <c r="R2104">
        <v>35015</v>
      </c>
    </row>
    <row r="2105" spans="1:18" x14ac:dyDescent="0.25">
      <c r="A2105" s="170">
        <v>45104</v>
      </c>
      <c r="B2105" s="116">
        <v>1140.5425</v>
      </c>
      <c r="C2105" s="116">
        <v>1131.105</v>
      </c>
      <c r="D2105" s="116">
        <v>1125.3625</v>
      </c>
      <c r="E2105" s="116">
        <v>1130.5025000000001</v>
      </c>
      <c r="F2105" s="116">
        <v>22622.1</v>
      </c>
      <c r="G2105">
        <v>703</v>
      </c>
      <c r="H2105" s="116"/>
      <c r="I2105" s="116"/>
      <c r="L2105" s="170">
        <v>45104</v>
      </c>
      <c r="M2105" s="116">
        <v>1131.8625</v>
      </c>
      <c r="N2105" s="116">
        <v>1143.5</v>
      </c>
      <c r="O2105" s="116">
        <v>1125.2550000000001</v>
      </c>
      <c r="P2105" s="116">
        <v>1131.5675000000001</v>
      </c>
      <c r="Q2105" s="116">
        <v>22637.25</v>
      </c>
      <c r="R2105">
        <v>44133</v>
      </c>
    </row>
    <row r="2106" spans="1:18" x14ac:dyDescent="0.25">
      <c r="A2106" s="170">
        <v>45105</v>
      </c>
      <c r="B2106" s="116">
        <v>1140</v>
      </c>
      <c r="C2106" s="116">
        <v>1136.8325</v>
      </c>
      <c r="D2106" s="116">
        <v>1129.6400000000001</v>
      </c>
      <c r="E2106" s="116">
        <v>1134</v>
      </c>
      <c r="F2106" s="116">
        <v>22736.65</v>
      </c>
      <c r="G2106">
        <v>488</v>
      </c>
      <c r="H2106" s="116"/>
      <c r="I2106" s="116"/>
      <c r="L2106" s="170">
        <v>45105</v>
      </c>
      <c r="M2106" s="116">
        <v>1137.2049999999999</v>
      </c>
      <c r="N2106" s="116">
        <v>1140</v>
      </c>
      <c r="O2106" s="116">
        <v>1129</v>
      </c>
      <c r="P2106" s="116">
        <v>1133.5</v>
      </c>
      <c r="Q2106" s="116">
        <v>22744.1</v>
      </c>
      <c r="R2106">
        <v>55624</v>
      </c>
    </row>
    <row r="2107" spans="1:18" x14ac:dyDescent="0.25">
      <c r="A2107" s="170">
        <v>45107</v>
      </c>
      <c r="B2107" s="116">
        <v>1146.7075</v>
      </c>
      <c r="C2107" s="116">
        <v>1144.1475</v>
      </c>
      <c r="D2107" s="116">
        <v>1131.7725</v>
      </c>
      <c r="E2107" s="116">
        <v>1136.8325</v>
      </c>
      <c r="F2107" s="116">
        <v>22882.95</v>
      </c>
      <c r="G2107">
        <v>847</v>
      </c>
      <c r="H2107" s="116"/>
      <c r="I2107" s="116"/>
      <c r="L2107" s="170">
        <v>45107</v>
      </c>
      <c r="M2107" s="116">
        <v>1144.7149999999999</v>
      </c>
      <c r="N2107" s="116">
        <v>1147.3125</v>
      </c>
      <c r="O2107" s="116">
        <v>1131.25</v>
      </c>
      <c r="P2107" s="116">
        <v>1137.5</v>
      </c>
      <c r="Q2107" s="116">
        <v>22894.3</v>
      </c>
      <c r="R2107">
        <v>36862</v>
      </c>
    </row>
    <row r="2108" spans="1:18" x14ac:dyDescent="0.25">
      <c r="A2108" s="170">
        <v>45110</v>
      </c>
      <c r="B2108" s="116">
        <v>1147.02</v>
      </c>
      <c r="C2108" s="116">
        <v>1131.46</v>
      </c>
      <c r="D2108" s="116">
        <v>1128.3499999999999</v>
      </c>
      <c r="E2108" s="116">
        <v>1145.7525000000001</v>
      </c>
      <c r="F2108" s="116">
        <v>22629.200000000001</v>
      </c>
      <c r="G2108">
        <v>1100</v>
      </c>
      <c r="H2108" s="116"/>
      <c r="I2108" s="116"/>
      <c r="L2108" s="170">
        <v>45110</v>
      </c>
      <c r="M2108" s="116">
        <v>1131.6275000000001</v>
      </c>
      <c r="N2108" s="116">
        <v>1147.5</v>
      </c>
      <c r="O2108" s="116">
        <v>1129.1500000000001</v>
      </c>
      <c r="P2108" s="116">
        <v>1147.5</v>
      </c>
      <c r="Q2108" s="116">
        <v>22632.55</v>
      </c>
      <c r="R2108">
        <v>55269</v>
      </c>
    </row>
    <row r="2109" spans="1:18" x14ac:dyDescent="0.25">
      <c r="A2109" s="170">
        <v>45111</v>
      </c>
      <c r="B2109" s="116">
        <v>1141.7175</v>
      </c>
      <c r="C2109" s="116">
        <v>1131.1324999999999</v>
      </c>
      <c r="D2109" s="116">
        <v>1126.3</v>
      </c>
      <c r="E2109" s="116">
        <v>1134.8</v>
      </c>
      <c r="F2109" s="116">
        <v>22622.65</v>
      </c>
      <c r="G2109">
        <v>833</v>
      </c>
      <c r="H2109" s="116"/>
      <c r="I2109" s="116"/>
      <c r="L2109" s="170">
        <v>45111</v>
      </c>
      <c r="M2109" s="116">
        <v>1131.2025000000001</v>
      </c>
      <c r="N2109" s="116">
        <v>1142.25</v>
      </c>
      <c r="O2109" s="116">
        <v>1126.2750000000001</v>
      </c>
      <c r="P2109" s="116">
        <v>1137.4000000000001</v>
      </c>
      <c r="Q2109" s="116">
        <v>22624.05</v>
      </c>
      <c r="R2109">
        <v>30149</v>
      </c>
    </row>
    <row r="2110" spans="1:18" x14ac:dyDescent="0.25">
      <c r="A2110" s="170">
        <v>45112</v>
      </c>
      <c r="B2110" s="116">
        <v>1147.4375</v>
      </c>
      <c r="C2110" s="116">
        <v>1144.0975000000001</v>
      </c>
      <c r="D2110" s="116">
        <v>1128</v>
      </c>
      <c r="E2110" s="116">
        <v>1128</v>
      </c>
      <c r="F2110" s="116">
        <v>22881.95</v>
      </c>
      <c r="G2110">
        <v>679</v>
      </c>
      <c r="H2110" s="116"/>
      <c r="I2110" s="116"/>
      <c r="L2110" s="170">
        <v>45112</v>
      </c>
      <c r="M2110" s="116">
        <v>1144.9949999999999</v>
      </c>
      <c r="N2110" s="116">
        <v>1147.2</v>
      </c>
      <c r="O2110" s="116">
        <v>1129</v>
      </c>
      <c r="P2110" s="116">
        <v>1129.3</v>
      </c>
      <c r="Q2110" s="116">
        <v>22899.9</v>
      </c>
      <c r="R2110">
        <v>38888</v>
      </c>
    </row>
    <row r="2111" spans="1:18" x14ac:dyDescent="0.25">
      <c r="A2111" s="170">
        <v>45113</v>
      </c>
      <c r="B2111" s="116">
        <v>1169.4475</v>
      </c>
      <c r="C2111" s="116">
        <v>1154.8275000000001</v>
      </c>
      <c r="D2111" s="116">
        <v>1143.5474999999999</v>
      </c>
      <c r="E2111" s="116">
        <v>1143.5474999999999</v>
      </c>
      <c r="F2111" s="116">
        <v>23096.55</v>
      </c>
      <c r="G2111">
        <v>1957</v>
      </c>
      <c r="H2111" s="116"/>
      <c r="I2111" s="116"/>
      <c r="L2111" s="170">
        <v>45113</v>
      </c>
      <c r="M2111" s="116">
        <v>1154.9725000000001</v>
      </c>
      <c r="N2111" s="116">
        <v>1169.6224999999999</v>
      </c>
      <c r="O2111" s="116">
        <v>1145.25</v>
      </c>
      <c r="P2111" s="116">
        <v>1146.75</v>
      </c>
      <c r="Q2111" s="116">
        <v>23099.45</v>
      </c>
      <c r="R2111">
        <v>90367</v>
      </c>
    </row>
    <row r="2112" spans="1:18" x14ac:dyDescent="0.25">
      <c r="A2112" s="170">
        <v>45114</v>
      </c>
      <c r="B2112" s="116">
        <v>1161</v>
      </c>
      <c r="C2112" s="116">
        <v>1144.1099999999999</v>
      </c>
      <c r="D2112" s="116">
        <v>1142.175</v>
      </c>
      <c r="E2112" s="116">
        <v>1149.95</v>
      </c>
      <c r="F2112" s="116">
        <v>22882.2</v>
      </c>
      <c r="G2112">
        <v>793</v>
      </c>
      <c r="H2112" s="116"/>
      <c r="I2112" s="116"/>
      <c r="L2112" s="170">
        <v>45114</v>
      </c>
      <c r="M2112" s="116">
        <v>1145.31</v>
      </c>
      <c r="N2112" s="116">
        <v>1162.3425</v>
      </c>
      <c r="O2112" s="116">
        <v>1142.5</v>
      </c>
      <c r="P2112" s="116">
        <v>1157.7525000000001</v>
      </c>
      <c r="Q2112" s="116">
        <v>22906.2</v>
      </c>
      <c r="R2112">
        <v>56464</v>
      </c>
    </row>
    <row r="2113" spans="1:18" x14ac:dyDescent="0.25">
      <c r="A2113" s="170">
        <v>45117</v>
      </c>
      <c r="B2113" s="116">
        <v>1151.405</v>
      </c>
      <c r="C2113" s="116">
        <v>1128.9275</v>
      </c>
      <c r="D2113" s="116">
        <v>1127.52</v>
      </c>
      <c r="E2113" s="116">
        <v>1144.0025000000001</v>
      </c>
      <c r="F2113" s="116">
        <v>22578.55</v>
      </c>
      <c r="G2113">
        <v>993</v>
      </c>
      <c r="H2113" s="116"/>
      <c r="I2113" s="116"/>
      <c r="L2113" s="170">
        <v>45117</v>
      </c>
      <c r="M2113" s="116">
        <v>1129.0125</v>
      </c>
      <c r="N2113" s="116">
        <v>1152.1199999999999</v>
      </c>
      <c r="O2113" s="116">
        <v>1127.5</v>
      </c>
      <c r="P2113" s="116">
        <v>1143.45</v>
      </c>
      <c r="Q2113" s="116">
        <v>22580.25</v>
      </c>
      <c r="R2113">
        <v>36388</v>
      </c>
    </row>
    <row r="2114" spans="1:18" x14ac:dyDescent="0.25">
      <c r="A2114" s="170">
        <v>45118</v>
      </c>
      <c r="B2114" s="116">
        <v>1148.2825</v>
      </c>
      <c r="C2114" s="116">
        <v>1145.4875</v>
      </c>
      <c r="D2114" s="116">
        <v>1127.6300000000001</v>
      </c>
      <c r="E2114" s="116">
        <v>1128.0025000000001</v>
      </c>
      <c r="F2114" s="116">
        <v>22909.75</v>
      </c>
      <c r="G2114">
        <v>1128</v>
      </c>
      <c r="H2114" s="116"/>
      <c r="I2114" s="116"/>
      <c r="L2114" s="170">
        <v>45118</v>
      </c>
      <c r="M2114" s="116">
        <v>1142.615</v>
      </c>
      <c r="N2114" s="116">
        <v>1147.9925000000001</v>
      </c>
      <c r="O2114" s="116">
        <v>1127.5150000000001</v>
      </c>
      <c r="P2114" s="116">
        <v>1130.5</v>
      </c>
      <c r="Q2114" s="116">
        <v>22852.3</v>
      </c>
      <c r="R2114">
        <v>68526</v>
      </c>
    </row>
    <row r="2115" spans="1:18" x14ac:dyDescent="0.25">
      <c r="A2115" s="170">
        <v>45119</v>
      </c>
      <c r="B2115" s="116">
        <v>1154.845</v>
      </c>
      <c r="C2115" s="116">
        <v>1152.8</v>
      </c>
      <c r="D2115" s="116">
        <v>1140.5725</v>
      </c>
      <c r="E2115" s="116">
        <v>1148</v>
      </c>
      <c r="F2115" s="116">
        <v>23056</v>
      </c>
      <c r="G2115">
        <v>1231</v>
      </c>
      <c r="H2115" s="116"/>
      <c r="I2115" s="116"/>
      <c r="L2115" s="170">
        <v>45119</v>
      </c>
      <c r="M2115" s="116">
        <v>1153.0025000000001</v>
      </c>
      <c r="N2115" s="116">
        <v>1155</v>
      </c>
      <c r="O2115" s="116">
        <v>1140.8499999999999</v>
      </c>
      <c r="P2115" s="116">
        <v>1146.95</v>
      </c>
      <c r="Q2115" s="116">
        <v>23060.05</v>
      </c>
      <c r="R2115">
        <v>48090</v>
      </c>
    </row>
    <row r="2116" spans="1:18" x14ac:dyDescent="0.25">
      <c r="A2116" s="170">
        <v>45120</v>
      </c>
      <c r="B2116" s="116">
        <v>1155.75</v>
      </c>
      <c r="C2116" s="116">
        <v>1141.0374999999999</v>
      </c>
      <c r="D2116" s="116">
        <v>1138.7750000000001</v>
      </c>
      <c r="E2116" s="116">
        <v>1152.5</v>
      </c>
      <c r="F2116" s="116">
        <v>22820.75</v>
      </c>
      <c r="G2116">
        <v>711</v>
      </c>
      <c r="H2116" s="116"/>
      <c r="I2116" s="116"/>
      <c r="L2116" s="170">
        <v>45120</v>
      </c>
      <c r="M2116" s="116">
        <v>1141.0374999999999</v>
      </c>
      <c r="N2116" s="116">
        <v>1156.0775000000001</v>
      </c>
      <c r="O2116" s="116">
        <v>1138.8425</v>
      </c>
      <c r="P2116" s="116">
        <v>1153.0025000000001</v>
      </c>
      <c r="Q2116" s="116">
        <v>22820.75</v>
      </c>
      <c r="R2116">
        <v>43216</v>
      </c>
    </row>
    <row r="2117" spans="1:18" x14ac:dyDescent="0.25">
      <c r="A2117" s="170">
        <v>45121</v>
      </c>
      <c r="B2117" s="116">
        <v>1159.9974999999999</v>
      </c>
      <c r="C2117" s="116">
        <v>1156.26</v>
      </c>
      <c r="D2117" s="116">
        <v>1130</v>
      </c>
      <c r="E2117" s="116">
        <v>1143.8</v>
      </c>
      <c r="F2117" s="116">
        <v>23125.200000000001</v>
      </c>
      <c r="G2117">
        <v>1980</v>
      </c>
      <c r="H2117" s="116"/>
      <c r="I2117" s="116"/>
      <c r="L2117" s="170">
        <v>45121</v>
      </c>
      <c r="M2117" s="116">
        <v>1156.9024999999999</v>
      </c>
      <c r="N2117" s="116">
        <v>1160</v>
      </c>
      <c r="O2117" s="116">
        <v>1140</v>
      </c>
      <c r="P2117" s="116">
        <v>1141.0374999999999</v>
      </c>
      <c r="Q2117" s="116">
        <v>23138.05</v>
      </c>
      <c r="R2117">
        <v>45457</v>
      </c>
    </row>
    <row r="2118" spans="1:18" x14ac:dyDescent="0.25">
      <c r="A2118" s="170">
        <v>45124</v>
      </c>
      <c r="B2118" s="116">
        <v>1169.5</v>
      </c>
      <c r="C2118" s="116">
        <v>1153.4375</v>
      </c>
      <c r="D2118" s="116">
        <v>1148.72</v>
      </c>
      <c r="E2118" s="116">
        <v>1153.0125</v>
      </c>
      <c r="F2118" s="116">
        <v>23068.75</v>
      </c>
      <c r="G2118">
        <v>1348</v>
      </c>
      <c r="H2118" s="116"/>
      <c r="I2118" s="116"/>
      <c r="L2118" s="170">
        <v>45124</v>
      </c>
      <c r="M2118" s="116">
        <v>1153.5374999999999</v>
      </c>
      <c r="N2118" s="116">
        <v>1169.7674999999999</v>
      </c>
      <c r="O2118" s="116">
        <v>1147.75</v>
      </c>
      <c r="P2118" s="116">
        <v>1160</v>
      </c>
      <c r="Q2118" s="116">
        <v>23070.75</v>
      </c>
      <c r="R2118">
        <v>41795</v>
      </c>
    </row>
    <row r="2119" spans="1:18" x14ac:dyDescent="0.25">
      <c r="A2119" s="170">
        <v>45125</v>
      </c>
      <c r="B2119" s="116">
        <v>1158.8325</v>
      </c>
      <c r="C2119" s="116">
        <v>1149.405</v>
      </c>
      <c r="D2119" s="116">
        <v>1142.0825</v>
      </c>
      <c r="E2119" s="116">
        <v>1157.5025000000001</v>
      </c>
      <c r="F2119" s="116">
        <v>22988.1</v>
      </c>
      <c r="G2119">
        <v>1135</v>
      </c>
      <c r="H2119" s="116"/>
      <c r="I2119" s="116"/>
      <c r="L2119" s="170">
        <v>45125</v>
      </c>
      <c r="M2119" s="116">
        <v>1148.8575000000001</v>
      </c>
      <c r="N2119" s="116">
        <v>1159.5</v>
      </c>
      <c r="O2119" s="116">
        <v>1141.0250000000001</v>
      </c>
      <c r="P2119" s="116">
        <v>1159.5</v>
      </c>
      <c r="Q2119" s="116">
        <v>22977.15</v>
      </c>
      <c r="R2119">
        <v>32584</v>
      </c>
    </row>
    <row r="2120" spans="1:18" x14ac:dyDescent="0.25">
      <c r="A2120" s="170">
        <v>45126</v>
      </c>
      <c r="B2120" s="116">
        <v>1150.1500000000001</v>
      </c>
      <c r="C2120" s="116">
        <v>1146.8599999999999</v>
      </c>
      <c r="D2120" s="116">
        <v>1140.5</v>
      </c>
      <c r="E2120" s="116">
        <v>1149.0125</v>
      </c>
      <c r="F2120" s="116">
        <v>22937.200000000001</v>
      </c>
      <c r="G2120">
        <v>829</v>
      </c>
      <c r="H2120" s="116"/>
      <c r="I2120" s="116"/>
      <c r="L2120" s="170">
        <v>45126</v>
      </c>
      <c r="M2120" s="116">
        <v>1147.0474999999999</v>
      </c>
      <c r="N2120" s="116">
        <v>1151.25</v>
      </c>
      <c r="O2120" s="116">
        <v>1140.075</v>
      </c>
      <c r="P2120" s="116">
        <v>1147.5</v>
      </c>
      <c r="Q2120" s="116">
        <v>22940.95</v>
      </c>
      <c r="R2120">
        <v>27881</v>
      </c>
    </row>
    <row r="2121" spans="1:18" x14ac:dyDescent="0.25">
      <c r="A2121" s="170">
        <v>45127</v>
      </c>
      <c r="B2121" s="116">
        <v>1153.5025000000001</v>
      </c>
      <c r="C2121" s="116">
        <v>1149.7049999999999</v>
      </c>
      <c r="D2121" s="116">
        <v>1138</v>
      </c>
      <c r="E2121" s="116">
        <v>1146.0025000000001</v>
      </c>
      <c r="F2121" s="116">
        <v>22994.1</v>
      </c>
      <c r="G2121">
        <v>1040</v>
      </c>
      <c r="H2121" s="116"/>
      <c r="I2121" s="116"/>
      <c r="L2121" s="170">
        <v>45127</v>
      </c>
      <c r="M2121" s="116">
        <v>1150.3975</v>
      </c>
      <c r="N2121" s="116">
        <v>1154.2249999999999</v>
      </c>
      <c r="O2121" s="116">
        <v>1137.55</v>
      </c>
      <c r="P2121" s="116">
        <v>1147.05</v>
      </c>
      <c r="Q2121" s="116">
        <v>23007.95</v>
      </c>
      <c r="R2121">
        <v>37792</v>
      </c>
    </row>
    <row r="2122" spans="1:18" x14ac:dyDescent="0.25">
      <c r="A2122" s="170">
        <v>45128</v>
      </c>
      <c r="B2122" s="116">
        <v>1160.0274999999999</v>
      </c>
      <c r="C2122" s="116">
        <v>1148.7550000000001</v>
      </c>
      <c r="D2122" s="116">
        <v>1146.0625</v>
      </c>
      <c r="E2122" s="116">
        <v>1149.7</v>
      </c>
      <c r="F2122" s="116">
        <v>22975.1</v>
      </c>
      <c r="G2122">
        <v>904</v>
      </c>
      <c r="H2122" s="116"/>
      <c r="I2122" s="116"/>
      <c r="L2122" s="170">
        <v>45128</v>
      </c>
      <c r="M2122" s="116">
        <v>1149.1275000000001</v>
      </c>
      <c r="N2122" s="116">
        <v>1161.5975000000001</v>
      </c>
      <c r="O2122" s="116">
        <v>1145.6400000000001</v>
      </c>
      <c r="P2122" s="116">
        <v>1150.7474999999999</v>
      </c>
      <c r="Q2122" s="116">
        <v>22982.55</v>
      </c>
      <c r="R2122">
        <v>36843</v>
      </c>
    </row>
    <row r="2123" spans="1:18" x14ac:dyDescent="0.25">
      <c r="A2123" s="170">
        <v>45131</v>
      </c>
      <c r="B2123" s="116">
        <v>1151.7874999999999</v>
      </c>
      <c r="C2123" s="116">
        <v>1141.7</v>
      </c>
      <c r="D2123" s="116">
        <v>1135.26</v>
      </c>
      <c r="E2123" s="116">
        <v>1145.0025000000001</v>
      </c>
      <c r="F2123" s="116">
        <v>22834</v>
      </c>
      <c r="G2123">
        <v>716</v>
      </c>
      <c r="H2123" s="116"/>
      <c r="I2123" s="116"/>
      <c r="L2123" s="170">
        <v>45131</v>
      </c>
      <c r="M2123" s="116">
        <v>1141.0050000000001</v>
      </c>
      <c r="N2123" s="116">
        <v>1152.43</v>
      </c>
      <c r="O2123" s="116">
        <v>1135.3875</v>
      </c>
      <c r="P2123" s="116">
        <v>1149.0074999999999</v>
      </c>
      <c r="Q2123" s="116">
        <v>22820.1</v>
      </c>
      <c r="R2123">
        <v>42081</v>
      </c>
    </row>
    <row r="2124" spans="1:18" x14ac:dyDescent="0.25">
      <c r="A2124" s="170">
        <v>45132</v>
      </c>
      <c r="B2124" s="116">
        <v>1155.0374999999999</v>
      </c>
      <c r="C2124" s="116">
        <v>1137.9175</v>
      </c>
      <c r="D2124" s="116">
        <v>1134.2625</v>
      </c>
      <c r="E2124" s="116">
        <v>1155.0025000000001</v>
      </c>
      <c r="F2124" s="116">
        <v>22758.35</v>
      </c>
      <c r="G2124">
        <v>1399</v>
      </c>
      <c r="H2124" s="116"/>
      <c r="I2124" s="116"/>
      <c r="L2124" s="170">
        <v>45132</v>
      </c>
      <c r="M2124" s="116">
        <v>1138.645</v>
      </c>
      <c r="N2124" s="116">
        <v>1157</v>
      </c>
      <c r="O2124" s="116">
        <v>1133.7625</v>
      </c>
      <c r="P2124" s="116">
        <v>1157</v>
      </c>
      <c r="Q2124" s="116">
        <v>22772.9</v>
      </c>
      <c r="R2124">
        <v>62576</v>
      </c>
    </row>
    <row r="2125" spans="1:18" x14ac:dyDescent="0.25">
      <c r="A2125" s="170">
        <v>45133</v>
      </c>
      <c r="B2125" s="116">
        <v>1145.8499999999999</v>
      </c>
      <c r="C2125" s="116">
        <v>1140.2225000000001</v>
      </c>
      <c r="D2125" s="116">
        <v>1135.25</v>
      </c>
      <c r="E2125" s="116">
        <v>1137.5050000000001</v>
      </c>
      <c r="F2125" s="116">
        <v>22804.45</v>
      </c>
      <c r="G2125">
        <v>545</v>
      </c>
      <c r="H2125" s="116"/>
      <c r="I2125" s="116"/>
      <c r="L2125" s="170">
        <v>45133</v>
      </c>
      <c r="M2125" s="116">
        <v>1139.9949999999999</v>
      </c>
      <c r="N2125" s="116">
        <v>1145</v>
      </c>
      <c r="O2125" s="116">
        <v>1135.0999999999999</v>
      </c>
      <c r="P2125" s="116">
        <v>1139.5450000000001</v>
      </c>
      <c r="Q2125" s="116">
        <v>22799.9</v>
      </c>
      <c r="R2125">
        <v>34462</v>
      </c>
    </row>
    <row r="2126" spans="1:18" x14ac:dyDescent="0.25">
      <c r="A2126" s="170">
        <v>45134</v>
      </c>
      <c r="B2126" s="116">
        <v>1144.95</v>
      </c>
      <c r="C2126" s="116">
        <v>1116.47</v>
      </c>
      <c r="D2126" s="116">
        <v>1104.0875000000001</v>
      </c>
      <c r="E2126" s="116">
        <v>1144.95</v>
      </c>
      <c r="F2126" s="116">
        <v>22329.4</v>
      </c>
      <c r="G2126">
        <v>4639</v>
      </c>
      <c r="H2126" s="116"/>
      <c r="I2126" s="116"/>
      <c r="L2126" s="170">
        <v>45134</v>
      </c>
      <c r="M2126" s="116">
        <v>1116.2650000000001</v>
      </c>
      <c r="N2126" s="116">
        <v>1145</v>
      </c>
      <c r="O2126" s="116">
        <v>1103.8025</v>
      </c>
      <c r="P2126" s="116">
        <v>1142.96</v>
      </c>
      <c r="Q2126" s="116">
        <v>22325.3</v>
      </c>
      <c r="R2126">
        <v>179374</v>
      </c>
    </row>
    <row r="2127" spans="1:18" x14ac:dyDescent="0.25">
      <c r="A2127" s="170">
        <v>45135</v>
      </c>
      <c r="B2127" s="116">
        <v>1131.1300000000001</v>
      </c>
      <c r="C2127" s="116">
        <v>1124.345</v>
      </c>
      <c r="D2127" s="116">
        <v>1110</v>
      </c>
      <c r="E2127" s="116">
        <v>1116.5</v>
      </c>
      <c r="F2127" s="116">
        <v>22486.9</v>
      </c>
      <c r="G2127">
        <v>2396</v>
      </c>
      <c r="H2127" s="116"/>
      <c r="I2127" s="116"/>
      <c r="L2127" s="170">
        <v>45135</v>
      </c>
      <c r="M2127" s="116">
        <v>1124.0450000000001</v>
      </c>
      <c r="N2127" s="116">
        <v>1131.5925</v>
      </c>
      <c r="O2127" s="116">
        <v>1109.365</v>
      </c>
      <c r="P2127" s="116">
        <v>1116.2650000000001</v>
      </c>
      <c r="Q2127" s="116">
        <v>22480.9</v>
      </c>
      <c r="R2127">
        <v>67211</v>
      </c>
    </row>
    <row r="2128" spans="1:18" x14ac:dyDescent="0.25">
      <c r="A2128" s="170">
        <v>45138</v>
      </c>
      <c r="B2128" s="116">
        <v>1132.5225</v>
      </c>
      <c r="C2128" s="116">
        <v>1128.0374999999999</v>
      </c>
      <c r="D2128" s="116">
        <v>1121.67</v>
      </c>
      <c r="E2128" s="116">
        <v>1127.56</v>
      </c>
      <c r="F2128" s="116">
        <v>22560.75</v>
      </c>
      <c r="G2128">
        <v>1727</v>
      </c>
      <c r="H2128" s="116"/>
      <c r="I2128" s="116"/>
      <c r="L2128" s="170">
        <v>45138</v>
      </c>
      <c r="M2128" s="116">
        <v>1127.665</v>
      </c>
      <c r="N2128" s="116">
        <v>1132.7</v>
      </c>
      <c r="O2128" s="116">
        <v>1121.4849999999999</v>
      </c>
      <c r="P2128" s="116">
        <v>1132.5</v>
      </c>
      <c r="Q2128" s="116">
        <v>22553.3</v>
      </c>
      <c r="R2128">
        <v>48609</v>
      </c>
    </row>
    <row r="2129" spans="1:18" x14ac:dyDescent="0.25">
      <c r="A2129" s="170">
        <v>45139</v>
      </c>
      <c r="B2129" s="116">
        <v>1134.7225000000001</v>
      </c>
      <c r="C2129" s="116">
        <v>1130.7525000000001</v>
      </c>
      <c r="D2129" s="116">
        <v>1120.9175</v>
      </c>
      <c r="E2129" s="116">
        <v>1128.0525</v>
      </c>
      <c r="F2129" s="116">
        <v>22615.05</v>
      </c>
      <c r="G2129">
        <v>1153</v>
      </c>
      <c r="H2129" s="116"/>
      <c r="I2129" s="116"/>
      <c r="L2129" s="170">
        <v>45139</v>
      </c>
      <c r="M2129" s="116">
        <v>1129.6849999999999</v>
      </c>
      <c r="N2129" s="116">
        <v>1134.5</v>
      </c>
      <c r="O2129" s="116">
        <v>1121.25</v>
      </c>
      <c r="P2129" s="116">
        <v>1130.415</v>
      </c>
      <c r="Q2129" s="116">
        <v>22593.7</v>
      </c>
      <c r="R2129">
        <v>65019</v>
      </c>
    </row>
    <row r="2130" spans="1:18" x14ac:dyDescent="0.25">
      <c r="A2130" s="170">
        <v>45140</v>
      </c>
      <c r="B2130" s="116">
        <v>1146.8125</v>
      </c>
      <c r="C2130" s="116">
        <v>1143.75</v>
      </c>
      <c r="D2130" s="116">
        <v>1125.5</v>
      </c>
      <c r="E2130" s="116">
        <v>1130.7550000000001</v>
      </c>
      <c r="F2130" s="116">
        <v>22875</v>
      </c>
      <c r="G2130">
        <v>2826</v>
      </c>
      <c r="H2130" s="116"/>
      <c r="I2130" s="116"/>
      <c r="L2130" s="170">
        <v>45140</v>
      </c>
      <c r="M2130" s="116">
        <v>1144.115</v>
      </c>
      <c r="N2130" s="116">
        <v>1146.9075</v>
      </c>
      <c r="O2130" s="116">
        <v>1125.53</v>
      </c>
      <c r="P2130" s="116">
        <v>1134.5</v>
      </c>
      <c r="Q2130" s="116">
        <v>22882.3</v>
      </c>
      <c r="R2130">
        <v>104661</v>
      </c>
    </row>
    <row r="2131" spans="1:18" x14ac:dyDescent="0.25">
      <c r="A2131" s="170">
        <v>45141</v>
      </c>
      <c r="B2131" s="116">
        <v>1142.5</v>
      </c>
      <c r="C2131" s="116">
        <v>1123.0050000000001</v>
      </c>
      <c r="D2131" s="116">
        <v>1119.83</v>
      </c>
      <c r="E2131" s="116">
        <v>1142.5</v>
      </c>
      <c r="F2131" s="116">
        <v>22460.1</v>
      </c>
      <c r="G2131">
        <v>1704</v>
      </c>
      <c r="H2131" s="116"/>
      <c r="I2131" s="116"/>
      <c r="L2131" s="170">
        <v>45141</v>
      </c>
      <c r="M2131" s="116">
        <v>1123.79</v>
      </c>
      <c r="N2131" s="116">
        <v>1144.3975</v>
      </c>
      <c r="O2131" s="116">
        <v>1120.0975000000001</v>
      </c>
      <c r="P2131" s="116">
        <v>1144.3975</v>
      </c>
      <c r="Q2131" s="116">
        <v>22475.8</v>
      </c>
      <c r="R2131">
        <v>44971</v>
      </c>
    </row>
    <row r="2132" spans="1:18" x14ac:dyDescent="0.25">
      <c r="A2132" s="170">
        <v>45142</v>
      </c>
      <c r="B2132" s="116">
        <v>1133.9749999999999</v>
      </c>
      <c r="C2132" s="116">
        <v>1123.0274999999999</v>
      </c>
      <c r="D2132" s="116">
        <v>1120.8425</v>
      </c>
      <c r="E2132" s="116">
        <v>1123.0525</v>
      </c>
      <c r="F2132" s="116">
        <v>22460.55</v>
      </c>
      <c r="G2132">
        <v>1172</v>
      </c>
      <c r="H2132" s="116"/>
      <c r="I2132" s="116"/>
      <c r="L2132" s="170">
        <v>45142</v>
      </c>
      <c r="M2132" s="116">
        <v>1122.7249999999999</v>
      </c>
      <c r="N2132" s="116">
        <v>1134.9425000000001</v>
      </c>
      <c r="O2132" s="116">
        <v>1120.5999999999999</v>
      </c>
      <c r="P2132" s="116">
        <v>1124.7974999999999</v>
      </c>
      <c r="Q2132" s="116">
        <v>22454.5</v>
      </c>
      <c r="R2132">
        <v>41010</v>
      </c>
    </row>
    <row r="2133" spans="1:18" x14ac:dyDescent="0.25">
      <c r="A2133" s="170">
        <v>45145</v>
      </c>
      <c r="B2133" s="116">
        <v>1126.75</v>
      </c>
      <c r="C2133" s="116">
        <v>1121.1400000000001</v>
      </c>
      <c r="D2133" s="116">
        <v>1107.5</v>
      </c>
      <c r="E2133" s="116">
        <v>1122.5</v>
      </c>
      <c r="F2133" s="116">
        <v>22422.799999999999</v>
      </c>
      <c r="G2133">
        <v>1816</v>
      </c>
      <c r="H2133" s="116"/>
      <c r="I2133" s="116"/>
      <c r="L2133" s="170">
        <v>45145</v>
      </c>
      <c r="M2133" s="116">
        <v>1122.9649999999999</v>
      </c>
      <c r="N2133" s="116">
        <v>1127.58</v>
      </c>
      <c r="O2133" s="116">
        <v>1107.5</v>
      </c>
      <c r="P2133" s="116">
        <v>1122.7249999999999</v>
      </c>
      <c r="Q2133" s="116">
        <v>22459.3</v>
      </c>
      <c r="R2133">
        <v>41246</v>
      </c>
    </row>
    <row r="2134" spans="1:18" x14ac:dyDescent="0.25">
      <c r="A2134" s="170">
        <v>45146</v>
      </c>
      <c r="B2134" s="116">
        <v>1124.3</v>
      </c>
      <c r="C2134" s="116">
        <v>1111.2249999999999</v>
      </c>
      <c r="D2134" s="116">
        <v>1105.2974999999999</v>
      </c>
      <c r="E2134" s="116">
        <v>1124.2974999999999</v>
      </c>
      <c r="F2134" s="116">
        <v>22224.5</v>
      </c>
      <c r="G2134">
        <v>1292</v>
      </c>
      <c r="H2134" s="116"/>
      <c r="I2134" s="116"/>
      <c r="L2134" s="170">
        <v>45146</v>
      </c>
      <c r="M2134" s="116">
        <v>1111.4625000000001</v>
      </c>
      <c r="N2134" s="116">
        <v>1124.9475</v>
      </c>
      <c r="O2134" s="116">
        <v>1105</v>
      </c>
      <c r="P2134" s="116">
        <v>1123.5</v>
      </c>
      <c r="Q2134" s="116">
        <v>22229.25</v>
      </c>
      <c r="R2134">
        <v>58032</v>
      </c>
    </row>
    <row r="2135" spans="1:18" x14ac:dyDescent="0.25">
      <c r="A2135" s="170">
        <v>45147</v>
      </c>
      <c r="B2135" s="116">
        <v>1117.46</v>
      </c>
      <c r="C2135" s="116">
        <v>1110.345</v>
      </c>
      <c r="D2135" s="116">
        <v>1108.69</v>
      </c>
      <c r="E2135" s="116">
        <v>1111.2249999999999</v>
      </c>
      <c r="F2135" s="116">
        <v>22206.9</v>
      </c>
      <c r="G2135">
        <v>414</v>
      </c>
      <c r="H2135" s="116"/>
      <c r="I2135" s="116"/>
      <c r="L2135" s="170">
        <v>45147</v>
      </c>
      <c r="M2135" s="116">
        <v>1110.92</v>
      </c>
      <c r="N2135" s="116">
        <v>1117.8125</v>
      </c>
      <c r="O2135" s="116">
        <v>1108.1300000000001</v>
      </c>
      <c r="P2135" s="116">
        <v>1114</v>
      </c>
      <c r="Q2135" s="116">
        <v>22218.400000000001</v>
      </c>
      <c r="R2135">
        <v>37285</v>
      </c>
    </row>
    <row r="2136" spans="1:18" x14ac:dyDescent="0.25">
      <c r="A2136" s="170">
        <v>45148</v>
      </c>
      <c r="B2136" s="116">
        <v>1110.345</v>
      </c>
      <c r="C2136" s="116">
        <v>1100.1400000000001</v>
      </c>
      <c r="D2136" s="116">
        <v>1095</v>
      </c>
      <c r="E2136" s="116">
        <v>1110.345</v>
      </c>
      <c r="F2136" s="116">
        <v>22002.799999999999</v>
      </c>
      <c r="G2136">
        <v>924</v>
      </c>
      <c r="H2136" s="116"/>
      <c r="I2136" s="116"/>
      <c r="L2136" s="170">
        <v>45148</v>
      </c>
      <c r="M2136" s="116">
        <v>1099.4875</v>
      </c>
      <c r="N2136" s="116">
        <v>1112.2275</v>
      </c>
      <c r="O2136" s="116">
        <v>1094.75</v>
      </c>
      <c r="P2136" s="116">
        <v>1108.1500000000001</v>
      </c>
      <c r="Q2136" s="116">
        <v>21989.75</v>
      </c>
      <c r="R2136">
        <v>70579</v>
      </c>
    </row>
    <row r="2137" spans="1:18" x14ac:dyDescent="0.25">
      <c r="A2137" s="170">
        <v>45149</v>
      </c>
      <c r="B2137" s="116">
        <v>1100.145</v>
      </c>
      <c r="C2137" s="116">
        <v>1091.4749999999999</v>
      </c>
      <c r="D2137" s="116">
        <v>1087.2225000000001</v>
      </c>
      <c r="E2137" s="116">
        <v>1099.2574999999999</v>
      </c>
      <c r="F2137" s="116">
        <v>21829.5</v>
      </c>
      <c r="G2137">
        <v>1227</v>
      </c>
      <c r="H2137" s="116"/>
      <c r="I2137" s="116"/>
      <c r="L2137" s="170">
        <v>45149</v>
      </c>
      <c r="M2137" s="116">
        <v>1092.1199999999999</v>
      </c>
      <c r="N2137" s="116">
        <v>1100.5</v>
      </c>
      <c r="O2137" s="116">
        <v>1087.5</v>
      </c>
      <c r="P2137" s="116">
        <v>1099.4875</v>
      </c>
      <c r="Q2137" s="116">
        <v>21842.400000000001</v>
      </c>
      <c r="R2137">
        <v>38363</v>
      </c>
    </row>
    <row r="2138" spans="1:18" x14ac:dyDescent="0.25">
      <c r="A2138" s="170">
        <v>45152</v>
      </c>
      <c r="B2138" s="116">
        <v>1102.4525000000001</v>
      </c>
      <c r="C2138" s="116">
        <v>1095.01</v>
      </c>
      <c r="D2138" s="116">
        <v>1086.25</v>
      </c>
      <c r="E2138" s="116">
        <v>1092.5</v>
      </c>
      <c r="F2138" s="116">
        <v>21900.2</v>
      </c>
      <c r="G2138">
        <v>419</v>
      </c>
      <c r="H2138" s="116"/>
      <c r="I2138" s="116"/>
      <c r="L2138" s="170">
        <v>45152</v>
      </c>
      <c r="M2138" s="116">
        <v>1094.9749999999999</v>
      </c>
      <c r="N2138" s="116">
        <v>1102</v>
      </c>
      <c r="O2138" s="116">
        <v>1085.4625000000001</v>
      </c>
      <c r="P2138" s="116">
        <v>1092.2125000000001</v>
      </c>
      <c r="Q2138" s="116">
        <v>21899.5</v>
      </c>
      <c r="R2138">
        <v>40788</v>
      </c>
    </row>
    <row r="2139" spans="1:18" x14ac:dyDescent="0.25">
      <c r="A2139" s="170">
        <v>45154</v>
      </c>
      <c r="B2139" s="116">
        <v>1100.0999999999999</v>
      </c>
      <c r="C2139" s="116">
        <v>1097.6400000000001</v>
      </c>
      <c r="D2139" s="116">
        <v>1090</v>
      </c>
      <c r="E2139" s="116">
        <v>1100.0025000000001</v>
      </c>
      <c r="F2139" s="116">
        <v>21952.799999999999</v>
      </c>
      <c r="G2139">
        <v>1109</v>
      </c>
      <c r="H2139" s="116"/>
      <c r="I2139" s="116"/>
      <c r="L2139" s="170">
        <v>45154</v>
      </c>
      <c r="M2139" s="116">
        <v>1097.395</v>
      </c>
      <c r="N2139" s="116">
        <v>1106.5</v>
      </c>
      <c r="O2139" s="116">
        <v>1089.2674999999999</v>
      </c>
      <c r="P2139" s="116">
        <v>1106.5</v>
      </c>
      <c r="Q2139" s="116">
        <v>21947.9</v>
      </c>
      <c r="R2139">
        <v>28930</v>
      </c>
    </row>
    <row r="2140" spans="1:18" x14ac:dyDescent="0.25">
      <c r="A2140" s="170">
        <v>45155</v>
      </c>
      <c r="B2140" s="116">
        <v>1099.95</v>
      </c>
      <c r="C2140" s="116">
        <v>1083.425</v>
      </c>
      <c r="D2140" s="116">
        <v>1080.9475</v>
      </c>
      <c r="E2140" s="116">
        <v>1096.615</v>
      </c>
      <c r="F2140" s="116">
        <v>21668.5</v>
      </c>
      <c r="G2140">
        <v>1412</v>
      </c>
      <c r="H2140" s="116"/>
      <c r="I2140" s="116"/>
      <c r="L2140" s="170">
        <v>45155</v>
      </c>
      <c r="M2140" s="116">
        <v>1083.3724999999999</v>
      </c>
      <c r="N2140" s="116">
        <v>1101.415</v>
      </c>
      <c r="O2140" s="116">
        <v>1080.1199999999999</v>
      </c>
      <c r="P2140" s="116">
        <v>1095</v>
      </c>
      <c r="Q2140" s="116">
        <v>21667.45</v>
      </c>
      <c r="R2140">
        <v>69992</v>
      </c>
    </row>
    <row r="2141" spans="1:18" x14ac:dyDescent="0.25">
      <c r="A2141" s="170">
        <v>45156</v>
      </c>
      <c r="B2141" s="116">
        <v>1093.8475000000001</v>
      </c>
      <c r="C2141" s="116">
        <v>1091.6275000000001</v>
      </c>
      <c r="D2141" s="116">
        <v>1072.6375</v>
      </c>
      <c r="E2141" s="116">
        <v>1084.5</v>
      </c>
      <c r="F2141" s="116">
        <v>21832.55</v>
      </c>
      <c r="G2141">
        <v>1464</v>
      </c>
      <c r="H2141" s="116"/>
      <c r="I2141" s="116"/>
      <c r="L2141" s="170">
        <v>45156</v>
      </c>
      <c r="M2141" s="116">
        <v>1091.5</v>
      </c>
      <c r="N2141" s="116">
        <v>1094</v>
      </c>
      <c r="O2141" s="116">
        <v>1072.5</v>
      </c>
      <c r="P2141" s="116">
        <v>1083.3724999999999</v>
      </c>
      <c r="Q2141" s="116">
        <v>21830</v>
      </c>
      <c r="R2141">
        <v>65667</v>
      </c>
    </row>
    <row r="2142" spans="1:18" x14ac:dyDescent="0.25">
      <c r="A2142" s="170">
        <v>45159</v>
      </c>
      <c r="B2142" s="116">
        <v>1107.5</v>
      </c>
      <c r="C2142" s="116">
        <v>1101.9075</v>
      </c>
      <c r="D2142" s="116">
        <v>1090</v>
      </c>
      <c r="E2142" s="116">
        <v>1090.7</v>
      </c>
      <c r="F2142" s="116">
        <v>22038.15</v>
      </c>
      <c r="G2142">
        <v>1434</v>
      </c>
      <c r="H2142" s="116"/>
      <c r="I2142" s="116"/>
      <c r="L2142" s="170">
        <v>45159</v>
      </c>
      <c r="M2142" s="116">
        <v>1101.7175</v>
      </c>
      <c r="N2142" s="116">
        <v>1108.8050000000001</v>
      </c>
      <c r="O2142" s="116">
        <v>1086.7674999999999</v>
      </c>
      <c r="P2142" s="116">
        <v>1091.5</v>
      </c>
      <c r="Q2142" s="116">
        <v>22034.35</v>
      </c>
      <c r="R2142">
        <v>37096</v>
      </c>
    </row>
    <row r="2143" spans="1:18" x14ac:dyDescent="0.25">
      <c r="A2143" s="170">
        <v>45160</v>
      </c>
      <c r="B2143" s="116">
        <v>1104.575</v>
      </c>
      <c r="C2143" s="116">
        <v>1101.4000000000001</v>
      </c>
      <c r="D2143" s="116">
        <v>1095.2175</v>
      </c>
      <c r="E2143" s="116">
        <v>1103.4974999999999</v>
      </c>
      <c r="F2143" s="116">
        <v>22028</v>
      </c>
      <c r="G2143">
        <v>966</v>
      </c>
      <c r="H2143" s="116"/>
      <c r="I2143" s="116"/>
      <c r="L2143" s="170">
        <v>45160</v>
      </c>
      <c r="M2143" s="116">
        <v>1101.2974999999999</v>
      </c>
      <c r="N2143" s="116">
        <v>1104.6224999999999</v>
      </c>
      <c r="O2143" s="116">
        <v>1095.3025</v>
      </c>
      <c r="P2143" s="116">
        <v>1101.7175</v>
      </c>
      <c r="Q2143" s="116">
        <v>22025.95</v>
      </c>
      <c r="R2143">
        <v>40522</v>
      </c>
    </row>
    <row r="2144" spans="1:18" x14ac:dyDescent="0.25">
      <c r="A2144" s="170">
        <v>45161</v>
      </c>
      <c r="B2144" s="116">
        <v>1112.45</v>
      </c>
      <c r="C2144" s="116">
        <v>1109.43</v>
      </c>
      <c r="D2144" s="116">
        <v>1098.4875</v>
      </c>
      <c r="E2144" s="116">
        <v>1102.2</v>
      </c>
      <c r="F2144" s="116">
        <v>22188.6</v>
      </c>
      <c r="G2144">
        <v>1222</v>
      </c>
      <c r="H2144" s="116"/>
      <c r="I2144" s="116"/>
      <c r="L2144" s="170">
        <v>45161</v>
      </c>
      <c r="M2144" s="116">
        <v>1109.1575</v>
      </c>
      <c r="N2144" s="116">
        <v>1113.49</v>
      </c>
      <c r="O2144" s="116">
        <v>1097.5</v>
      </c>
      <c r="P2144" s="116">
        <v>1105</v>
      </c>
      <c r="Q2144" s="116">
        <v>22183.15</v>
      </c>
      <c r="R2144">
        <v>61378</v>
      </c>
    </row>
    <row r="2145" spans="1:18" x14ac:dyDescent="0.25">
      <c r="A2145" s="170">
        <v>45162</v>
      </c>
      <c r="B2145" s="116">
        <v>1114.3675000000001</v>
      </c>
      <c r="C2145" s="116">
        <v>1111.9675</v>
      </c>
      <c r="D2145" s="116">
        <v>1107.365</v>
      </c>
      <c r="E2145" s="116">
        <v>1110.0050000000001</v>
      </c>
      <c r="F2145" s="116">
        <v>22239.35</v>
      </c>
      <c r="G2145">
        <v>973</v>
      </c>
      <c r="H2145" s="116"/>
      <c r="I2145" s="116"/>
      <c r="L2145" s="170">
        <v>45162</v>
      </c>
      <c r="M2145" s="116">
        <v>1112.2449999999999</v>
      </c>
      <c r="N2145" s="116">
        <v>1114.5</v>
      </c>
      <c r="O2145" s="116">
        <v>1107.165</v>
      </c>
      <c r="P2145" s="116">
        <v>1114.1500000000001</v>
      </c>
      <c r="Q2145" s="116">
        <v>22244.9</v>
      </c>
      <c r="R2145">
        <v>46020</v>
      </c>
    </row>
    <row r="2146" spans="1:18" x14ac:dyDescent="0.25">
      <c r="A2146" s="170">
        <v>45163</v>
      </c>
      <c r="B2146" s="116">
        <v>1112.5450000000001</v>
      </c>
      <c r="C2146" s="116">
        <v>1110.7275</v>
      </c>
      <c r="D2146" s="116">
        <v>1105.8675000000001</v>
      </c>
      <c r="E2146" s="116">
        <v>1110.0999999999999</v>
      </c>
      <c r="F2146" s="116">
        <v>22214.55</v>
      </c>
      <c r="G2146">
        <v>442</v>
      </c>
      <c r="H2146" s="116"/>
      <c r="I2146" s="116"/>
      <c r="L2146" s="170">
        <v>45163</v>
      </c>
      <c r="M2146" s="116">
        <v>1109.425</v>
      </c>
      <c r="N2146" s="116">
        <v>1114.0225</v>
      </c>
      <c r="O2146" s="116">
        <v>1105.5625</v>
      </c>
      <c r="P2146" s="116">
        <v>1109.5</v>
      </c>
      <c r="Q2146" s="116">
        <v>22188.5</v>
      </c>
      <c r="R2146">
        <v>41964</v>
      </c>
    </row>
    <row r="2147" spans="1:18" x14ac:dyDescent="0.25">
      <c r="A2147" s="170">
        <v>45166</v>
      </c>
      <c r="B2147" s="116">
        <v>1109.425</v>
      </c>
      <c r="C2147" s="116">
        <v>1101.7249999999999</v>
      </c>
      <c r="D2147" s="116">
        <v>1099.7725</v>
      </c>
      <c r="E2147" s="116">
        <v>1109.425</v>
      </c>
      <c r="F2147" s="116">
        <v>22034.5</v>
      </c>
      <c r="G2147">
        <v>1162</v>
      </c>
      <c r="H2147" s="116"/>
      <c r="I2147" s="116"/>
      <c r="L2147" s="170">
        <v>45166</v>
      </c>
      <c r="M2147" s="116">
        <v>1101.7225000000001</v>
      </c>
      <c r="N2147" s="116">
        <v>1110.7275</v>
      </c>
      <c r="O2147" s="116">
        <v>1100</v>
      </c>
      <c r="P2147" s="116">
        <v>1109.575</v>
      </c>
      <c r="Q2147" s="116">
        <v>22034.45</v>
      </c>
      <c r="R2147">
        <v>41507</v>
      </c>
    </row>
    <row r="2148" spans="1:18" x14ac:dyDescent="0.25">
      <c r="A2148" s="170">
        <v>45167</v>
      </c>
      <c r="B2148" s="116">
        <v>1107.04</v>
      </c>
      <c r="C2148" s="116">
        <v>1103.4449999999999</v>
      </c>
      <c r="D2148" s="116">
        <v>1096.7750000000001</v>
      </c>
      <c r="E2148" s="116">
        <v>1104.425</v>
      </c>
      <c r="F2148" s="116">
        <v>22068.9</v>
      </c>
      <c r="G2148">
        <v>1237</v>
      </c>
      <c r="H2148" s="116"/>
      <c r="I2148" s="116"/>
      <c r="L2148" s="170">
        <v>45167</v>
      </c>
      <c r="M2148" s="116">
        <v>1103.1500000000001</v>
      </c>
      <c r="N2148" s="116">
        <v>1108.99</v>
      </c>
      <c r="O2148" s="116">
        <v>1097.5</v>
      </c>
      <c r="P2148" s="116">
        <v>1103.5225</v>
      </c>
      <c r="Q2148" s="116">
        <v>22063</v>
      </c>
      <c r="R2148">
        <v>52428</v>
      </c>
    </row>
    <row r="2149" spans="1:18" x14ac:dyDescent="0.25">
      <c r="A2149" s="170">
        <v>45168</v>
      </c>
      <c r="B2149" s="116">
        <v>1112.5</v>
      </c>
      <c r="C2149" s="116">
        <v>1109.8375000000001</v>
      </c>
      <c r="D2149" s="116">
        <v>1099.1575</v>
      </c>
      <c r="E2149" s="116">
        <v>1108</v>
      </c>
      <c r="F2149" s="116">
        <v>22196.75</v>
      </c>
      <c r="G2149">
        <v>681</v>
      </c>
      <c r="H2149" s="116"/>
      <c r="I2149" s="116"/>
      <c r="L2149" s="170">
        <v>45168</v>
      </c>
      <c r="M2149" s="116">
        <v>1109.925</v>
      </c>
      <c r="N2149" s="116">
        <v>1114</v>
      </c>
      <c r="O2149" s="116">
        <v>1100.5074999999999</v>
      </c>
      <c r="P2149" s="116">
        <v>1103.1500000000001</v>
      </c>
      <c r="Q2149" s="116">
        <v>22198.5</v>
      </c>
      <c r="R2149">
        <v>64832</v>
      </c>
    </row>
    <row r="2150" spans="1:18" x14ac:dyDescent="0.25">
      <c r="A2150" s="170">
        <v>45169</v>
      </c>
      <c r="B2150" s="116">
        <v>1114.4375</v>
      </c>
      <c r="C2150" s="116">
        <v>1099.5899999999999</v>
      </c>
      <c r="D2150" s="116">
        <v>1083.9000000000001</v>
      </c>
      <c r="E2150" s="116">
        <v>1110</v>
      </c>
      <c r="F2150" s="116">
        <v>21991.8</v>
      </c>
      <c r="G2150">
        <v>1505</v>
      </c>
      <c r="H2150" s="116"/>
      <c r="I2150" s="116"/>
      <c r="L2150" s="170">
        <v>45169</v>
      </c>
      <c r="M2150" s="116">
        <v>1099.32</v>
      </c>
      <c r="N2150" s="116">
        <v>1114.45</v>
      </c>
      <c r="O2150" s="116">
        <v>1083.5025000000001</v>
      </c>
      <c r="P2150" s="116">
        <v>1112.5</v>
      </c>
      <c r="Q2150" s="116">
        <v>21986.400000000001</v>
      </c>
      <c r="R2150">
        <v>233065</v>
      </c>
    </row>
    <row r="2151" spans="1:18" x14ac:dyDescent="0.25">
      <c r="A2151" s="170">
        <v>45170</v>
      </c>
      <c r="B2151" s="116">
        <v>1105</v>
      </c>
      <c r="C2151" s="116">
        <v>1095.2249999999999</v>
      </c>
      <c r="D2151" s="116">
        <v>1092.7175</v>
      </c>
      <c r="E2151" s="116">
        <v>1100.0050000000001</v>
      </c>
      <c r="F2151" s="116">
        <v>21904.5</v>
      </c>
      <c r="G2151">
        <v>1058</v>
      </c>
      <c r="H2151" s="116"/>
      <c r="I2151" s="116"/>
      <c r="L2151" s="170">
        <v>45170</v>
      </c>
      <c r="M2151" s="116">
        <v>1095.7774999999999</v>
      </c>
      <c r="N2151" s="116">
        <v>1105.4849999999999</v>
      </c>
      <c r="O2151" s="116">
        <v>1093</v>
      </c>
      <c r="P2151" s="116">
        <v>1102.5</v>
      </c>
      <c r="Q2151" s="116">
        <v>21915.55</v>
      </c>
      <c r="R2151">
        <v>35849</v>
      </c>
    </row>
    <row r="2152" spans="1:18" x14ac:dyDescent="0.25">
      <c r="A2152" s="170">
        <v>45173</v>
      </c>
      <c r="B2152" s="116">
        <v>1098.8724999999999</v>
      </c>
      <c r="C2152" s="116">
        <v>1086.8875</v>
      </c>
      <c r="D2152" s="116">
        <v>1082.5</v>
      </c>
      <c r="E2152" s="116">
        <v>1095.7774999999999</v>
      </c>
      <c r="F2152" s="116">
        <v>21737.75</v>
      </c>
      <c r="G2152">
        <v>1174</v>
      </c>
      <c r="H2152" s="116"/>
      <c r="I2152" s="116"/>
      <c r="L2152" s="170">
        <v>45173</v>
      </c>
      <c r="M2152" s="116">
        <v>1086.9100000000001</v>
      </c>
      <c r="N2152" s="116">
        <v>1098.9974999999999</v>
      </c>
      <c r="O2152" s="116">
        <v>1081.625</v>
      </c>
      <c r="P2152" s="116">
        <v>1098.76</v>
      </c>
      <c r="Q2152" s="116">
        <v>21738.2</v>
      </c>
      <c r="R2152">
        <v>74091</v>
      </c>
    </row>
    <row r="2153" spans="1:18" x14ac:dyDescent="0.25">
      <c r="A2153" s="170">
        <v>45174</v>
      </c>
      <c r="B2153" s="116">
        <v>1099.5675000000001</v>
      </c>
      <c r="C2153" s="116">
        <v>1097.7375</v>
      </c>
      <c r="D2153" s="116">
        <v>1088.9974999999999</v>
      </c>
      <c r="E2153" s="116">
        <v>1088.9974999999999</v>
      </c>
      <c r="F2153" s="116">
        <v>21954.75</v>
      </c>
      <c r="G2153">
        <v>819</v>
      </c>
      <c r="H2153" s="116"/>
      <c r="I2153" s="116"/>
      <c r="L2153" s="170">
        <v>45174</v>
      </c>
      <c r="M2153" s="116">
        <v>1097.7225000000001</v>
      </c>
      <c r="N2153" s="116">
        <v>1099.93</v>
      </c>
      <c r="O2153" s="116">
        <v>1087.7275</v>
      </c>
      <c r="P2153" s="116">
        <v>1087.7275</v>
      </c>
      <c r="Q2153" s="116">
        <v>21954.45</v>
      </c>
      <c r="R2153">
        <v>62313</v>
      </c>
    </row>
    <row r="2154" spans="1:18" x14ac:dyDescent="0.25">
      <c r="A2154" s="170">
        <v>45175</v>
      </c>
      <c r="B2154" s="116">
        <v>1105</v>
      </c>
      <c r="C2154" s="116">
        <v>1099.42</v>
      </c>
      <c r="D2154" s="116">
        <v>1088.8050000000001</v>
      </c>
      <c r="E2154" s="116">
        <v>1097.7249999999999</v>
      </c>
      <c r="F2154" s="116">
        <v>21988.400000000001</v>
      </c>
      <c r="G2154">
        <v>1823</v>
      </c>
      <c r="H2154" s="116"/>
      <c r="I2154" s="116"/>
      <c r="L2154" s="170">
        <v>45175</v>
      </c>
      <c r="M2154" s="116">
        <v>1100.2049999999999</v>
      </c>
      <c r="N2154" s="116">
        <v>1105</v>
      </c>
      <c r="O2154" s="116">
        <v>1088.73</v>
      </c>
      <c r="P2154" s="116">
        <v>1097.7225000000001</v>
      </c>
      <c r="Q2154" s="116">
        <v>22004.1</v>
      </c>
      <c r="R2154">
        <v>56292</v>
      </c>
    </row>
    <row r="2155" spans="1:18" x14ac:dyDescent="0.25">
      <c r="A2155" s="170">
        <v>45176</v>
      </c>
      <c r="B2155" s="116">
        <v>1099.9974999999999</v>
      </c>
      <c r="C2155" s="116">
        <v>1094.8074999999999</v>
      </c>
      <c r="D2155" s="116">
        <v>1092.0025000000001</v>
      </c>
      <c r="E2155" s="116">
        <v>1099.9974999999999</v>
      </c>
      <c r="F2155" s="116">
        <v>21896.15</v>
      </c>
      <c r="G2155">
        <v>247</v>
      </c>
      <c r="H2155" s="116"/>
      <c r="I2155" s="116"/>
      <c r="L2155" s="170">
        <v>45176</v>
      </c>
      <c r="M2155" s="116">
        <v>1094.8150000000001</v>
      </c>
      <c r="N2155" s="116">
        <v>1104.2550000000001</v>
      </c>
      <c r="O2155" s="116">
        <v>1091.1175000000001</v>
      </c>
      <c r="P2155" s="116">
        <v>1098.915</v>
      </c>
      <c r="Q2155" s="116">
        <v>21896.3</v>
      </c>
      <c r="R2155">
        <v>41159</v>
      </c>
    </row>
    <row r="2156" spans="1:18" x14ac:dyDescent="0.25">
      <c r="A2156" s="170">
        <v>45177</v>
      </c>
      <c r="B2156" s="116">
        <v>1096.8175000000001</v>
      </c>
      <c r="C2156" s="116">
        <v>1093.8800000000001</v>
      </c>
      <c r="D2156" s="116">
        <v>1090.3924999999999</v>
      </c>
      <c r="E2156" s="116">
        <v>1095.1025</v>
      </c>
      <c r="F2156" s="116">
        <v>21877.599999999999</v>
      </c>
      <c r="G2156">
        <v>690</v>
      </c>
      <c r="H2156" s="116"/>
      <c r="I2156" s="116"/>
      <c r="L2156" s="170">
        <v>45177</v>
      </c>
      <c r="M2156" s="116">
        <v>1094.1624999999999</v>
      </c>
      <c r="N2156" s="116">
        <v>1098.9675</v>
      </c>
      <c r="O2156" s="116">
        <v>1091.5</v>
      </c>
      <c r="P2156" s="116">
        <v>1097.3</v>
      </c>
      <c r="Q2156" s="116">
        <v>21883.25</v>
      </c>
      <c r="R2156">
        <v>30477</v>
      </c>
    </row>
    <row r="2157" spans="1:18" x14ac:dyDescent="0.25">
      <c r="A2157" s="170">
        <v>45180</v>
      </c>
      <c r="B2157" s="116">
        <v>1109.29</v>
      </c>
      <c r="C2157" s="116">
        <v>1105.675</v>
      </c>
      <c r="D2157" s="116">
        <v>1094</v>
      </c>
      <c r="E2157" s="116">
        <v>1095.0025000000001</v>
      </c>
      <c r="F2157" s="116">
        <v>22113.5</v>
      </c>
      <c r="G2157">
        <v>1479</v>
      </c>
      <c r="H2157" s="116"/>
      <c r="I2157" s="116"/>
      <c r="L2157" s="170">
        <v>45180</v>
      </c>
      <c r="M2157" s="116">
        <v>1106.3525</v>
      </c>
      <c r="N2157" s="116">
        <v>1109.9974999999999</v>
      </c>
      <c r="O2157" s="116">
        <v>1093.67</v>
      </c>
      <c r="P2157" s="116">
        <v>1095.5</v>
      </c>
      <c r="Q2157" s="116">
        <v>22127.05</v>
      </c>
      <c r="R2157">
        <v>46977</v>
      </c>
    </row>
    <row r="2158" spans="1:18" x14ac:dyDescent="0.25">
      <c r="A2158" s="170">
        <v>45181</v>
      </c>
      <c r="B2158" s="116">
        <v>1119.7474999999999</v>
      </c>
      <c r="C2158" s="116">
        <v>1116.0374999999999</v>
      </c>
      <c r="D2158" s="116">
        <v>1100.5074999999999</v>
      </c>
      <c r="E2158" s="116">
        <v>1105.0050000000001</v>
      </c>
      <c r="F2158" s="116">
        <v>22320.75</v>
      </c>
      <c r="G2158">
        <v>1115</v>
      </c>
      <c r="H2158" s="116"/>
      <c r="I2158" s="116"/>
      <c r="L2158" s="170">
        <v>45181</v>
      </c>
      <c r="M2158" s="116">
        <v>1115.8875</v>
      </c>
      <c r="N2158" s="116">
        <v>1119.75</v>
      </c>
      <c r="O2158" s="116">
        <v>1100.855</v>
      </c>
      <c r="P2158" s="116">
        <v>1106.7149999999999</v>
      </c>
      <c r="Q2158" s="116">
        <v>22317.75</v>
      </c>
      <c r="R2158">
        <v>49379</v>
      </c>
    </row>
    <row r="2159" spans="1:18" x14ac:dyDescent="0.25">
      <c r="A2159" s="170">
        <v>45182</v>
      </c>
      <c r="B2159" s="116">
        <v>1128.8675000000001</v>
      </c>
      <c r="C2159" s="116">
        <v>1109.3275000000001</v>
      </c>
      <c r="D2159" s="116">
        <v>1107.5</v>
      </c>
      <c r="E2159" s="116">
        <v>1113.6175000000001</v>
      </c>
      <c r="F2159" s="116">
        <v>22186.55</v>
      </c>
      <c r="G2159">
        <v>1655</v>
      </c>
      <c r="H2159" s="116"/>
      <c r="I2159" s="116"/>
      <c r="L2159" s="170">
        <v>45182</v>
      </c>
      <c r="M2159" s="116">
        <v>1108.99</v>
      </c>
      <c r="N2159" s="116">
        <v>1128.4575</v>
      </c>
      <c r="O2159" s="116">
        <v>1107.5025000000001</v>
      </c>
      <c r="P2159" s="116">
        <v>1113.7774999999999</v>
      </c>
      <c r="Q2159" s="116">
        <v>22179.8</v>
      </c>
      <c r="R2159">
        <v>50825</v>
      </c>
    </row>
    <row r="2160" spans="1:18" x14ac:dyDescent="0.25">
      <c r="A2160" s="170">
        <v>45183</v>
      </c>
      <c r="B2160" s="116">
        <v>1124.9949999999999</v>
      </c>
      <c r="C2160" s="116">
        <v>1124.0425</v>
      </c>
      <c r="D2160" s="116">
        <v>1108.2825</v>
      </c>
      <c r="E2160" s="116">
        <v>1112.885</v>
      </c>
      <c r="F2160" s="116">
        <v>22480.85</v>
      </c>
      <c r="G2160">
        <v>1339</v>
      </c>
      <c r="H2160" s="116"/>
      <c r="I2160" s="116"/>
      <c r="L2160" s="170">
        <v>45183</v>
      </c>
      <c r="M2160" s="116">
        <v>1123.885</v>
      </c>
      <c r="N2160" s="116">
        <v>1125.5</v>
      </c>
      <c r="O2160" s="116">
        <v>1107.8499999999999</v>
      </c>
      <c r="P2160" s="116">
        <v>1111.5</v>
      </c>
      <c r="Q2160" s="116">
        <v>22477.7</v>
      </c>
      <c r="R2160">
        <v>81056</v>
      </c>
    </row>
    <row r="2161" spans="1:18" x14ac:dyDescent="0.25">
      <c r="A2161" s="170">
        <v>45184</v>
      </c>
      <c r="B2161" s="116">
        <v>1135</v>
      </c>
      <c r="C2161" s="116">
        <v>1130.7075</v>
      </c>
      <c r="D2161" s="116">
        <v>1116.0625</v>
      </c>
      <c r="E2161" s="116">
        <v>1128.7249999999999</v>
      </c>
      <c r="F2161" s="116">
        <v>22614.15</v>
      </c>
      <c r="G2161">
        <v>2047</v>
      </c>
      <c r="H2161" s="116"/>
      <c r="I2161" s="116"/>
      <c r="L2161" s="170">
        <v>45184</v>
      </c>
      <c r="M2161" s="116">
        <v>1131.115</v>
      </c>
      <c r="N2161" s="116">
        <v>1135.05</v>
      </c>
      <c r="O2161" s="116">
        <v>1115.9475</v>
      </c>
      <c r="P2161" s="116">
        <v>1125</v>
      </c>
      <c r="Q2161" s="116">
        <v>22622.3</v>
      </c>
      <c r="R2161">
        <v>116141</v>
      </c>
    </row>
    <row r="2162" spans="1:18" x14ac:dyDescent="0.25">
      <c r="A2162" s="170">
        <v>45187</v>
      </c>
      <c r="B2162" s="116">
        <v>1141.9175</v>
      </c>
      <c r="C2162" s="116">
        <v>1140.4275</v>
      </c>
      <c r="D2162" s="116">
        <v>1122.585</v>
      </c>
      <c r="E2162" s="116">
        <v>1127.5025000000001</v>
      </c>
      <c r="F2162" s="116">
        <v>22808.55</v>
      </c>
      <c r="G2162">
        <v>855</v>
      </c>
      <c r="H2162" s="116"/>
      <c r="I2162" s="116"/>
      <c r="L2162" s="170">
        <v>45187</v>
      </c>
      <c r="M2162" s="116">
        <v>1140.97</v>
      </c>
      <c r="N2162" s="116">
        <v>1142</v>
      </c>
      <c r="O2162" s="116">
        <v>1122.6324999999999</v>
      </c>
      <c r="P2162" s="116">
        <v>1131</v>
      </c>
      <c r="Q2162" s="116">
        <v>22819.4</v>
      </c>
      <c r="R2162">
        <v>57532</v>
      </c>
    </row>
    <row r="2163" spans="1:18" x14ac:dyDescent="0.25">
      <c r="A2163" s="170">
        <v>45189</v>
      </c>
      <c r="B2163" s="116">
        <v>1141.3125</v>
      </c>
      <c r="C2163" s="116">
        <v>1133.8775000000001</v>
      </c>
      <c r="D2163" s="116">
        <v>1130</v>
      </c>
      <c r="E2163" s="116">
        <v>1134.9974999999999</v>
      </c>
      <c r="F2163" s="116">
        <v>22677.55</v>
      </c>
      <c r="G2163">
        <v>534</v>
      </c>
      <c r="H2163" s="116"/>
      <c r="I2163" s="116"/>
      <c r="L2163" s="170">
        <v>45189</v>
      </c>
      <c r="M2163" s="116">
        <v>1134.0125</v>
      </c>
      <c r="N2163" s="116">
        <v>1141.3275000000001</v>
      </c>
      <c r="O2163" s="116">
        <v>1127.8025</v>
      </c>
      <c r="P2163" s="116">
        <v>1127.8025</v>
      </c>
      <c r="Q2163" s="116">
        <v>22680.25</v>
      </c>
      <c r="R2163">
        <v>57450</v>
      </c>
    </row>
    <row r="2164" spans="1:18" x14ac:dyDescent="0.25">
      <c r="A2164" s="170">
        <v>45190</v>
      </c>
      <c r="B2164" s="116">
        <v>1129.6324999999999</v>
      </c>
      <c r="C2164" s="116">
        <v>1126.3025</v>
      </c>
      <c r="D2164" s="116">
        <v>1118.9525000000001</v>
      </c>
      <c r="E2164" s="116">
        <v>1127.8275000000001</v>
      </c>
      <c r="F2164" s="116">
        <v>22526.05</v>
      </c>
      <c r="G2164">
        <v>957</v>
      </c>
      <c r="H2164" s="116"/>
      <c r="I2164" s="116"/>
      <c r="L2164" s="170">
        <v>45190</v>
      </c>
      <c r="M2164" s="116">
        <v>1126.675</v>
      </c>
      <c r="N2164" s="116">
        <v>1133.4974999999999</v>
      </c>
      <c r="O2164" s="116">
        <v>1117.5</v>
      </c>
      <c r="P2164" s="116">
        <v>1132.9974999999999</v>
      </c>
      <c r="Q2164" s="116">
        <v>22533.5</v>
      </c>
      <c r="R2164">
        <v>46183</v>
      </c>
    </row>
    <row r="2165" spans="1:18" x14ac:dyDescent="0.25">
      <c r="A2165" s="170">
        <v>45191</v>
      </c>
      <c r="B2165" s="116">
        <v>1131.58</v>
      </c>
      <c r="C2165" s="116">
        <v>1127.1475</v>
      </c>
      <c r="D2165" s="116">
        <v>1120</v>
      </c>
      <c r="E2165" s="116">
        <v>1130</v>
      </c>
      <c r="F2165" s="116">
        <v>22542.95</v>
      </c>
      <c r="G2165">
        <v>424</v>
      </c>
      <c r="H2165" s="116"/>
      <c r="I2165" s="116"/>
      <c r="L2165" s="170">
        <v>45191</v>
      </c>
      <c r="M2165" s="116">
        <v>1126.625</v>
      </c>
      <c r="N2165" s="116">
        <v>1131.9974999999999</v>
      </c>
      <c r="O2165" s="116">
        <v>1119</v>
      </c>
      <c r="P2165" s="116">
        <v>1126</v>
      </c>
      <c r="Q2165" s="116">
        <v>22532.5</v>
      </c>
      <c r="R2165">
        <v>38301</v>
      </c>
    </row>
    <row r="2166" spans="1:18" x14ac:dyDescent="0.25">
      <c r="A2166" s="170">
        <v>45194</v>
      </c>
      <c r="B2166" s="116">
        <v>1135</v>
      </c>
      <c r="C2166" s="116">
        <v>1132.2625</v>
      </c>
      <c r="D2166" s="116">
        <v>1122.4925000000001</v>
      </c>
      <c r="E2166" s="116">
        <v>1126.625</v>
      </c>
      <c r="F2166" s="116">
        <v>22645.25</v>
      </c>
      <c r="G2166">
        <v>781</v>
      </c>
      <c r="H2166" s="116"/>
      <c r="I2166" s="116"/>
      <c r="L2166" s="170">
        <v>45194</v>
      </c>
      <c r="M2166" s="116">
        <v>1131.9375</v>
      </c>
      <c r="N2166" s="116">
        <v>1135.4349999999999</v>
      </c>
      <c r="O2166" s="116">
        <v>1122.55</v>
      </c>
      <c r="P2166" s="116">
        <v>1128.5</v>
      </c>
      <c r="Q2166" s="116">
        <v>22638.75</v>
      </c>
      <c r="R2166">
        <v>34427</v>
      </c>
    </row>
    <row r="2167" spans="1:18" x14ac:dyDescent="0.25">
      <c r="A2167" s="170">
        <v>45195</v>
      </c>
      <c r="B2167" s="116">
        <v>1152.5</v>
      </c>
      <c r="C2167" s="116">
        <v>1150.135</v>
      </c>
      <c r="D2167" s="116">
        <v>1130</v>
      </c>
      <c r="E2167" s="116">
        <v>1133.25</v>
      </c>
      <c r="F2167" s="116">
        <v>23002.7</v>
      </c>
      <c r="G2167">
        <v>2249</v>
      </c>
      <c r="H2167" s="116"/>
      <c r="I2167" s="116"/>
      <c r="L2167" s="170">
        <v>45195</v>
      </c>
      <c r="M2167" s="116">
        <v>1150.2774999999999</v>
      </c>
      <c r="N2167" s="116">
        <v>1153.145</v>
      </c>
      <c r="O2167" s="116">
        <v>1129.8025</v>
      </c>
      <c r="P2167" s="116">
        <v>1135</v>
      </c>
      <c r="Q2167" s="116">
        <v>23005.55</v>
      </c>
      <c r="R2167">
        <v>66001</v>
      </c>
    </row>
    <row r="2168" spans="1:18" x14ac:dyDescent="0.25">
      <c r="A2168" s="170">
        <v>45196</v>
      </c>
      <c r="B2168" s="116">
        <v>1149.635</v>
      </c>
      <c r="C2168" s="116">
        <v>1143.135</v>
      </c>
      <c r="D2168" s="116">
        <v>1137.6500000000001</v>
      </c>
      <c r="E2168" s="116">
        <v>1148.6375</v>
      </c>
      <c r="F2168" s="116">
        <v>22862.7</v>
      </c>
      <c r="G2168">
        <v>1033</v>
      </c>
      <c r="H2168" s="116"/>
      <c r="I2168" s="116"/>
      <c r="L2168" s="170">
        <v>45196</v>
      </c>
      <c r="M2168" s="116">
        <v>1143.6500000000001</v>
      </c>
      <c r="N2168" s="116">
        <v>1150.2774999999999</v>
      </c>
      <c r="O2168" s="116">
        <v>1137.0725</v>
      </c>
      <c r="P2168" s="116">
        <v>1150.25</v>
      </c>
      <c r="Q2168" s="116">
        <v>22873</v>
      </c>
      <c r="R2168">
        <v>41653</v>
      </c>
    </row>
    <row r="2169" spans="1:18" x14ac:dyDescent="0.25">
      <c r="A2169" s="170">
        <v>45197</v>
      </c>
      <c r="B2169" s="116">
        <v>1154.9475</v>
      </c>
      <c r="C2169" s="116">
        <v>1126.125</v>
      </c>
      <c r="D2169" s="116">
        <v>1122.5274999999999</v>
      </c>
      <c r="E2169" s="116">
        <v>1154.9475</v>
      </c>
      <c r="F2169" s="116">
        <v>22522.5</v>
      </c>
      <c r="G2169">
        <v>1214</v>
      </c>
      <c r="H2169" s="116"/>
      <c r="I2169" s="116"/>
      <c r="L2169" s="170">
        <v>45197</v>
      </c>
      <c r="M2169" s="116">
        <v>1126.9224999999999</v>
      </c>
      <c r="N2169" s="116">
        <v>1145.3975</v>
      </c>
      <c r="O2169" s="116">
        <v>1122.3900000000001</v>
      </c>
      <c r="P2169" s="116">
        <v>1145</v>
      </c>
      <c r="Q2169" s="116">
        <v>22538.45</v>
      </c>
      <c r="R2169">
        <v>51981</v>
      </c>
    </row>
    <row r="2170" spans="1:18" x14ac:dyDescent="0.25">
      <c r="A2170" s="170">
        <v>45198</v>
      </c>
      <c r="B2170" s="116">
        <v>1134.5</v>
      </c>
      <c r="C2170" s="116">
        <v>1124.6624999999999</v>
      </c>
      <c r="D2170" s="116">
        <v>1121.44</v>
      </c>
      <c r="E2170" s="116">
        <v>1126.1275000000001</v>
      </c>
      <c r="F2170" s="116">
        <v>22493.25</v>
      </c>
      <c r="G2170">
        <v>1082</v>
      </c>
      <c r="H2170" s="116"/>
      <c r="I2170" s="116"/>
      <c r="L2170" s="170">
        <v>45198</v>
      </c>
      <c r="M2170" s="116">
        <v>1125.345</v>
      </c>
      <c r="N2170" s="116">
        <v>1135.25</v>
      </c>
      <c r="O2170" s="116">
        <v>1121.5</v>
      </c>
      <c r="P2170" s="116">
        <v>1127.5474999999999</v>
      </c>
      <c r="Q2170" s="116">
        <v>22506.9</v>
      </c>
      <c r="R2170">
        <v>45229</v>
      </c>
    </row>
    <row r="2171" spans="1:18" x14ac:dyDescent="0.25">
      <c r="A2171" s="170">
        <v>45202</v>
      </c>
      <c r="B2171" s="116">
        <v>1128.94</v>
      </c>
      <c r="C2171" s="116">
        <v>1116.9075</v>
      </c>
      <c r="D2171" s="116">
        <v>1113.0425</v>
      </c>
      <c r="E2171" s="116">
        <v>1124.6575</v>
      </c>
      <c r="F2171" s="116">
        <v>22338.15</v>
      </c>
      <c r="G2171">
        <v>1156</v>
      </c>
      <c r="H2171" s="116"/>
      <c r="I2171" s="116"/>
      <c r="L2171" s="170">
        <v>45202</v>
      </c>
      <c r="M2171" s="116">
        <v>1115.7625</v>
      </c>
      <c r="N2171" s="116">
        <v>1129.7349999999999</v>
      </c>
      <c r="O2171" s="116">
        <v>1112.7574999999999</v>
      </c>
      <c r="P2171" s="116">
        <v>1125.345</v>
      </c>
      <c r="Q2171" s="116">
        <v>22315.25</v>
      </c>
      <c r="R2171">
        <v>50013</v>
      </c>
    </row>
    <row r="2172" spans="1:18" x14ac:dyDescent="0.25">
      <c r="A2172" s="170">
        <v>45203</v>
      </c>
      <c r="B2172" s="116">
        <v>1166.6824999999999</v>
      </c>
      <c r="C2172" s="116">
        <v>1149.4324999999999</v>
      </c>
      <c r="D2172" s="116">
        <v>1127.585</v>
      </c>
      <c r="E2172" s="116">
        <v>1144.9949999999999</v>
      </c>
      <c r="F2172" s="116">
        <v>22988.65</v>
      </c>
      <c r="G2172">
        <v>8506</v>
      </c>
      <c r="H2172" s="116"/>
      <c r="I2172" s="116"/>
      <c r="L2172" s="170">
        <v>45203</v>
      </c>
      <c r="M2172" s="116">
        <v>1149.31</v>
      </c>
      <c r="N2172" s="116">
        <v>1167.94</v>
      </c>
      <c r="O2172" s="116">
        <v>1127.55</v>
      </c>
      <c r="P2172" s="116">
        <v>1140.2525000000001</v>
      </c>
      <c r="Q2172" s="116">
        <v>22986.2</v>
      </c>
      <c r="R2172">
        <v>213488</v>
      </c>
    </row>
    <row r="2173" spans="1:18" x14ac:dyDescent="0.25">
      <c r="A2173" s="170">
        <v>45204</v>
      </c>
      <c r="B2173" s="116">
        <v>1157.4974999999999</v>
      </c>
      <c r="C2173" s="116">
        <v>1146.165</v>
      </c>
      <c r="D2173" s="116">
        <v>1138.9349999999999</v>
      </c>
      <c r="E2173" s="116">
        <v>1157.4974999999999</v>
      </c>
      <c r="F2173" s="116">
        <v>22923.3</v>
      </c>
      <c r="G2173">
        <v>2453</v>
      </c>
      <c r="H2173" s="116"/>
      <c r="I2173" s="116"/>
      <c r="L2173" s="170">
        <v>45204</v>
      </c>
      <c r="M2173" s="116">
        <v>1145.9349999999999</v>
      </c>
      <c r="N2173" s="116">
        <v>1155.3599999999999</v>
      </c>
      <c r="O2173" s="116">
        <v>1138.75</v>
      </c>
      <c r="P2173" s="116">
        <v>1150.25</v>
      </c>
      <c r="Q2173" s="116">
        <v>22918.7</v>
      </c>
      <c r="R2173">
        <v>68000</v>
      </c>
    </row>
    <row r="2174" spans="1:18" x14ac:dyDescent="0.25">
      <c r="A2174" s="170">
        <v>45205</v>
      </c>
      <c r="B2174" s="116">
        <v>1153.095</v>
      </c>
      <c r="C2174" s="116">
        <v>1145.7974999999999</v>
      </c>
      <c r="D2174" s="116">
        <v>1140.6224999999999</v>
      </c>
      <c r="E2174" s="116">
        <v>1148</v>
      </c>
      <c r="F2174" s="116">
        <v>22915.95</v>
      </c>
      <c r="G2174">
        <v>1871</v>
      </c>
      <c r="H2174" s="116"/>
      <c r="I2174" s="116"/>
      <c r="L2174" s="170">
        <v>45205</v>
      </c>
      <c r="M2174" s="116">
        <v>1145.6125</v>
      </c>
      <c r="N2174" s="116">
        <v>1153.3800000000001</v>
      </c>
      <c r="O2174" s="116">
        <v>1140.7449999999999</v>
      </c>
      <c r="P2174" s="116">
        <v>1149.4974999999999</v>
      </c>
      <c r="Q2174" s="116">
        <v>22912.25</v>
      </c>
      <c r="R2174">
        <v>38812</v>
      </c>
    </row>
    <row r="2175" spans="1:18" x14ac:dyDescent="0.25">
      <c r="A2175" s="170">
        <v>45208</v>
      </c>
      <c r="B2175" s="116">
        <v>1148.9675</v>
      </c>
      <c r="C2175" s="116">
        <v>1143.7625</v>
      </c>
      <c r="D2175" s="116">
        <v>1139.635</v>
      </c>
      <c r="E2175" s="116">
        <v>1142.4649999999999</v>
      </c>
      <c r="F2175" s="116">
        <v>22875.25</v>
      </c>
      <c r="G2175">
        <v>1519</v>
      </c>
      <c r="H2175" s="116"/>
      <c r="I2175" s="116"/>
      <c r="L2175" s="170">
        <v>45208</v>
      </c>
      <c r="M2175" s="116">
        <v>1144.0925</v>
      </c>
      <c r="N2175" s="116">
        <v>1149.04</v>
      </c>
      <c r="O2175" s="116">
        <v>1140</v>
      </c>
      <c r="P2175" s="116">
        <v>1140.6025</v>
      </c>
      <c r="Q2175" s="116">
        <v>22881.85</v>
      </c>
      <c r="R2175">
        <v>23755</v>
      </c>
    </row>
    <row r="2176" spans="1:18" x14ac:dyDescent="0.25">
      <c r="A2176" s="170">
        <v>45209</v>
      </c>
      <c r="B2176" s="116">
        <v>1150</v>
      </c>
      <c r="C2176" s="116">
        <v>1147.5899999999999</v>
      </c>
      <c r="D2176" s="116">
        <v>1141.69</v>
      </c>
      <c r="E2176" s="116">
        <v>1147.5025000000001</v>
      </c>
      <c r="F2176" s="116">
        <v>22951.8</v>
      </c>
      <c r="G2176">
        <v>1550</v>
      </c>
      <c r="H2176" s="116"/>
      <c r="I2176" s="116"/>
      <c r="L2176" s="170">
        <v>45209</v>
      </c>
      <c r="M2176" s="116">
        <v>1148.4024999999999</v>
      </c>
      <c r="N2176" s="116">
        <v>1150.8499999999999</v>
      </c>
      <c r="O2176" s="116">
        <v>1141.2674999999999</v>
      </c>
      <c r="P2176" s="116">
        <v>1148</v>
      </c>
      <c r="Q2176" s="116">
        <v>22968.05</v>
      </c>
      <c r="R2176">
        <v>39663</v>
      </c>
    </row>
    <row r="2177" spans="1:18" x14ac:dyDescent="0.25">
      <c r="A2177" s="170">
        <v>45210</v>
      </c>
      <c r="B2177" s="116">
        <v>1162.6224999999999</v>
      </c>
      <c r="C2177" s="116">
        <v>1159.9000000000001</v>
      </c>
      <c r="D2177" s="116">
        <v>1147.3699999999999</v>
      </c>
      <c r="E2177" s="116">
        <v>1150</v>
      </c>
      <c r="F2177" s="116">
        <v>23198</v>
      </c>
      <c r="G2177">
        <v>1558</v>
      </c>
      <c r="H2177" s="116"/>
      <c r="I2177" s="116"/>
      <c r="L2177" s="170">
        <v>45210</v>
      </c>
      <c r="M2177" s="116">
        <v>1160.1025</v>
      </c>
      <c r="N2177" s="116">
        <v>1163.6949999999999</v>
      </c>
      <c r="O2177" s="116">
        <v>1146.5</v>
      </c>
      <c r="P2177" s="116">
        <v>1148.4024999999999</v>
      </c>
      <c r="Q2177" s="116">
        <v>23202.05</v>
      </c>
      <c r="R2177">
        <v>67338</v>
      </c>
    </row>
    <row r="2178" spans="1:18" x14ac:dyDescent="0.25">
      <c r="A2178" s="170">
        <v>45211</v>
      </c>
      <c r="B2178" s="116">
        <v>1163.9375</v>
      </c>
      <c r="C2178" s="116">
        <v>1153.8150000000001</v>
      </c>
      <c r="D2178" s="116">
        <v>1148.9625000000001</v>
      </c>
      <c r="E2178" s="116">
        <v>1162</v>
      </c>
      <c r="F2178" s="116">
        <v>23076.3</v>
      </c>
      <c r="G2178">
        <v>1379</v>
      </c>
      <c r="H2178" s="116"/>
      <c r="I2178" s="116"/>
      <c r="L2178" s="170">
        <v>45211</v>
      </c>
      <c r="M2178" s="116">
        <v>1153.7574999999999</v>
      </c>
      <c r="N2178" s="116">
        <v>1165</v>
      </c>
      <c r="O2178" s="116">
        <v>1148.1025</v>
      </c>
      <c r="P2178" s="116">
        <v>1161.1500000000001</v>
      </c>
      <c r="Q2178" s="116">
        <v>23075.15</v>
      </c>
      <c r="R2178">
        <v>54222</v>
      </c>
    </row>
    <row r="2179" spans="1:18" x14ac:dyDescent="0.25">
      <c r="A2179" s="170">
        <v>45212</v>
      </c>
      <c r="B2179" s="116">
        <v>1179.95</v>
      </c>
      <c r="C2179" s="116">
        <v>1177.135</v>
      </c>
      <c r="D2179" s="116">
        <v>1147.3425</v>
      </c>
      <c r="E2179" s="116">
        <v>1154.9475</v>
      </c>
      <c r="F2179" s="116">
        <v>23542.7</v>
      </c>
      <c r="G2179">
        <v>4799</v>
      </c>
      <c r="H2179" s="116"/>
      <c r="I2179" s="116"/>
      <c r="L2179" s="170">
        <v>45212</v>
      </c>
      <c r="M2179" s="116">
        <v>1177.7175</v>
      </c>
      <c r="N2179" s="116">
        <v>1179.9925000000001</v>
      </c>
      <c r="O2179" s="116">
        <v>1147.77</v>
      </c>
      <c r="P2179" s="116">
        <v>1153.7525000000001</v>
      </c>
      <c r="Q2179" s="116">
        <v>23554.35</v>
      </c>
      <c r="R2179">
        <v>90791</v>
      </c>
    </row>
    <row r="2180" spans="1:18" x14ac:dyDescent="0.25">
      <c r="A2180" s="170">
        <v>45215</v>
      </c>
      <c r="B2180" s="116">
        <v>1177.0999999999999</v>
      </c>
      <c r="C2180" s="116">
        <v>1155.4349999999999</v>
      </c>
      <c r="D2180" s="116">
        <v>1149.2574999999999</v>
      </c>
      <c r="E2180" s="116">
        <v>1177.0525</v>
      </c>
      <c r="F2180" s="116">
        <v>23108.7</v>
      </c>
      <c r="G2180">
        <v>2135</v>
      </c>
      <c r="H2180" s="116"/>
      <c r="I2180" s="116"/>
      <c r="L2180" s="170">
        <v>45215</v>
      </c>
      <c r="M2180" s="116">
        <v>1155.4275</v>
      </c>
      <c r="N2180" s="116">
        <v>1177.5</v>
      </c>
      <c r="O2180" s="116">
        <v>1148.7525000000001</v>
      </c>
      <c r="P2180" s="116">
        <v>1177.5</v>
      </c>
      <c r="Q2180" s="116">
        <v>23108.55</v>
      </c>
      <c r="R2180">
        <v>86608</v>
      </c>
    </row>
    <row r="2181" spans="1:18" x14ac:dyDescent="0.25">
      <c r="A2181" s="170">
        <v>45216</v>
      </c>
      <c r="B2181" s="116">
        <v>1167.5</v>
      </c>
      <c r="C2181" s="116">
        <v>1165.8875</v>
      </c>
      <c r="D2181" s="116">
        <v>1157.2</v>
      </c>
      <c r="E2181" s="116">
        <v>1157.3499999999999</v>
      </c>
      <c r="F2181" s="116">
        <v>23317.75</v>
      </c>
      <c r="G2181">
        <v>2347</v>
      </c>
      <c r="H2181" s="116"/>
      <c r="I2181" s="116"/>
      <c r="L2181" s="170">
        <v>45216</v>
      </c>
      <c r="M2181" s="116">
        <v>1166.2650000000001</v>
      </c>
      <c r="N2181" s="116">
        <v>1168.1099999999999</v>
      </c>
      <c r="O2181" s="116">
        <v>1156.5</v>
      </c>
      <c r="P2181" s="116">
        <v>1156.5</v>
      </c>
      <c r="Q2181" s="116">
        <v>23325.3</v>
      </c>
      <c r="R2181">
        <v>38166</v>
      </c>
    </row>
    <row r="2182" spans="1:18" x14ac:dyDescent="0.25">
      <c r="A2182" s="170">
        <v>45217</v>
      </c>
      <c r="B2182" s="116">
        <v>1172.5</v>
      </c>
      <c r="C2182" s="116">
        <v>1163.4825000000001</v>
      </c>
      <c r="D2182" s="116">
        <v>1159.42</v>
      </c>
      <c r="E2182" s="116">
        <v>1162.8025</v>
      </c>
      <c r="F2182" s="116">
        <v>23269.65</v>
      </c>
      <c r="G2182">
        <v>911</v>
      </c>
      <c r="H2182" s="116"/>
      <c r="I2182" s="116"/>
      <c r="L2182" s="170">
        <v>45217</v>
      </c>
      <c r="M2182" s="116">
        <v>1163.1475</v>
      </c>
      <c r="N2182" s="116">
        <v>1172.3575000000001</v>
      </c>
      <c r="O2182" s="116">
        <v>1160</v>
      </c>
      <c r="P2182" s="116">
        <v>1166.2650000000001</v>
      </c>
      <c r="Q2182" s="116">
        <v>23262.95</v>
      </c>
      <c r="R2182">
        <v>35671</v>
      </c>
    </row>
    <row r="2183" spans="1:18" x14ac:dyDescent="0.25">
      <c r="A2183" s="170">
        <v>45218</v>
      </c>
      <c r="B2183" s="116">
        <v>1211.4375</v>
      </c>
      <c r="C2183" s="116">
        <v>1206.0999999999999</v>
      </c>
      <c r="D2183" s="116">
        <v>1155</v>
      </c>
      <c r="E2183" s="116">
        <v>1163.9949999999999</v>
      </c>
      <c r="F2183" s="116">
        <v>24122</v>
      </c>
      <c r="G2183">
        <v>8661</v>
      </c>
      <c r="H2183" s="116"/>
      <c r="I2183" s="116"/>
      <c r="L2183" s="170">
        <v>45218</v>
      </c>
      <c r="M2183" s="116">
        <v>1206.6175000000001</v>
      </c>
      <c r="N2183" s="116">
        <v>1211.3499999999999</v>
      </c>
      <c r="O2183" s="116">
        <v>1155.0250000000001</v>
      </c>
      <c r="P2183" s="116">
        <v>1162.845</v>
      </c>
      <c r="Q2183" s="116">
        <v>24132.35</v>
      </c>
      <c r="R2183">
        <v>292412</v>
      </c>
    </row>
    <row r="2184" spans="1:18" x14ac:dyDescent="0.25">
      <c r="A2184" s="170">
        <v>45219</v>
      </c>
      <c r="B2184" s="116">
        <v>1236.7750000000001</v>
      </c>
      <c r="C2184" s="116">
        <v>1213.33</v>
      </c>
      <c r="D2184" s="116">
        <v>1200.825</v>
      </c>
      <c r="E2184" s="116">
        <v>1206.9974999999999</v>
      </c>
      <c r="F2184" s="116">
        <v>24266.6</v>
      </c>
      <c r="G2184">
        <v>15128</v>
      </c>
      <c r="H2184" s="116"/>
      <c r="I2184" s="116"/>
      <c r="L2184" s="170">
        <v>45219</v>
      </c>
      <c r="M2184" s="116">
        <v>1213.9849999999999</v>
      </c>
      <c r="N2184" s="116">
        <v>1237.25</v>
      </c>
      <c r="O2184" s="116">
        <v>1200.0899999999999</v>
      </c>
      <c r="P2184" s="116">
        <v>1204.9974999999999</v>
      </c>
      <c r="Q2184" s="116">
        <v>24279.7</v>
      </c>
      <c r="R2184">
        <v>207934</v>
      </c>
    </row>
    <row r="2185" spans="1:18" x14ac:dyDescent="0.25">
      <c r="A2185" s="170">
        <v>45222</v>
      </c>
      <c r="B2185" s="116">
        <v>1232.8399999999999</v>
      </c>
      <c r="C2185" s="116">
        <v>1209.4925000000001</v>
      </c>
      <c r="D2185" s="116">
        <v>1204.3325</v>
      </c>
      <c r="E2185" s="116">
        <v>1217.4475</v>
      </c>
      <c r="F2185" s="116">
        <v>24189.85</v>
      </c>
      <c r="G2185">
        <v>3535</v>
      </c>
      <c r="H2185" s="116"/>
      <c r="I2185" s="116"/>
      <c r="L2185" s="170">
        <v>45222</v>
      </c>
      <c r="M2185" s="116">
        <v>1209.8875</v>
      </c>
      <c r="N2185" s="116">
        <v>1233.7474999999999</v>
      </c>
      <c r="O2185" s="116">
        <v>1206.4175</v>
      </c>
      <c r="P2185" s="116">
        <v>1215</v>
      </c>
      <c r="Q2185" s="116">
        <v>24197.75</v>
      </c>
      <c r="R2185">
        <v>79230</v>
      </c>
    </row>
    <row r="2186" spans="1:18" x14ac:dyDescent="0.25">
      <c r="A2186" s="170">
        <v>45224</v>
      </c>
      <c r="B2186" s="116">
        <v>1226.8</v>
      </c>
      <c r="C2186" s="116">
        <v>1212.405</v>
      </c>
      <c r="D2186" s="116">
        <v>1209.0325</v>
      </c>
      <c r="E2186" s="116">
        <v>1215</v>
      </c>
      <c r="F2186" s="116">
        <v>24248.1</v>
      </c>
      <c r="G2186">
        <v>2095</v>
      </c>
      <c r="H2186" s="116"/>
      <c r="I2186" s="116"/>
      <c r="L2186" s="170">
        <v>45224</v>
      </c>
      <c r="M2186" s="116">
        <v>1213.135</v>
      </c>
      <c r="N2186" s="116">
        <v>1226.4849999999999</v>
      </c>
      <c r="O2186" s="116">
        <v>1207.655</v>
      </c>
      <c r="P2186" s="116">
        <v>1214</v>
      </c>
      <c r="Q2186" s="116">
        <v>24262.7</v>
      </c>
      <c r="R2186">
        <v>111350</v>
      </c>
    </row>
    <row r="2187" spans="1:18" x14ac:dyDescent="0.25">
      <c r="A2187" s="170">
        <v>45225</v>
      </c>
      <c r="B2187" s="116">
        <v>1212.405</v>
      </c>
      <c r="C2187" s="116">
        <v>1178.3800000000001</v>
      </c>
      <c r="D2187" s="116">
        <v>1172.08</v>
      </c>
      <c r="E2187" s="116">
        <v>1212.405</v>
      </c>
      <c r="F2187" s="116">
        <v>23567.599999999999</v>
      </c>
      <c r="G2187">
        <v>10512</v>
      </c>
      <c r="H2187" s="116"/>
      <c r="I2187" s="116"/>
      <c r="L2187" s="170">
        <v>45225</v>
      </c>
      <c r="M2187" s="116">
        <v>1177.28</v>
      </c>
      <c r="N2187" s="116">
        <v>1213.03</v>
      </c>
      <c r="O2187" s="116">
        <v>1171.05</v>
      </c>
      <c r="P2187" s="116">
        <v>1213</v>
      </c>
      <c r="Q2187" s="116">
        <v>23545.599999999999</v>
      </c>
      <c r="R2187">
        <v>126940</v>
      </c>
    </row>
    <row r="2188" spans="1:18" x14ac:dyDescent="0.25">
      <c r="A2188" s="170">
        <v>45226</v>
      </c>
      <c r="B2188" s="116">
        <v>1211.25</v>
      </c>
      <c r="C2188" s="116">
        <v>1202.8975</v>
      </c>
      <c r="D2188" s="116">
        <v>1171.7774999999999</v>
      </c>
      <c r="E2188" s="116">
        <v>1177.75</v>
      </c>
      <c r="F2188" s="116">
        <v>24057.95</v>
      </c>
      <c r="G2188">
        <v>2966</v>
      </c>
      <c r="H2188" s="116"/>
      <c r="I2188" s="116"/>
      <c r="L2188" s="170">
        <v>45226</v>
      </c>
      <c r="M2188" s="116">
        <v>1202.8475000000001</v>
      </c>
      <c r="N2188" s="116">
        <v>1211.4000000000001</v>
      </c>
      <c r="O2188" s="116">
        <v>1172.0174999999999</v>
      </c>
      <c r="P2188" s="116">
        <v>1177.5250000000001</v>
      </c>
      <c r="Q2188" s="116">
        <v>24056.95</v>
      </c>
      <c r="R2188">
        <v>130437</v>
      </c>
    </row>
    <row r="2189" spans="1:18" x14ac:dyDescent="0.25">
      <c r="A2189" s="170">
        <v>45229</v>
      </c>
      <c r="B2189" s="116">
        <v>1210.7474999999999</v>
      </c>
      <c r="C2189" s="116">
        <v>1208.42</v>
      </c>
      <c r="D2189" s="116">
        <v>1193.5</v>
      </c>
      <c r="E2189" s="116">
        <v>1204.8</v>
      </c>
      <c r="F2189" s="116">
        <v>24168.400000000001</v>
      </c>
      <c r="G2189">
        <v>2457</v>
      </c>
      <c r="H2189" s="116"/>
      <c r="I2189" s="116"/>
      <c r="L2189" s="170">
        <v>45229</v>
      </c>
      <c r="M2189" s="116">
        <v>1208.585</v>
      </c>
      <c r="N2189" s="116">
        <v>1212.5</v>
      </c>
      <c r="O2189" s="116">
        <v>1193.2525000000001</v>
      </c>
      <c r="P2189" s="116">
        <v>1205</v>
      </c>
      <c r="Q2189" s="116">
        <v>24171.7</v>
      </c>
      <c r="R2189">
        <v>72614</v>
      </c>
    </row>
    <row r="2190" spans="1:18" x14ac:dyDescent="0.25">
      <c r="A2190" s="170">
        <v>45230</v>
      </c>
      <c r="B2190" s="116">
        <v>1219.9949999999999</v>
      </c>
      <c r="C2190" s="116">
        <v>1211.9649999999999</v>
      </c>
      <c r="D2190" s="116">
        <v>1207.5425</v>
      </c>
      <c r="E2190" s="116">
        <v>1217.4974999999999</v>
      </c>
      <c r="F2190" s="116">
        <v>24239.3</v>
      </c>
      <c r="G2190">
        <v>1521</v>
      </c>
      <c r="H2190" s="116"/>
      <c r="I2190" s="116"/>
      <c r="L2190" s="170">
        <v>45230</v>
      </c>
      <c r="M2190" s="116">
        <v>1211.74</v>
      </c>
      <c r="N2190" s="116">
        <v>1216.5</v>
      </c>
      <c r="O2190" s="116">
        <v>1206.1025</v>
      </c>
      <c r="P2190" s="116">
        <v>1215</v>
      </c>
      <c r="Q2190" s="116">
        <v>24234.799999999999</v>
      </c>
      <c r="R2190">
        <v>51639</v>
      </c>
    </row>
    <row r="2191" spans="1:18" x14ac:dyDescent="0.25">
      <c r="A2191" s="170">
        <v>45231</v>
      </c>
      <c r="B2191" s="116">
        <v>1209.5625</v>
      </c>
      <c r="C2191" s="116">
        <v>1193.4649999999999</v>
      </c>
      <c r="D2191" s="116">
        <v>1189.18</v>
      </c>
      <c r="E2191" s="116">
        <v>1208.5025000000001</v>
      </c>
      <c r="F2191" s="116">
        <v>23869.3</v>
      </c>
      <c r="G2191">
        <v>2459</v>
      </c>
      <c r="H2191" s="116"/>
      <c r="I2191" s="116"/>
      <c r="L2191" s="170">
        <v>45231</v>
      </c>
      <c r="M2191" s="116">
        <v>1193.635</v>
      </c>
      <c r="N2191" s="116">
        <v>1210.0025000000001</v>
      </c>
      <c r="O2191" s="116">
        <v>1189</v>
      </c>
      <c r="P2191" s="116">
        <v>1210</v>
      </c>
      <c r="Q2191" s="116">
        <v>23872.7</v>
      </c>
      <c r="R2191">
        <v>63690</v>
      </c>
    </row>
    <row r="2192" spans="1:18" x14ac:dyDescent="0.25">
      <c r="A2192" s="170">
        <v>45232</v>
      </c>
      <c r="B2192" s="116">
        <v>1206.75</v>
      </c>
      <c r="C2192" s="116">
        <v>1205.6475</v>
      </c>
      <c r="D2192" s="116">
        <v>1188.6400000000001</v>
      </c>
      <c r="E2192" s="116">
        <v>1199</v>
      </c>
      <c r="F2192" s="116">
        <v>24112.95</v>
      </c>
      <c r="G2192">
        <v>1464</v>
      </c>
      <c r="H2192" s="116"/>
      <c r="I2192" s="116"/>
      <c r="L2192" s="170">
        <v>45232</v>
      </c>
      <c r="M2192" s="116">
        <v>1205.5899999999999</v>
      </c>
      <c r="N2192" s="116">
        <v>1207.49</v>
      </c>
      <c r="O2192" s="116">
        <v>1188.655</v>
      </c>
      <c r="P2192" s="116">
        <v>1199.51</v>
      </c>
      <c r="Q2192" s="116">
        <v>24111.8</v>
      </c>
      <c r="R2192">
        <v>107068</v>
      </c>
    </row>
    <row r="2193" spans="1:18" x14ac:dyDescent="0.25">
      <c r="A2193" s="170">
        <v>45233</v>
      </c>
      <c r="B2193" s="116">
        <v>1211.075</v>
      </c>
      <c r="C2193" s="116">
        <v>1199.2474999999999</v>
      </c>
      <c r="D2193" s="116">
        <v>1196.83</v>
      </c>
      <c r="E2193" s="116">
        <v>1211.075</v>
      </c>
      <c r="F2193" s="116">
        <v>23984.95</v>
      </c>
      <c r="G2193">
        <v>1823</v>
      </c>
      <c r="H2193" s="116"/>
      <c r="I2193" s="116"/>
      <c r="L2193" s="170">
        <v>45233</v>
      </c>
      <c r="M2193" s="116">
        <v>1199.9525000000001</v>
      </c>
      <c r="N2193" s="116">
        <v>1210</v>
      </c>
      <c r="O2193" s="116">
        <v>1198.8425</v>
      </c>
      <c r="P2193" s="116">
        <v>1207.145</v>
      </c>
      <c r="Q2193" s="116">
        <v>23999.05</v>
      </c>
      <c r="R2193">
        <v>47714</v>
      </c>
    </row>
    <row r="2194" spans="1:18" x14ac:dyDescent="0.25">
      <c r="A2194" s="170">
        <v>45236</v>
      </c>
      <c r="B2194" s="116">
        <v>1219.4425000000001</v>
      </c>
      <c r="C2194" s="116">
        <v>1213.365</v>
      </c>
      <c r="D2194" s="116">
        <v>1204.19</v>
      </c>
      <c r="E2194" s="116">
        <v>1211.7425000000001</v>
      </c>
      <c r="F2194" s="116">
        <v>24267.3</v>
      </c>
      <c r="G2194">
        <v>974</v>
      </c>
      <c r="H2194" s="116"/>
      <c r="I2194" s="116"/>
      <c r="L2194" s="170">
        <v>45236</v>
      </c>
      <c r="M2194" s="116">
        <v>1214.4775</v>
      </c>
      <c r="N2194" s="116">
        <v>1219.5250000000001</v>
      </c>
      <c r="O2194" s="116">
        <v>1202.9349999999999</v>
      </c>
      <c r="P2194" s="116">
        <v>1207.5025000000001</v>
      </c>
      <c r="Q2194" s="116">
        <v>24289.55</v>
      </c>
      <c r="R2194">
        <v>74276</v>
      </c>
    </row>
    <row r="2195" spans="1:18" x14ac:dyDescent="0.25">
      <c r="A2195" s="170">
        <v>45237</v>
      </c>
      <c r="B2195" s="116">
        <v>1223.6275000000001</v>
      </c>
      <c r="C2195" s="116">
        <v>1218.115</v>
      </c>
      <c r="D2195" s="116">
        <v>1210.2774999999999</v>
      </c>
      <c r="E2195" s="116">
        <v>1215.9974999999999</v>
      </c>
      <c r="F2195" s="116">
        <v>24362.3</v>
      </c>
      <c r="G2195">
        <v>2906</v>
      </c>
      <c r="H2195" s="116"/>
      <c r="I2195" s="116"/>
      <c r="L2195" s="170">
        <v>45237</v>
      </c>
      <c r="M2195" s="116">
        <v>1218.4749999999999</v>
      </c>
      <c r="N2195" s="116">
        <v>1224</v>
      </c>
      <c r="O2195" s="116">
        <v>1206.0025000000001</v>
      </c>
      <c r="P2195" s="116">
        <v>1214.3499999999999</v>
      </c>
      <c r="Q2195" s="116">
        <v>24369.5</v>
      </c>
      <c r="R2195">
        <v>52965</v>
      </c>
    </row>
    <row r="2196" spans="1:18" x14ac:dyDescent="0.25">
      <c r="A2196" s="170">
        <v>45238</v>
      </c>
      <c r="B2196" s="116">
        <v>1220.3050000000001</v>
      </c>
      <c r="C2196" s="116">
        <v>1213.92</v>
      </c>
      <c r="D2196" s="116">
        <v>1210.7025000000001</v>
      </c>
      <c r="E2196" s="116">
        <v>1219.7974999999999</v>
      </c>
      <c r="F2196" s="116">
        <v>24278.400000000001</v>
      </c>
      <c r="G2196">
        <v>3559</v>
      </c>
      <c r="H2196" s="116"/>
      <c r="I2196" s="116"/>
      <c r="L2196" s="170">
        <v>45238</v>
      </c>
      <c r="M2196" s="116">
        <v>1214.0775000000001</v>
      </c>
      <c r="N2196" s="116">
        <v>1220.635</v>
      </c>
      <c r="O2196" s="116">
        <v>1211.0025000000001</v>
      </c>
      <c r="P2196" s="116">
        <v>1218.4525000000001</v>
      </c>
      <c r="Q2196" s="116">
        <v>24281.55</v>
      </c>
      <c r="R2196">
        <v>36305</v>
      </c>
    </row>
    <row r="2197" spans="1:18" x14ac:dyDescent="0.25">
      <c r="A2197" s="170">
        <v>45239</v>
      </c>
      <c r="B2197" s="116">
        <v>1219.95</v>
      </c>
      <c r="C2197" s="116">
        <v>1211.3975</v>
      </c>
      <c r="D2197" s="116">
        <v>1209.8724999999999</v>
      </c>
      <c r="E2197" s="116">
        <v>1219</v>
      </c>
      <c r="F2197" s="116">
        <v>24227.95</v>
      </c>
      <c r="G2197">
        <v>666</v>
      </c>
      <c r="H2197" s="116"/>
      <c r="I2197" s="116"/>
      <c r="L2197" s="170">
        <v>45239</v>
      </c>
      <c r="M2197" s="116">
        <v>1211.3375000000001</v>
      </c>
      <c r="N2197" s="116">
        <v>1220.75</v>
      </c>
      <c r="O2197" s="116">
        <v>1209.6175000000001</v>
      </c>
      <c r="P2197" s="116">
        <v>1217.5</v>
      </c>
      <c r="Q2197" s="116">
        <v>24226.75</v>
      </c>
      <c r="R2197">
        <v>42223</v>
      </c>
    </row>
    <row r="2198" spans="1:18" x14ac:dyDescent="0.25">
      <c r="A2198" s="170">
        <v>45240</v>
      </c>
      <c r="B2198" s="116">
        <v>1211.5650000000001</v>
      </c>
      <c r="C2198" s="116">
        <v>1206.3499999999999</v>
      </c>
      <c r="D2198" s="116">
        <v>1204.3575000000001</v>
      </c>
      <c r="E2198" s="116">
        <v>1211.3975</v>
      </c>
      <c r="F2198" s="116">
        <v>24127</v>
      </c>
      <c r="G2198">
        <v>913</v>
      </c>
      <c r="H2198" s="116"/>
      <c r="I2198" s="116"/>
      <c r="L2198" s="170">
        <v>45240</v>
      </c>
      <c r="M2198" s="116">
        <v>1206.8599999999999</v>
      </c>
      <c r="N2198" s="116">
        <v>1212.4749999999999</v>
      </c>
      <c r="O2198" s="116">
        <v>1202.7825</v>
      </c>
      <c r="P2198" s="116">
        <v>1211.3375000000001</v>
      </c>
      <c r="Q2198" s="116">
        <v>24137.200000000001</v>
      </c>
      <c r="R2198">
        <v>28317</v>
      </c>
    </row>
    <row r="2199" spans="1:18" x14ac:dyDescent="0.25">
      <c r="A2199" s="170">
        <v>45242</v>
      </c>
      <c r="B2199" s="116">
        <v>1217.5</v>
      </c>
      <c r="C2199" s="116">
        <v>1214.405</v>
      </c>
      <c r="D2199" s="116">
        <v>1212.5</v>
      </c>
      <c r="E2199" s="116">
        <v>1217.5</v>
      </c>
      <c r="F2199" s="116">
        <v>24288.1</v>
      </c>
      <c r="G2199">
        <v>422</v>
      </c>
      <c r="H2199" s="116"/>
      <c r="I2199" s="116"/>
      <c r="L2199" s="170">
        <v>45242</v>
      </c>
      <c r="M2199" s="116">
        <v>1214.1675</v>
      </c>
      <c r="N2199" s="116">
        <v>1217.4000000000001</v>
      </c>
      <c r="O2199" s="116">
        <v>1207.05</v>
      </c>
      <c r="P2199" s="116">
        <v>1217</v>
      </c>
      <c r="Q2199" s="116">
        <v>24283.35</v>
      </c>
      <c r="R2199">
        <v>6358</v>
      </c>
    </row>
    <row r="2200" spans="1:18" x14ac:dyDescent="0.25">
      <c r="A2200" s="170">
        <v>45243</v>
      </c>
      <c r="B2200" s="116">
        <v>1215</v>
      </c>
      <c r="C2200" s="116">
        <v>1204.3375000000001</v>
      </c>
      <c r="D2200" s="116">
        <v>1202.5</v>
      </c>
      <c r="E2200" s="116">
        <v>1215</v>
      </c>
      <c r="F2200" s="116">
        <v>24086.75</v>
      </c>
      <c r="G2200">
        <v>786</v>
      </c>
      <c r="H2200" s="116"/>
      <c r="I2200" s="116"/>
      <c r="L2200" s="170">
        <v>45243</v>
      </c>
      <c r="M2200" s="116">
        <v>1204.2925</v>
      </c>
      <c r="N2200" s="116">
        <v>1214.9000000000001</v>
      </c>
      <c r="O2200" s="116">
        <v>1201.5999999999999</v>
      </c>
      <c r="P2200" s="116">
        <v>1214.9000000000001</v>
      </c>
      <c r="Q2200" s="116">
        <v>24085.85</v>
      </c>
      <c r="R2200">
        <v>28528</v>
      </c>
    </row>
    <row r="2201" spans="1:18" x14ac:dyDescent="0.25">
      <c r="A2201" s="170">
        <v>45245</v>
      </c>
      <c r="B2201" s="116">
        <v>1210.7550000000001</v>
      </c>
      <c r="C2201" s="116">
        <v>1208.8775000000001</v>
      </c>
      <c r="D2201" s="116">
        <v>1200.5</v>
      </c>
      <c r="E2201" s="116">
        <v>1208</v>
      </c>
      <c r="F2201" s="116">
        <v>24177.55</v>
      </c>
      <c r="G2201">
        <v>1314</v>
      </c>
      <c r="H2201" s="116"/>
      <c r="I2201" s="116"/>
      <c r="L2201" s="170">
        <v>45245</v>
      </c>
      <c r="M2201" s="116">
        <v>1208.7025000000001</v>
      </c>
      <c r="N2201" s="116">
        <v>1212.45</v>
      </c>
      <c r="O2201" s="116">
        <v>1200.4000000000001</v>
      </c>
      <c r="P2201" s="116">
        <v>1212.25</v>
      </c>
      <c r="Q2201" s="116">
        <v>24174.05</v>
      </c>
      <c r="R2201">
        <v>76697</v>
      </c>
    </row>
    <row r="2202" spans="1:18" x14ac:dyDescent="0.25">
      <c r="A2202" s="170">
        <v>45246</v>
      </c>
      <c r="B2202" s="116">
        <v>1212.5</v>
      </c>
      <c r="C2202" s="116">
        <v>1203.83</v>
      </c>
      <c r="D2202" s="116">
        <v>1202.5</v>
      </c>
      <c r="E2202" s="116">
        <v>1210</v>
      </c>
      <c r="F2202" s="116">
        <v>24076.6</v>
      </c>
      <c r="G2202">
        <v>1575</v>
      </c>
      <c r="H2202" s="116"/>
      <c r="I2202" s="116"/>
      <c r="L2202" s="170">
        <v>45246</v>
      </c>
      <c r="M2202" s="116">
        <v>1204.145</v>
      </c>
      <c r="N2202" s="116">
        <v>1213.625</v>
      </c>
      <c r="O2202" s="116">
        <v>1202.3</v>
      </c>
      <c r="P2202" s="116">
        <v>1209.7525000000001</v>
      </c>
      <c r="Q2202" s="116">
        <v>24082.9</v>
      </c>
      <c r="R2202">
        <v>69418</v>
      </c>
    </row>
    <row r="2203" spans="1:18" x14ac:dyDescent="0.25">
      <c r="A2203" s="170">
        <v>45247</v>
      </c>
      <c r="B2203" s="116">
        <v>1223.2149999999999</v>
      </c>
      <c r="C2203" s="116">
        <v>1218.5875000000001</v>
      </c>
      <c r="D2203" s="116">
        <v>1203.6500000000001</v>
      </c>
      <c r="E2203" s="116">
        <v>1205.75</v>
      </c>
      <c r="F2203" s="116">
        <v>24371.75</v>
      </c>
      <c r="G2203">
        <v>760</v>
      </c>
      <c r="H2203" s="116"/>
      <c r="I2203" s="116"/>
      <c r="L2203" s="170">
        <v>45247</v>
      </c>
      <c r="M2203" s="116">
        <v>1218.6524999999999</v>
      </c>
      <c r="N2203" s="116">
        <v>1224.2449999999999</v>
      </c>
      <c r="O2203" s="116">
        <v>1203.23</v>
      </c>
      <c r="P2203" s="116">
        <v>1205</v>
      </c>
      <c r="Q2203" s="116">
        <v>24373.05</v>
      </c>
      <c r="R2203">
        <v>70051</v>
      </c>
    </row>
    <row r="2204" spans="1:18" x14ac:dyDescent="0.25">
      <c r="A2204" s="170">
        <v>45250</v>
      </c>
      <c r="B2204" s="116">
        <v>1219.9974999999999</v>
      </c>
      <c r="C2204" s="116">
        <v>1215.0225</v>
      </c>
      <c r="D2204" s="116">
        <v>1208.7674999999999</v>
      </c>
      <c r="E2204" s="116">
        <v>1219.9974999999999</v>
      </c>
      <c r="F2204" s="116">
        <v>24300.45</v>
      </c>
      <c r="G2204">
        <v>484</v>
      </c>
      <c r="H2204" s="116"/>
      <c r="I2204" s="116"/>
      <c r="L2204" s="170">
        <v>45250</v>
      </c>
      <c r="M2204" s="116">
        <v>1215.1275000000001</v>
      </c>
      <c r="N2204" s="116">
        <v>1220.19</v>
      </c>
      <c r="O2204" s="116">
        <v>1208.3</v>
      </c>
      <c r="P2204" s="116">
        <v>1218.7525000000001</v>
      </c>
      <c r="Q2204" s="116">
        <v>24302.55</v>
      </c>
      <c r="R2204">
        <v>54115</v>
      </c>
    </row>
    <row r="2205" spans="1:18" x14ac:dyDescent="0.25">
      <c r="A2205" s="170">
        <v>45251</v>
      </c>
      <c r="B2205" s="116">
        <v>1220.4849999999999</v>
      </c>
      <c r="C2205" s="116">
        <v>1219.2574999999999</v>
      </c>
      <c r="D2205" s="116">
        <v>1209.0975000000001</v>
      </c>
      <c r="E2205" s="116">
        <v>1214.2525000000001</v>
      </c>
      <c r="F2205" s="116">
        <v>24385.15</v>
      </c>
      <c r="G2205">
        <v>596</v>
      </c>
      <c r="H2205" s="116"/>
      <c r="I2205" s="116"/>
      <c r="L2205" s="170">
        <v>45251</v>
      </c>
      <c r="M2205" s="116">
        <v>1218.6724999999999</v>
      </c>
      <c r="N2205" s="116">
        <v>1220.9925000000001</v>
      </c>
      <c r="O2205" s="116">
        <v>1209.0125</v>
      </c>
      <c r="P2205" s="116">
        <v>1215.25</v>
      </c>
      <c r="Q2205" s="116">
        <v>24373.45</v>
      </c>
      <c r="R2205">
        <v>45329</v>
      </c>
    </row>
    <row r="2206" spans="1:18" x14ac:dyDescent="0.25">
      <c r="A2206" s="170">
        <v>45252</v>
      </c>
      <c r="B2206" s="116">
        <v>1225</v>
      </c>
      <c r="C2206" s="116">
        <v>1217.2425000000001</v>
      </c>
      <c r="D2206" s="116">
        <v>1212.7</v>
      </c>
      <c r="E2206" s="116">
        <v>1221.2474999999999</v>
      </c>
      <c r="F2206" s="116">
        <v>24344.85</v>
      </c>
      <c r="G2206">
        <v>1038</v>
      </c>
      <c r="H2206" s="116"/>
      <c r="I2206" s="116"/>
      <c r="L2206" s="170">
        <v>45252</v>
      </c>
      <c r="M2206" s="116">
        <v>1217.5425</v>
      </c>
      <c r="N2206" s="116">
        <v>1226</v>
      </c>
      <c r="O2206" s="116">
        <v>1213</v>
      </c>
      <c r="P2206" s="116">
        <v>1218.5025000000001</v>
      </c>
      <c r="Q2206" s="116">
        <v>24350.85</v>
      </c>
      <c r="R2206">
        <v>36821</v>
      </c>
    </row>
    <row r="2207" spans="1:18" x14ac:dyDescent="0.25">
      <c r="A2207" s="170">
        <v>45253</v>
      </c>
      <c r="B2207" s="116">
        <v>1229.5550000000001</v>
      </c>
      <c r="C2207" s="116">
        <v>1219.3175000000001</v>
      </c>
      <c r="D2207" s="116">
        <v>1218.5225</v>
      </c>
      <c r="E2207" s="116">
        <v>1221.2525000000001</v>
      </c>
      <c r="F2207" s="116">
        <v>24386.35</v>
      </c>
      <c r="G2207">
        <v>564</v>
      </c>
      <c r="H2207" s="116"/>
      <c r="I2207" s="116"/>
      <c r="L2207" s="170">
        <v>45253</v>
      </c>
      <c r="M2207" s="116">
        <v>1219.665</v>
      </c>
      <c r="N2207" s="116">
        <v>1229.4949999999999</v>
      </c>
      <c r="O2207" s="116">
        <v>1217.5574999999999</v>
      </c>
      <c r="P2207" s="116">
        <v>1220.7025000000001</v>
      </c>
      <c r="Q2207" s="116">
        <v>24393.3</v>
      </c>
      <c r="R2207">
        <v>36814</v>
      </c>
    </row>
    <row r="2208" spans="1:18" x14ac:dyDescent="0.25">
      <c r="A2208" s="170">
        <v>45254</v>
      </c>
      <c r="B2208" s="116">
        <v>1223.9000000000001</v>
      </c>
      <c r="C2208" s="116">
        <v>1206.6925000000001</v>
      </c>
      <c r="D2208" s="116">
        <v>1205.2049999999999</v>
      </c>
      <c r="E2208" s="116">
        <v>1215.0025000000001</v>
      </c>
      <c r="F2208" s="116">
        <v>24133.85</v>
      </c>
      <c r="G2208">
        <v>957</v>
      </c>
      <c r="H2208" s="116"/>
      <c r="I2208" s="116"/>
      <c r="L2208" s="170">
        <v>45254</v>
      </c>
      <c r="M2208" s="116">
        <v>1206.9475</v>
      </c>
      <c r="N2208" s="116">
        <v>1223.6424999999999</v>
      </c>
      <c r="O2208" s="116">
        <v>1205.4024999999999</v>
      </c>
      <c r="P2208" s="116">
        <v>1222.5</v>
      </c>
      <c r="Q2208" s="116">
        <v>24138.95</v>
      </c>
      <c r="R2208">
        <v>40412</v>
      </c>
    </row>
    <row r="2209" spans="1:18" x14ac:dyDescent="0.25">
      <c r="A2209" s="170">
        <v>45258</v>
      </c>
      <c r="B2209" s="116">
        <v>1212.2</v>
      </c>
      <c r="C2209" s="116">
        <v>1210.4475</v>
      </c>
      <c r="D2209" s="116">
        <v>1194.4000000000001</v>
      </c>
      <c r="E2209" s="116">
        <v>1206.7</v>
      </c>
      <c r="F2209" s="116">
        <v>24208.95</v>
      </c>
      <c r="G2209">
        <v>2145</v>
      </c>
      <c r="H2209" s="116"/>
      <c r="I2209" s="116"/>
      <c r="L2209" s="170">
        <v>45258</v>
      </c>
      <c r="M2209" s="116">
        <v>1210.93</v>
      </c>
      <c r="N2209" s="116">
        <v>1213</v>
      </c>
      <c r="O2209" s="116">
        <v>1194.1575</v>
      </c>
      <c r="P2209" s="116">
        <v>1206.9000000000001</v>
      </c>
      <c r="Q2209" s="116">
        <v>24218.6</v>
      </c>
      <c r="R2209">
        <v>87697</v>
      </c>
    </row>
    <row r="2210" spans="1:18" x14ac:dyDescent="0.25">
      <c r="A2210" s="170">
        <v>45259</v>
      </c>
      <c r="B2210" s="116">
        <v>1217.45</v>
      </c>
      <c r="C2210" s="116">
        <v>1203.2725</v>
      </c>
      <c r="D2210" s="116">
        <v>1200.75</v>
      </c>
      <c r="E2210" s="116">
        <v>1217.45</v>
      </c>
      <c r="F2210" s="116">
        <v>24065.45</v>
      </c>
      <c r="G2210">
        <v>649</v>
      </c>
      <c r="H2210" s="116"/>
      <c r="I2210" s="116"/>
      <c r="L2210" s="170">
        <v>45259</v>
      </c>
      <c r="M2210" s="116">
        <v>1203.375</v>
      </c>
      <c r="N2210" s="116">
        <v>1216.75</v>
      </c>
      <c r="O2210" s="116">
        <v>1200.5525</v>
      </c>
      <c r="P2210" s="116">
        <v>1211.05</v>
      </c>
      <c r="Q2210" s="116">
        <v>24067.5</v>
      </c>
      <c r="R2210">
        <v>62715</v>
      </c>
    </row>
    <row r="2211" spans="1:18" x14ac:dyDescent="0.25">
      <c r="A2211" s="170">
        <v>45260</v>
      </c>
      <c r="B2211" s="116">
        <v>1217.375</v>
      </c>
      <c r="C2211" s="116">
        <v>1210.8599999999999</v>
      </c>
      <c r="D2211" s="116">
        <v>1198.2</v>
      </c>
      <c r="E2211" s="116">
        <v>1203.95</v>
      </c>
      <c r="F2211" s="116">
        <v>24217.200000000001</v>
      </c>
      <c r="G2211">
        <v>1049</v>
      </c>
      <c r="H2211" s="116"/>
      <c r="I2211" s="116"/>
      <c r="L2211" s="170">
        <v>45260</v>
      </c>
      <c r="M2211" s="116">
        <v>1211.8074999999999</v>
      </c>
      <c r="N2211" s="116">
        <v>1217.01</v>
      </c>
      <c r="O2211" s="116">
        <v>1198.2674999999999</v>
      </c>
      <c r="P2211" s="116">
        <v>1204</v>
      </c>
      <c r="Q2211" s="116">
        <v>24236.15</v>
      </c>
      <c r="R2211">
        <v>147203</v>
      </c>
    </row>
    <row r="2212" spans="1:18" x14ac:dyDescent="0.25">
      <c r="A2212" s="170">
        <v>45261</v>
      </c>
      <c r="B2212" s="116">
        <v>1218.2375</v>
      </c>
      <c r="C2212" s="116">
        <v>1217.19</v>
      </c>
      <c r="D2212" s="116">
        <v>1208.395</v>
      </c>
      <c r="E2212" s="116">
        <v>1212.5050000000001</v>
      </c>
      <c r="F2212" s="116">
        <v>24343.8</v>
      </c>
      <c r="G2212">
        <v>697</v>
      </c>
      <c r="H2212" s="116"/>
      <c r="I2212" s="116"/>
      <c r="L2212" s="170">
        <v>45261</v>
      </c>
      <c r="M2212" s="116">
        <v>1216.93</v>
      </c>
      <c r="N2212" s="116">
        <v>1218.25</v>
      </c>
      <c r="O2212" s="116">
        <v>1207.82</v>
      </c>
      <c r="P2212" s="116">
        <v>1216.9974999999999</v>
      </c>
      <c r="Q2212" s="116">
        <v>24338.6</v>
      </c>
      <c r="R2212">
        <v>63650</v>
      </c>
    </row>
    <row r="2213" spans="1:18" x14ac:dyDescent="0.25">
      <c r="A2213" s="170">
        <v>45264</v>
      </c>
      <c r="B2213" s="116">
        <v>1226.2</v>
      </c>
      <c r="C2213" s="116">
        <v>1219.9625000000001</v>
      </c>
      <c r="D2213" s="116">
        <v>1207.3</v>
      </c>
      <c r="E2213" s="116">
        <v>1217.75</v>
      </c>
      <c r="F2213" s="116">
        <v>24399.25</v>
      </c>
      <c r="G2213">
        <v>2756</v>
      </c>
      <c r="H2213" s="116"/>
      <c r="I2213" s="116"/>
      <c r="L2213" s="170">
        <v>45264</v>
      </c>
      <c r="M2213" s="116">
        <v>1220.1400000000001</v>
      </c>
      <c r="N2213" s="116">
        <v>1226.75</v>
      </c>
      <c r="O2213" s="116">
        <v>1206.9324999999999</v>
      </c>
      <c r="P2213" s="116">
        <v>1219.45</v>
      </c>
      <c r="Q2213" s="116">
        <v>24402.799999999999</v>
      </c>
      <c r="R2213">
        <v>99392</v>
      </c>
    </row>
    <row r="2214" spans="1:18" x14ac:dyDescent="0.25">
      <c r="A2214" s="170">
        <v>45265</v>
      </c>
      <c r="B2214" s="116">
        <v>1233.8325</v>
      </c>
      <c r="C2214" s="116">
        <v>1230.2725</v>
      </c>
      <c r="D2214" s="116">
        <v>1221.7950000000001</v>
      </c>
      <c r="E2214" s="116">
        <v>1223.9974999999999</v>
      </c>
      <c r="F2214" s="116">
        <v>24605.45</v>
      </c>
      <c r="G2214">
        <v>981</v>
      </c>
      <c r="H2214" s="116"/>
      <c r="I2214" s="116"/>
      <c r="L2214" s="170">
        <v>45265</v>
      </c>
      <c r="M2214" s="116">
        <v>1230.4449999999999</v>
      </c>
      <c r="N2214" s="116">
        <v>1233.6925000000001</v>
      </c>
      <c r="O2214" s="116">
        <v>1220.1400000000001</v>
      </c>
      <c r="P2214" s="116">
        <v>1222.55</v>
      </c>
      <c r="Q2214" s="116">
        <v>24608.9</v>
      </c>
      <c r="R2214">
        <v>67187</v>
      </c>
    </row>
    <row r="2215" spans="1:18" x14ac:dyDescent="0.25">
      <c r="A2215" s="170">
        <v>45266</v>
      </c>
      <c r="B2215" s="116">
        <v>1255.19</v>
      </c>
      <c r="C2215" s="116">
        <v>1248.0875000000001</v>
      </c>
      <c r="D2215" s="116">
        <v>1234.0025000000001</v>
      </c>
      <c r="E2215" s="116">
        <v>1234.0025000000001</v>
      </c>
      <c r="F2215" s="116">
        <v>24961.75</v>
      </c>
      <c r="G2215">
        <v>1716</v>
      </c>
      <c r="H2215" s="116"/>
      <c r="I2215" s="116"/>
      <c r="L2215" s="170">
        <v>45266</v>
      </c>
      <c r="M2215" s="116">
        <v>1248.425</v>
      </c>
      <c r="N2215" s="116">
        <v>1254.845</v>
      </c>
      <c r="O2215" s="116">
        <v>1235.0999999999999</v>
      </c>
      <c r="P2215" s="116">
        <v>1236.44</v>
      </c>
      <c r="Q2215" s="116">
        <v>24968.5</v>
      </c>
      <c r="R2215">
        <v>79608</v>
      </c>
    </row>
    <row r="2216" spans="1:18" x14ac:dyDescent="0.25">
      <c r="A2216" s="170">
        <v>45267</v>
      </c>
      <c r="B2216" s="116">
        <v>1258.2249999999999</v>
      </c>
      <c r="C2216" s="116">
        <v>1249.875</v>
      </c>
      <c r="D2216" s="116">
        <v>1241.5</v>
      </c>
      <c r="E2216" s="116">
        <v>1245.5550000000001</v>
      </c>
      <c r="F2216" s="116">
        <v>24997.5</v>
      </c>
      <c r="G2216">
        <v>3688</v>
      </c>
      <c r="H2216" s="116"/>
      <c r="I2216" s="116"/>
      <c r="L2216" s="170">
        <v>45267</v>
      </c>
      <c r="M2216" s="116">
        <v>1248.7625</v>
      </c>
      <c r="N2216" s="116">
        <v>1258.5025000000001</v>
      </c>
      <c r="O2216" s="116">
        <v>1240.665</v>
      </c>
      <c r="P2216" s="116">
        <v>1248.425</v>
      </c>
      <c r="Q2216" s="116">
        <v>24975.25</v>
      </c>
      <c r="R2216">
        <v>60085</v>
      </c>
    </row>
    <row r="2217" spans="1:18" x14ac:dyDescent="0.25">
      <c r="A2217" s="170">
        <v>45268</v>
      </c>
      <c r="B2217" s="116">
        <v>1259.2850000000001</v>
      </c>
      <c r="C2217" s="116">
        <v>1239.415</v>
      </c>
      <c r="D2217" s="116">
        <v>1238.0174999999999</v>
      </c>
      <c r="E2217" s="116">
        <v>1259.2850000000001</v>
      </c>
      <c r="F2217" s="116">
        <v>24788.3</v>
      </c>
      <c r="G2217">
        <v>7449</v>
      </c>
      <c r="H2217" s="116"/>
      <c r="I2217" s="116"/>
      <c r="L2217" s="170">
        <v>45268</v>
      </c>
      <c r="M2217" s="116">
        <v>1239.48</v>
      </c>
      <c r="N2217" s="116">
        <v>1258.7850000000001</v>
      </c>
      <c r="O2217" s="116">
        <v>1237.8175000000001</v>
      </c>
      <c r="P2217" s="116">
        <v>1249.75</v>
      </c>
      <c r="Q2217" s="116">
        <v>24789.599999999999</v>
      </c>
      <c r="R2217">
        <v>70076</v>
      </c>
    </row>
    <row r="2218" spans="1:18" x14ac:dyDescent="0.25">
      <c r="A2218" s="170">
        <v>45271</v>
      </c>
      <c r="B2218" s="116">
        <v>1255.5</v>
      </c>
      <c r="C2218" s="116">
        <v>1250.7375</v>
      </c>
      <c r="D2218" s="116">
        <v>1233.1125</v>
      </c>
      <c r="E2218" s="116">
        <v>1240.0150000000001</v>
      </c>
      <c r="F2218" s="116">
        <v>25014.75</v>
      </c>
      <c r="G2218">
        <v>2189</v>
      </c>
      <c r="H2218" s="116"/>
      <c r="I2218" s="116"/>
      <c r="L2218" s="170">
        <v>45271</v>
      </c>
      <c r="M2218" s="116">
        <v>1252.1724999999999</v>
      </c>
      <c r="N2218" s="116">
        <v>1256</v>
      </c>
      <c r="O2218" s="116">
        <v>1231.95</v>
      </c>
      <c r="P2218" s="116">
        <v>1244</v>
      </c>
      <c r="Q2218" s="116">
        <v>25043.45</v>
      </c>
      <c r="R2218">
        <v>53937</v>
      </c>
    </row>
    <row r="2219" spans="1:18" x14ac:dyDescent="0.25">
      <c r="A2219" s="170">
        <v>45272</v>
      </c>
      <c r="B2219" s="116">
        <v>1262</v>
      </c>
      <c r="C2219" s="116">
        <v>1248.2325000000001</v>
      </c>
      <c r="D2219" s="116">
        <v>1240.5</v>
      </c>
      <c r="E2219" s="116">
        <v>1252.7249999999999</v>
      </c>
      <c r="F2219" s="116">
        <v>24964.65</v>
      </c>
      <c r="G2219">
        <v>999</v>
      </c>
      <c r="H2219" s="116"/>
      <c r="I2219" s="116"/>
      <c r="L2219" s="170">
        <v>45272</v>
      </c>
      <c r="M2219" s="116">
        <v>1247.3575000000001</v>
      </c>
      <c r="N2219" s="116">
        <v>1262.0374999999999</v>
      </c>
      <c r="O2219" s="116">
        <v>1240.1125</v>
      </c>
      <c r="P2219" s="116">
        <v>1252.1724999999999</v>
      </c>
      <c r="Q2219" s="116">
        <v>24947.15</v>
      </c>
      <c r="R2219">
        <v>64123</v>
      </c>
    </row>
    <row r="2220" spans="1:18" x14ac:dyDescent="0.25">
      <c r="A2220" s="170">
        <v>45273</v>
      </c>
      <c r="B2220" s="116">
        <v>1253.75</v>
      </c>
      <c r="C2220" s="116">
        <v>1252.2725</v>
      </c>
      <c r="D2220" s="116">
        <v>1241.25</v>
      </c>
      <c r="E2220" s="116">
        <v>1247.5550000000001</v>
      </c>
      <c r="F2220" s="116">
        <v>25045.45</v>
      </c>
      <c r="G2220">
        <v>1287</v>
      </c>
      <c r="H2220" s="116"/>
      <c r="I2220" s="116"/>
      <c r="L2220" s="170">
        <v>45273</v>
      </c>
      <c r="M2220" s="116">
        <v>1252.22</v>
      </c>
      <c r="N2220" s="116">
        <v>1254</v>
      </c>
      <c r="O2220" s="116">
        <v>1241.25</v>
      </c>
      <c r="P2220" s="116">
        <v>1247.92</v>
      </c>
      <c r="Q2220" s="116">
        <v>25044.400000000001</v>
      </c>
      <c r="R2220">
        <v>44572</v>
      </c>
    </row>
    <row r="2221" spans="1:18" x14ac:dyDescent="0.25">
      <c r="A2221" s="170">
        <v>45274</v>
      </c>
      <c r="B2221" s="116">
        <v>1257.5</v>
      </c>
      <c r="C2221" s="116">
        <v>1239.5650000000001</v>
      </c>
      <c r="D2221" s="116">
        <v>1237.78</v>
      </c>
      <c r="E2221" s="116">
        <v>1257.5</v>
      </c>
      <c r="F2221" s="116">
        <v>24791.3</v>
      </c>
      <c r="G2221">
        <v>1968</v>
      </c>
      <c r="H2221" s="116"/>
      <c r="I2221" s="116"/>
      <c r="L2221" s="170">
        <v>45274</v>
      </c>
      <c r="M2221" s="116">
        <v>1239.665</v>
      </c>
      <c r="N2221" s="116">
        <v>1257.2</v>
      </c>
      <c r="O2221" s="116">
        <v>1237.5050000000001</v>
      </c>
      <c r="P2221" s="116">
        <v>1257.2</v>
      </c>
      <c r="Q2221" s="116">
        <v>24793.3</v>
      </c>
      <c r="R2221">
        <v>104726</v>
      </c>
    </row>
    <row r="2222" spans="1:18" x14ac:dyDescent="0.25">
      <c r="A2222" s="170">
        <v>45275</v>
      </c>
      <c r="B2222" s="116">
        <v>1249.9949999999999</v>
      </c>
      <c r="C2222" s="116">
        <v>1217.915</v>
      </c>
      <c r="D2222" s="116">
        <v>1212</v>
      </c>
      <c r="E2222" s="116">
        <v>1249.9949999999999</v>
      </c>
      <c r="F2222" s="116">
        <v>24358.3</v>
      </c>
      <c r="G2222">
        <v>3764</v>
      </c>
      <c r="H2222" s="116"/>
      <c r="I2222" s="116"/>
      <c r="L2222" s="170">
        <v>45275</v>
      </c>
      <c r="M2222" s="116">
        <v>1218.32</v>
      </c>
      <c r="N2222" s="116">
        <v>1247.6075000000001</v>
      </c>
      <c r="O2222" s="116">
        <v>1211</v>
      </c>
      <c r="P2222" s="116">
        <v>1242.5025000000001</v>
      </c>
      <c r="Q2222" s="116">
        <v>24366.400000000001</v>
      </c>
      <c r="R2222">
        <v>159541</v>
      </c>
    </row>
    <row r="2223" spans="1:18" x14ac:dyDescent="0.25">
      <c r="A2223" s="170">
        <v>45278</v>
      </c>
      <c r="B2223" s="116">
        <v>1229.0125</v>
      </c>
      <c r="C2223" s="116">
        <v>1217.81</v>
      </c>
      <c r="D2223" s="116">
        <v>1215.5</v>
      </c>
      <c r="E2223" s="116">
        <v>1222.3</v>
      </c>
      <c r="F2223" s="116">
        <v>24356.2</v>
      </c>
      <c r="G2223">
        <v>1554</v>
      </c>
      <c r="H2223" s="116"/>
      <c r="I2223" s="116"/>
      <c r="L2223" s="170">
        <v>45278</v>
      </c>
      <c r="M2223" s="116">
        <v>1217.7125000000001</v>
      </c>
      <c r="N2223" s="116">
        <v>1229.03</v>
      </c>
      <c r="O2223" s="116">
        <v>1214.95</v>
      </c>
      <c r="P2223" s="116">
        <v>1222.5</v>
      </c>
      <c r="Q2223" s="116">
        <v>24354.25</v>
      </c>
      <c r="R2223">
        <v>66324</v>
      </c>
    </row>
    <row r="2224" spans="1:18" x14ac:dyDescent="0.25">
      <c r="A2224" s="170">
        <v>45279</v>
      </c>
      <c r="B2224" s="116">
        <v>1284.95</v>
      </c>
      <c r="C2224" s="116">
        <v>1274.27</v>
      </c>
      <c r="D2224" s="116">
        <v>1227.3225</v>
      </c>
      <c r="E2224" s="116">
        <v>1228</v>
      </c>
      <c r="F2224" s="116">
        <v>25485.4</v>
      </c>
      <c r="G2224">
        <v>16783</v>
      </c>
      <c r="H2224" s="116"/>
      <c r="I2224" s="116"/>
      <c r="L2224" s="170">
        <v>45279</v>
      </c>
      <c r="M2224" s="116">
        <v>1274.4849999999999</v>
      </c>
      <c r="N2224" s="116">
        <v>1285.25</v>
      </c>
      <c r="O2224" s="116">
        <v>1225.5450000000001</v>
      </c>
      <c r="P2224" s="116">
        <v>1228.49</v>
      </c>
      <c r="Q2224" s="116">
        <v>25489.7</v>
      </c>
      <c r="R2224">
        <v>352866</v>
      </c>
    </row>
    <row r="2225" spans="1:18" x14ac:dyDescent="0.25">
      <c r="A2225" s="170">
        <v>45280</v>
      </c>
      <c r="B2225" s="116">
        <v>1288.2950000000001</v>
      </c>
      <c r="C2225" s="116">
        <v>1254.6075000000001</v>
      </c>
      <c r="D2225" s="116">
        <v>1252.9475</v>
      </c>
      <c r="E2225" s="116">
        <v>1287.5</v>
      </c>
      <c r="F2225" s="116">
        <v>25092.15</v>
      </c>
      <c r="G2225">
        <v>3857</v>
      </c>
      <c r="H2225" s="116"/>
      <c r="I2225" s="116"/>
      <c r="L2225" s="170">
        <v>45280</v>
      </c>
      <c r="M2225" s="116">
        <v>1254.8875</v>
      </c>
      <c r="N2225" s="116">
        <v>1288.9224999999999</v>
      </c>
      <c r="O2225" s="116">
        <v>1252.76</v>
      </c>
      <c r="P2225" s="116">
        <v>1284.7</v>
      </c>
      <c r="Q2225" s="116">
        <v>25097.75</v>
      </c>
      <c r="R2225">
        <v>144488</v>
      </c>
    </row>
    <row r="2226" spans="1:18" x14ac:dyDescent="0.25">
      <c r="A2226" s="170">
        <v>45281</v>
      </c>
      <c r="B2226" s="116">
        <v>1262.25</v>
      </c>
      <c r="C2226" s="116">
        <v>1255.8275000000001</v>
      </c>
      <c r="D2226" s="116">
        <v>1236.8074999999999</v>
      </c>
      <c r="E2226" s="116">
        <v>1254.6075000000001</v>
      </c>
      <c r="F2226" s="116">
        <v>25116.55</v>
      </c>
      <c r="G2226">
        <v>3242</v>
      </c>
      <c r="H2226" s="116"/>
      <c r="I2226" s="116"/>
      <c r="L2226" s="170">
        <v>45281</v>
      </c>
      <c r="M2226" s="116">
        <v>1255.7925</v>
      </c>
      <c r="N2226" s="116">
        <v>1262.4000000000001</v>
      </c>
      <c r="O2226" s="116">
        <v>1245.385</v>
      </c>
      <c r="P2226" s="116">
        <v>1254.8875</v>
      </c>
      <c r="Q2226" s="116">
        <v>25115.85</v>
      </c>
      <c r="R2226">
        <v>110638</v>
      </c>
    </row>
    <row r="2227" spans="1:18" x14ac:dyDescent="0.25">
      <c r="A2227" s="170">
        <v>45282</v>
      </c>
      <c r="B2227" s="116">
        <v>1270.8125</v>
      </c>
      <c r="C2227" s="116">
        <v>1268.1849999999999</v>
      </c>
      <c r="D2227" s="116">
        <v>1255.5</v>
      </c>
      <c r="E2227" s="116">
        <v>1260.7349999999999</v>
      </c>
      <c r="F2227" s="116">
        <v>25363.7</v>
      </c>
      <c r="G2227">
        <v>2746</v>
      </c>
      <c r="H2227" s="116"/>
      <c r="I2227" s="116"/>
      <c r="L2227" s="170">
        <v>45282</v>
      </c>
      <c r="M2227" s="116">
        <v>1268.4224999999999</v>
      </c>
      <c r="N2227" s="116">
        <v>1270.4974999999999</v>
      </c>
      <c r="O2227" s="116">
        <v>1255</v>
      </c>
      <c r="P2227" s="116">
        <v>1262</v>
      </c>
      <c r="Q2227" s="116">
        <v>25368.45</v>
      </c>
      <c r="R2227">
        <v>88828</v>
      </c>
    </row>
    <row r="2228" spans="1:18" x14ac:dyDescent="0.25">
      <c r="A2228" s="170">
        <v>45286</v>
      </c>
      <c r="B2228" s="116">
        <v>1279.845</v>
      </c>
      <c r="C2228" s="116">
        <v>1277.9224999999999</v>
      </c>
      <c r="D2228" s="116">
        <v>1268.5</v>
      </c>
      <c r="E2228" s="116">
        <v>1277.4549999999999</v>
      </c>
      <c r="F2228" s="116">
        <v>25558.45</v>
      </c>
      <c r="G2228">
        <v>2178</v>
      </c>
      <c r="H2228" s="116"/>
      <c r="I2228" s="116"/>
      <c r="L2228" s="170">
        <v>45286</v>
      </c>
      <c r="M2228" s="116">
        <v>1278.1025</v>
      </c>
      <c r="N2228" s="116">
        <v>1280</v>
      </c>
      <c r="O2228" s="116">
        <v>1268.25</v>
      </c>
      <c r="P2228" s="116">
        <v>1274.3</v>
      </c>
      <c r="Q2228" s="116">
        <v>25562.05</v>
      </c>
      <c r="R2228">
        <v>61785</v>
      </c>
    </row>
    <row r="2229" spans="1:18" x14ac:dyDescent="0.25">
      <c r="A2229" s="170">
        <v>45287</v>
      </c>
      <c r="B2229" s="116">
        <v>1288.7325000000001</v>
      </c>
      <c r="C2229" s="116">
        <v>1286.0675000000001</v>
      </c>
      <c r="D2229" s="116">
        <v>1280</v>
      </c>
      <c r="E2229" s="116">
        <v>1280</v>
      </c>
      <c r="F2229" s="116">
        <v>25721.35</v>
      </c>
      <c r="G2229">
        <v>1505</v>
      </c>
      <c r="H2229" s="116"/>
      <c r="I2229" s="116"/>
      <c r="L2229" s="170">
        <v>45287</v>
      </c>
      <c r="M2229" s="116">
        <v>1286.0225</v>
      </c>
      <c r="N2229" s="116">
        <v>1288.3975</v>
      </c>
      <c r="O2229" s="116">
        <v>1279.0250000000001</v>
      </c>
      <c r="P2229" s="116">
        <v>1280</v>
      </c>
      <c r="Q2229" s="116">
        <v>25720.45</v>
      </c>
      <c r="R2229">
        <v>71416</v>
      </c>
    </row>
    <row r="2230" spans="1:18" x14ac:dyDescent="0.25">
      <c r="A2230" s="170">
        <v>45288</v>
      </c>
      <c r="B2230" s="116">
        <v>1318.6975</v>
      </c>
      <c r="C2230" s="116">
        <v>1312.0325</v>
      </c>
      <c r="D2230" s="116">
        <v>1288.6025</v>
      </c>
      <c r="E2230" s="116">
        <v>1292.8525</v>
      </c>
      <c r="F2230" s="116">
        <v>26240.65</v>
      </c>
      <c r="G2230">
        <v>5534</v>
      </c>
      <c r="H2230" s="116"/>
      <c r="I2230" s="116"/>
      <c r="L2230" s="170">
        <v>45288</v>
      </c>
      <c r="M2230" s="116">
        <v>1312.4949999999999</v>
      </c>
      <c r="N2230" s="116">
        <v>1318.7</v>
      </c>
      <c r="O2230" s="116">
        <v>1288.76</v>
      </c>
      <c r="P2230" s="116">
        <v>1293.4925000000001</v>
      </c>
      <c r="Q2230" s="116">
        <v>26249.9</v>
      </c>
      <c r="R2230">
        <v>157772</v>
      </c>
    </row>
    <row r="2231" spans="1:18" x14ac:dyDescent="0.25">
      <c r="A2231" s="170">
        <v>45289</v>
      </c>
      <c r="B2231" s="116">
        <v>1333.05</v>
      </c>
      <c r="C2231" s="116">
        <v>1329.7750000000001</v>
      </c>
      <c r="D2231" s="116">
        <v>1308.3325</v>
      </c>
      <c r="E2231" s="116">
        <v>1313.5</v>
      </c>
      <c r="F2231" s="116">
        <v>26595.5</v>
      </c>
      <c r="G2231">
        <v>2419</v>
      </c>
      <c r="H2231" s="116"/>
      <c r="I2231" s="116"/>
      <c r="L2231" s="170">
        <v>45289</v>
      </c>
      <c r="M2231" s="116">
        <v>1329.0150000000001</v>
      </c>
      <c r="N2231" s="116">
        <v>1332.5</v>
      </c>
      <c r="O2231" s="116">
        <v>1307.2825</v>
      </c>
      <c r="P2231" s="116">
        <v>1312.5</v>
      </c>
      <c r="Q2231" s="116">
        <v>26580.3</v>
      </c>
      <c r="R2231">
        <v>103408</v>
      </c>
    </row>
    <row r="2232" spans="1:18" x14ac:dyDescent="0.25">
      <c r="A2232" s="170">
        <v>45292</v>
      </c>
      <c r="B2232" s="116">
        <v>1372.2</v>
      </c>
      <c r="C2232" s="116">
        <v>1368.2674999999999</v>
      </c>
      <c r="D2232" s="116">
        <v>1333</v>
      </c>
      <c r="E2232" s="116">
        <v>1334.9949999999999</v>
      </c>
      <c r="F2232" s="116">
        <v>27365.35</v>
      </c>
      <c r="G2232">
        <v>6735</v>
      </c>
      <c r="H2232" s="116"/>
      <c r="I2232" s="116"/>
      <c r="L2232" s="170">
        <v>45292</v>
      </c>
      <c r="M2232" s="116">
        <v>1368.62</v>
      </c>
      <c r="N2232" s="116">
        <v>1372.2625</v>
      </c>
      <c r="O2232" s="116">
        <v>1332</v>
      </c>
      <c r="P2232" s="116">
        <v>1332.5</v>
      </c>
      <c r="Q2232" s="116">
        <v>27372.400000000001</v>
      </c>
      <c r="R2232">
        <v>131610</v>
      </c>
    </row>
    <row r="2233" spans="1:18" x14ac:dyDescent="0.25">
      <c r="A2233" s="170">
        <v>45293</v>
      </c>
      <c r="B2233" s="116">
        <v>1385.3724999999999</v>
      </c>
      <c r="C2233" s="116">
        <v>1361.5450000000001</v>
      </c>
      <c r="D2233" s="116">
        <v>1351.35</v>
      </c>
      <c r="E2233" s="116">
        <v>1375</v>
      </c>
      <c r="F2233" s="116">
        <v>27230.9</v>
      </c>
      <c r="G2233">
        <v>4257</v>
      </c>
      <c r="H2233" s="116"/>
      <c r="I2233" s="116"/>
      <c r="L2233" s="170">
        <v>45293</v>
      </c>
      <c r="M2233" s="116">
        <v>1361.1575</v>
      </c>
      <c r="N2233" s="116">
        <v>1384.65</v>
      </c>
      <c r="O2233" s="116">
        <v>1351.2025000000001</v>
      </c>
      <c r="P2233" s="116">
        <v>1375</v>
      </c>
      <c r="Q2233" s="116">
        <v>27223.15</v>
      </c>
      <c r="R2233">
        <v>141577</v>
      </c>
    </row>
    <row r="2234" spans="1:18" x14ac:dyDescent="0.25">
      <c r="A2234" s="170">
        <v>45294</v>
      </c>
      <c r="B2234" s="116">
        <v>1371.47</v>
      </c>
      <c r="C2234" s="116">
        <v>1332.0174999999999</v>
      </c>
      <c r="D2234" s="116">
        <v>1328.5025000000001</v>
      </c>
      <c r="E2234" s="116">
        <v>1367.5</v>
      </c>
      <c r="F2234" s="116">
        <v>26640.35</v>
      </c>
      <c r="G2234">
        <v>6848</v>
      </c>
      <c r="H2234" s="116"/>
      <c r="I2234" s="116"/>
      <c r="L2234" s="170">
        <v>45294</v>
      </c>
      <c r="M2234" s="116">
        <v>1331.76</v>
      </c>
      <c r="N2234" s="116">
        <v>1370.865</v>
      </c>
      <c r="O2234" s="116">
        <v>1328.65</v>
      </c>
      <c r="P2234" s="116">
        <v>1367.25</v>
      </c>
      <c r="Q2234" s="116">
        <v>26635.200000000001</v>
      </c>
      <c r="R2234">
        <v>101346</v>
      </c>
    </row>
    <row r="2235" spans="1:18" x14ac:dyDescent="0.25">
      <c r="A2235" s="170">
        <v>45295</v>
      </c>
      <c r="B2235" s="116">
        <v>1357.5</v>
      </c>
      <c r="C2235" s="116">
        <v>1355.8</v>
      </c>
      <c r="D2235" s="116">
        <v>1332.6524999999999</v>
      </c>
      <c r="E2235" s="116">
        <v>1343.5</v>
      </c>
      <c r="F2235" s="116">
        <v>27116</v>
      </c>
      <c r="G2235">
        <v>6127</v>
      </c>
      <c r="H2235" s="116"/>
      <c r="I2235" s="116"/>
      <c r="L2235" s="170">
        <v>45295</v>
      </c>
      <c r="M2235" s="116">
        <v>1355.82</v>
      </c>
      <c r="N2235" s="116">
        <v>1357.5025000000001</v>
      </c>
      <c r="O2235" s="116">
        <v>1332.6025</v>
      </c>
      <c r="P2235" s="116">
        <v>1342.5525</v>
      </c>
      <c r="Q2235" s="116">
        <v>27116.400000000001</v>
      </c>
      <c r="R2235">
        <v>132390</v>
      </c>
    </row>
    <row r="2236" spans="1:18" x14ac:dyDescent="0.25">
      <c r="A2236" s="170">
        <v>45296</v>
      </c>
      <c r="B2236" s="116">
        <v>1379.5</v>
      </c>
      <c r="C2236" s="116">
        <v>1333.45</v>
      </c>
      <c r="D2236" s="116">
        <v>1322</v>
      </c>
      <c r="E2236" s="116">
        <v>1374.5</v>
      </c>
      <c r="F2236" s="116">
        <v>2666.9</v>
      </c>
      <c r="G2236">
        <v>121408</v>
      </c>
      <c r="H2236" s="116"/>
      <c r="I2236" s="116"/>
      <c r="L2236" s="170">
        <v>45296</v>
      </c>
      <c r="M2236" s="116">
        <v>1333.2</v>
      </c>
      <c r="N2236" s="116">
        <v>1377</v>
      </c>
      <c r="O2236" s="116">
        <v>1321.2249999999999</v>
      </c>
      <c r="P2236" s="116">
        <v>1377</v>
      </c>
      <c r="Q2236" s="116">
        <v>2666.4</v>
      </c>
      <c r="R2236">
        <v>2577064</v>
      </c>
    </row>
    <row r="2237" spans="1:18" x14ac:dyDescent="0.25">
      <c r="A2237" s="170">
        <v>45299</v>
      </c>
      <c r="B2237" s="116">
        <v>1343.3</v>
      </c>
      <c r="C2237" s="116">
        <v>1309.5999999999999</v>
      </c>
      <c r="D2237" s="116">
        <v>1307</v>
      </c>
      <c r="E2237" s="116">
        <v>1342.35</v>
      </c>
      <c r="F2237" s="116">
        <v>2619.1999999999998</v>
      </c>
      <c r="G2237">
        <v>105988</v>
      </c>
      <c r="H2237" s="116"/>
      <c r="I2237" s="116"/>
      <c r="L2237" s="170">
        <v>45299</v>
      </c>
      <c r="M2237" s="116">
        <v>1309.6500000000001</v>
      </c>
      <c r="N2237" s="116">
        <v>1344.5</v>
      </c>
      <c r="O2237" s="116">
        <v>1305.5</v>
      </c>
      <c r="P2237" s="116">
        <v>1341.5</v>
      </c>
      <c r="Q2237" s="116">
        <v>2619.3000000000002</v>
      </c>
      <c r="R2237">
        <v>1032378</v>
      </c>
    </row>
    <row r="2238" spans="1:18" x14ac:dyDescent="0.25">
      <c r="A2238" s="170">
        <v>45300</v>
      </c>
      <c r="B2238" s="116">
        <v>1325.925</v>
      </c>
      <c r="C2238" s="116">
        <v>1296.0999999999999</v>
      </c>
      <c r="D2238" s="116">
        <v>1293.5</v>
      </c>
      <c r="E2238" s="116">
        <v>1325.925</v>
      </c>
      <c r="F2238" s="116">
        <v>2592.1999999999998</v>
      </c>
      <c r="G2238">
        <v>43897</v>
      </c>
      <c r="H2238" s="116"/>
      <c r="I2238" s="116"/>
      <c r="L2238" s="170">
        <v>45300</v>
      </c>
      <c r="M2238" s="116">
        <v>1296.3</v>
      </c>
      <c r="N2238" s="116">
        <v>1320.15</v>
      </c>
      <c r="O2238" s="116">
        <v>1293.4749999999999</v>
      </c>
      <c r="P2238" s="116">
        <v>1320</v>
      </c>
      <c r="Q2238" s="116">
        <v>2592.6</v>
      </c>
      <c r="R2238">
        <v>813027</v>
      </c>
    </row>
    <row r="2239" spans="1:18" x14ac:dyDescent="0.25">
      <c r="A2239" s="170">
        <v>45301</v>
      </c>
      <c r="B2239" s="116">
        <v>1311.2</v>
      </c>
      <c r="C2239" s="116">
        <v>1288.825</v>
      </c>
      <c r="D2239" s="116">
        <v>1285.5</v>
      </c>
      <c r="E2239" s="116">
        <v>1298.825</v>
      </c>
      <c r="F2239" s="116">
        <v>2577.65</v>
      </c>
      <c r="G2239">
        <v>24320</v>
      </c>
      <c r="H2239" s="116"/>
      <c r="I2239" s="116"/>
      <c r="L2239" s="170">
        <v>45301</v>
      </c>
      <c r="M2239" s="116">
        <v>1289.05</v>
      </c>
      <c r="N2239" s="116">
        <v>1311.2</v>
      </c>
      <c r="O2239" s="116">
        <v>1285.2249999999999</v>
      </c>
      <c r="P2239" s="116">
        <v>1295</v>
      </c>
      <c r="Q2239" s="116">
        <v>2578.1</v>
      </c>
      <c r="R2239">
        <v>1026468</v>
      </c>
    </row>
    <row r="2240" spans="1:18" x14ac:dyDescent="0.25">
      <c r="A2240" s="170">
        <v>45302</v>
      </c>
      <c r="B2240" s="116">
        <v>1302.425</v>
      </c>
      <c r="C2240" s="116">
        <v>1278.875</v>
      </c>
      <c r="D2240" s="116">
        <v>1275.0999999999999</v>
      </c>
      <c r="E2240" s="116">
        <v>1302.425</v>
      </c>
      <c r="F2240" s="116">
        <v>2557.75</v>
      </c>
      <c r="G2240">
        <v>23880</v>
      </c>
      <c r="H2240" s="116"/>
      <c r="I2240" s="116"/>
      <c r="L2240" s="170">
        <v>45302</v>
      </c>
      <c r="M2240" s="116">
        <v>1278.5999999999999</v>
      </c>
      <c r="N2240" s="116">
        <v>1294.9749999999999</v>
      </c>
      <c r="O2240" s="116">
        <v>1275.05</v>
      </c>
      <c r="P2240" s="116">
        <v>1290</v>
      </c>
      <c r="Q2240" s="116">
        <v>2557.1999999999998</v>
      </c>
      <c r="R2240">
        <v>775667</v>
      </c>
    </row>
    <row r="2241" spans="1:18" x14ac:dyDescent="0.25">
      <c r="A2241" s="170">
        <v>45303</v>
      </c>
      <c r="B2241" s="116">
        <v>1279.925</v>
      </c>
      <c r="C2241" s="116">
        <v>1274.625</v>
      </c>
      <c r="D2241" s="116">
        <v>1265</v>
      </c>
      <c r="E2241" s="116">
        <v>1279.925</v>
      </c>
      <c r="F2241" s="116">
        <v>2549.25</v>
      </c>
      <c r="G2241">
        <v>61605</v>
      </c>
      <c r="H2241" s="116"/>
      <c r="I2241" s="116"/>
      <c r="L2241" s="170">
        <v>45303</v>
      </c>
      <c r="M2241" s="116">
        <v>1274.8</v>
      </c>
      <c r="N2241" s="116">
        <v>1279.9749999999999</v>
      </c>
      <c r="O2241" s="116">
        <v>1265</v>
      </c>
      <c r="P2241" s="116">
        <v>1278.5999999999999</v>
      </c>
      <c r="Q2241" s="116">
        <v>2549.6</v>
      </c>
      <c r="R2241">
        <v>1107055</v>
      </c>
    </row>
    <row r="2242" spans="1:18" x14ac:dyDescent="0.25">
      <c r="A2242" s="170">
        <v>45306</v>
      </c>
      <c r="B2242" s="116">
        <v>1288.2750000000001</v>
      </c>
      <c r="C2242" s="116">
        <v>1274.1500000000001</v>
      </c>
      <c r="D2242" s="116">
        <v>1265.425</v>
      </c>
      <c r="E2242" s="116">
        <v>1287.3499999999999</v>
      </c>
      <c r="F2242" s="116">
        <v>2548.3000000000002</v>
      </c>
      <c r="G2242">
        <v>27937</v>
      </c>
      <c r="H2242" s="116"/>
      <c r="I2242" s="116"/>
      <c r="L2242" s="170">
        <v>45306</v>
      </c>
      <c r="M2242" s="116">
        <v>1273.7750000000001</v>
      </c>
      <c r="N2242" s="116">
        <v>1288.075</v>
      </c>
      <c r="O2242" s="116">
        <v>1265.325</v>
      </c>
      <c r="P2242" s="116">
        <v>1282</v>
      </c>
      <c r="Q2242" s="116">
        <v>2547.5500000000002</v>
      </c>
      <c r="R2242">
        <v>893834</v>
      </c>
    </row>
    <row r="2243" spans="1:18" x14ac:dyDescent="0.25">
      <c r="A2243" s="170">
        <v>45307</v>
      </c>
      <c r="B2243" s="116">
        <v>1280.925</v>
      </c>
      <c r="C2243" s="116">
        <v>1270.6500000000001</v>
      </c>
      <c r="D2243" s="116">
        <v>1265.75</v>
      </c>
      <c r="E2243" s="116">
        <v>1280.925</v>
      </c>
      <c r="F2243" s="116">
        <v>2541.3000000000002</v>
      </c>
      <c r="G2243">
        <v>37039</v>
      </c>
      <c r="H2243" s="116"/>
      <c r="I2243" s="116"/>
      <c r="L2243" s="170">
        <v>45307</v>
      </c>
      <c r="M2243" s="116">
        <v>1271.0250000000001</v>
      </c>
      <c r="N2243" s="116">
        <v>1278.45</v>
      </c>
      <c r="O2243" s="116">
        <v>1265.675</v>
      </c>
      <c r="P2243" s="116">
        <v>1278.45</v>
      </c>
      <c r="Q2243" s="116">
        <v>2542.0500000000002</v>
      </c>
      <c r="R2243">
        <v>693370</v>
      </c>
    </row>
    <row r="2244" spans="1:18" x14ac:dyDescent="0.25">
      <c r="A2244" s="170">
        <v>45308</v>
      </c>
      <c r="B2244" s="116">
        <v>1279.175</v>
      </c>
      <c r="C2244" s="116">
        <v>1271.625</v>
      </c>
      <c r="D2244" s="116">
        <v>1263</v>
      </c>
      <c r="E2244" s="116">
        <v>1271.075</v>
      </c>
      <c r="F2244" s="116">
        <v>2543.25</v>
      </c>
      <c r="G2244">
        <v>19494</v>
      </c>
      <c r="H2244" s="116"/>
      <c r="I2244" s="116"/>
      <c r="L2244" s="170">
        <v>45308</v>
      </c>
      <c r="M2244" s="116">
        <v>1271.55</v>
      </c>
      <c r="N2244" s="116">
        <v>1278.575</v>
      </c>
      <c r="O2244" s="116">
        <v>1262.7</v>
      </c>
      <c r="P2244" s="116">
        <v>1271.0250000000001</v>
      </c>
      <c r="Q2244" s="116">
        <v>2543.1</v>
      </c>
      <c r="R2244">
        <v>801619</v>
      </c>
    </row>
    <row r="2245" spans="1:18" x14ac:dyDescent="0.25">
      <c r="A2245" s="170">
        <v>45309</v>
      </c>
      <c r="B2245" s="116">
        <v>1274.825</v>
      </c>
      <c r="C2245" s="116">
        <v>1251.3</v>
      </c>
      <c r="D2245" s="116">
        <v>1248.1500000000001</v>
      </c>
      <c r="E2245" s="116">
        <v>1268.55</v>
      </c>
      <c r="F2245" s="116">
        <v>2502.6</v>
      </c>
      <c r="G2245">
        <v>56084</v>
      </c>
      <c r="H2245" s="116"/>
      <c r="I2245" s="116"/>
      <c r="L2245" s="170">
        <v>45309</v>
      </c>
      <c r="M2245" s="116">
        <v>1251</v>
      </c>
      <c r="N2245" s="116">
        <v>1275</v>
      </c>
      <c r="O2245" s="116">
        <v>1248.075</v>
      </c>
      <c r="P2245" s="116">
        <v>1267.5</v>
      </c>
      <c r="Q2245" s="116">
        <v>2502</v>
      </c>
      <c r="R2245">
        <v>634910</v>
      </c>
    </row>
    <row r="2246" spans="1:18" x14ac:dyDescent="0.25">
      <c r="A2246" s="170">
        <v>45310</v>
      </c>
      <c r="B2246" s="116">
        <v>1273.925</v>
      </c>
      <c r="C2246" s="116">
        <v>1257.575</v>
      </c>
      <c r="D2246" s="116">
        <v>1250.2249999999999</v>
      </c>
      <c r="E2246" s="116">
        <v>1273.925</v>
      </c>
      <c r="F2246" s="116">
        <v>2515.15</v>
      </c>
      <c r="G2246">
        <v>35526</v>
      </c>
      <c r="H2246" s="116"/>
      <c r="I2246" s="116"/>
      <c r="L2246" s="170">
        <v>45310</v>
      </c>
      <c r="M2246" s="116">
        <v>1257.075</v>
      </c>
      <c r="N2246" s="116">
        <v>1260.95</v>
      </c>
      <c r="O2246" s="116">
        <v>1249.8499999999999</v>
      </c>
      <c r="P2246" s="116">
        <v>1255</v>
      </c>
      <c r="Q2246" s="116">
        <v>2514.15</v>
      </c>
      <c r="R2246">
        <v>941391</v>
      </c>
    </row>
    <row r="2247" spans="1:18" x14ac:dyDescent="0.25">
      <c r="A2247" s="170">
        <v>45311</v>
      </c>
      <c r="B2247" s="116">
        <v>1264.45</v>
      </c>
      <c r="C2247" s="116">
        <v>1240.1500000000001</v>
      </c>
      <c r="D2247" s="116">
        <v>1236.5250000000001</v>
      </c>
      <c r="E2247" s="116">
        <v>1264.45</v>
      </c>
      <c r="F2247" s="116">
        <v>2480.3000000000002</v>
      </c>
      <c r="G2247">
        <v>45209</v>
      </c>
      <c r="H2247" s="116"/>
      <c r="I2247" s="116"/>
      <c r="L2247" s="170">
        <v>45311</v>
      </c>
      <c r="M2247" s="116">
        <v>1239.9749999999999</v>
      </c>
      <c r="N2247" s="116">
        <v>1262.5</v>
      </c>
      <c r="O2247" s="116">
        <v>1235.4000000000001</v>
      </c>
      <c r="P2247" s="116">
        <v>1260</v>
      </c>
      <c r="Q2247" s="116">
        <v>2479.9499999999998</v>
      </c>
      <c r="R2247">
        <v>445592</v>
      </c>
    </row>
    <row r="2248" spans="1:18" x14ac:dyDescent="0.25">
      <c r="A2248" s="170">
        <v>45314</v>
      </c>
      <c r="B2248" s="116">
        <v>1249.375</v>
      </c>
      <c r="C2248" s="116">
        <v>1231.2249999999999</v>
      </c>
      <c r="D2248" s="116">
        <v>1222.9000000000001</v>
      </c>
      <c r="E2248" s="116">
        <v>1247.425</v>
      </c>
      <c r="F2248" s="116">
        <v>2462.4499999999998</v>
      </c>
      <c r="G2248">
        <v>54712</v>
      </c>
      <c r="H2248" s="116"/>
      <c r="I2248" s="116"/>
      <c r="L2248" s="170">
        <v>45314</v>
      </c>
      <c r="M2248" s="116">
        <v>1231.45</v>
      </c>
      <c r="N2248" s="116">
        <v>1249.0999999999999</v>
      </c>
      <c r="O2248" s="116">
        <v>1223</v>
      </c>
      <c r="P2248" s="116">
        <v>1240</v>
      </c>
      <c r="Q2248" s="116">
        <v>2462.9</v>
      </c>
      <c r="R2248">
        <v>690538</v>
      </c>
    </row>
    <row r="2249" spans="1:18" x14ac:dyDescent="0.25">
      <c r="A2249" s="170">
        <v>45315</v>
      </c>
      <c r="B2249" s="116">
        <v>1259.875</v>
      </c>
      <c r="C2249" s="116">
        <v>1257.5999999999999</v>
      </c>
      <c r="D2249" s="116">
        <v>1226.7249999999999</v>
      </c>
      <c r="E2249" s="116">
        <v>1237.4749999999999</v>
      </c>
      <c r="F2249" s="116">
        <v>2515.1999999999998</v>
      </c>
      <c r="G2249">
        <v>19360</v>
      </c>
      <c r="H2249" s="116"/>
      <c r="I2249" s="116"/>
      <c r="L2249" s="170">
        <v>45315</v>
      </c>
      <c r="M2249" s="116">
        <v>1256.9749999999999</v>
      </c>
      <c r="N2249" s="116">
        <v>1259.7</v>
      </c>
      <c r="O2249" s="116">
        <v>1227.5</v>
      </c>
      <c r="P2249" s="116">
        <v>1238.95</v>
      </c>
      <c r="Q2249" s="116">
        <v>2513.9499999999998</v>
      </c>
      <c r="R2249">
        <v>659038</v>
      </c>
    </row>
    <row r="2250" spans="1:18" x14ac:dyDescent="0.25">
      <c r="A2250" s="170">
        <v>45316</v>
      </c>
      <c r="B2250" s="116">
        <v>1264.5</v>
      </c>
      <c r="C2250" s="116">
        <v>1240.625</v>
      </c>
      <c r="D2250" s="116">
        <v>1235</v>
      </c>
      <c r="E2250" s="116">
        <v>1264.075</v>
      </c>
      <c r="F2250" s="116">
        <v>2481.25</v>
      </c>
      <c r="G2250">
        <v>40582</v>
      </c>
      <c r="H2250" s="116"/>
      <c r="I2250" s="116"/>
      <c r="L2250" s="170">
        <v>45316</v>
      </c>
      <c r="M2250" s="116">
        <v>1241.075</v>
      </c>
      <c r="N2250" s="116">
        <v>1264</v>
      </c>
      <c r="O2250" s="116">
        <v>1233.8499999999999</v>
      </c>
      <c r="P2250" s="116">
        <v>1262.5250000000001</v>
      </c>
      <c r="Q2250" s="116">
        <v>2482.15</v>
      </c>
      <c r="R2250">
        <v>785773</v>
      </c>
    </row>
    <row r="2251" spans="1:18" x14ac:dyDescent="0.25">
      <c r="A2251" s="170">
        <v>45320</v>
      </c>
      <c r="B2251" s="116">
        <v>1252.5</v>
      </c>
      <c r="C2251" s="116">
        <v>1249.0250000000001</v>
      </c>
      <c r="D2251" s="116">
        <v>1238.5</v>
      </c>
      <c r="E2251" s="116">
        <v>1248.925</v>
      </c>
      <c r="F2251" s="116">
        <v>2498.0500000000002</v>
      </c>
      <c r="G2251">
        <v>12518</v>
      </c>
      <c r="H2251" s="116"/>
      <c r="I2251" s="116"/>
      <c r="L2251" s="170">
        <v>45320</v>
      </c>
      <c r="M2251" s="116">
        <v>1249.2750000000001</v>
      </c>
      <c r="N2251" s="116">
        <v>1252.5</v>
      </c>
      <c r="O2251" s="116">
        <v>1238.3</v>
      </c>
      <c r="P2251" s="116">
        <v>1241.075</v>
      </c>
      <c r="Q2251" s="116">
        <v>2498.5500000000002</v>
      </c>
      <c r="R2251">
        <v>632719</v>
      </c>
    </row>
    <row r="2252" spans="1:18" x14ac:dyDescent="0.25">
      <c r="A2252" s="170">
        <v>45321</v>
      </c>
      <c r="B2252" s="116">
        <v>1265.75</v>
      </c>
      <c r="C2252" s="116">
        <v>1246.625</v>
      </c>
      <c r="D2252" s="116">
        <v>1244.625</v>
      </c>
      <c r="E2252" s="116">
        <v>1259.9000000000001</v>
      </c>
      <c r="F2252" s="116">
        <v>2493.25</v>
      </c>
      <c r="G2252">
        <v>17038</v>
      </c>
      <c r="H2252" s="116"/>
      <c r="I2252" s="116"/>
      <c r="L2252" s="170">
        <v>45321</v>
      </c>
      <c r="M2252" s="116">
        <v>1246.0250000000001</v>
      </c>
      <c r="N2252" s="116">
        <v>1265.575</v>
      </c>
      <c r="O2252" s="116">
        <v>1244</v>
      </c>
      <c r="P2252" s="116">
        <v>1256</v>
      </c>
      <c r="Q2252" s="116">
        <v>2492.0500000000002</v>
      </c>
      <c r="R2252">
        <v>668034</v>
      </c>
    </row>
    <row r="2253" spans="1:18" x14ac:dyDescent="0.25">
      <c r="A2253" s="170">
        <v>45322</v>
      </c>
      <c r="B2253" s="116">
        <v>1256.425</v>
      </c>
      <c r="C2253" s="116">
        <v>1252.75</v>
      </c>
      <c r="D2253" s="116">
        <v>1240.75</v>
      </c>
      <c r="E2253" s="116">
        <v>1256.425</v>
      </c>
      <c r="F2253" s="116">
        <v>2505.5</v>
      </c>
      <c r="G2253">
        <v>32436</v>
      </c>
      <c r="H2253" s="116"/>
      <c r="I2253" s="116"/>
      <c r="L2253" s="170">
        <v>45322</v>
      </c>
      <c r="M2253" s="116">
        <v>1253</v>
      </c>
      <c r="N2253" s="116">
        <v>1255.875</v>
      </c>
      <c r="O2253" s="116">
        <v>1240.8499999999999</v>
      </c>
      <c r="P2253" s="116">
        <v>1254.5</v>
      </c>
      <c r="Q2253" s="116">
        <v>2506</v>
      </c>
      <c r="R2253">
        <v>716094</v>
      </c>
    </row>
    <row r="2254" spans="1:18" x14ac:dyDescent="0.25">
      <c r="A2254" s="170">
        <v>45323</v>
      </c>
      <c r="B2254" s="116">
        <v>1262.425</v>
      </c>
      <c r="C2254" s="116">
        <v>1234.2750000000001</v>
      </c>
      <c r="D2254" s="116">
        <v>1231.25</v>
      </c>
      <c r="E2254" s="116">
        <v>1262.425</v>
      </c>
      <c r="F2254" s="116">
        <v>2468.5500000000002</v>
      </c>
      <c r="G2254">
        <v>21639</v>
      </c>
      <c r="H2254" s="116"/>
      <c r="I2254" s="116"/>
      <c r="L2254" s="170">
        <v>45323</v>
      </c>
      <c r="M2254" s="116">
        <v>1233.9000000000001</v>
      </c>
      <c r="N2254" s="116">
        <v>1255.45</v>
      </c>
      <c r="O2254" s="116">
        <v>1231.3499999999999</v>
      </c>
      <c r="P2254" s="116">
        <v>1255</v>
      </c>
      <c r="Q2254" s="116">
        <v>2467.8000000000002</v>
      </c>
      <c r="R2254">
        <v>820566</v>
      </c>
    </row>
    <row r="2255" spans="1:18" x14ac:dyDescent="0.25">
      <c r="A2255" s="170">
        <v>45324</v>
      </c>
      <c r="B2255" s="116">
        <v>1247.9000000000001</v>
      </c>
      <c r="C2255" s="116">
        <v>1242</v>
      </c>
      <c r="D2255" s="116">
        <v>1232</v>
      </c>
      <c r="E2255" s="116">
        <v>1237.425</v>
      </c>
      <c r="F2255" s="116">
        <v>2484</v>
      </c>
      <c r="G2255">
        <v>47805</v>
      </c>
      <c r="H2255" s="116"/>
      <c r="I2255" s="116"/>
      <c r="L2255" s="170">
        <v>45324</v>
      </c>
      <c r="M2255" s="116">
        <v>1240.7</v>
      </c>
      <c r="N2255" s="116">
        <v>1248</v>
      </c>
      <c r="O2255" s="116">
        <v>1231.5250000000001</v>
      </c>
      <c r="P2255" s="116">
        <v>1234</v>
      </c>
      <c r="Q2255" s="116">
        <v>2481.4</v>
      </c>
      <c r="R2255">
        <v>754061</v>
      </c>
    </row>
    <row r="2256" spans="1:18" x14ac:dyDescent="0.25">
      <c r="A2256" s="170">
        <v>45327</v>
      </c>
      <c r="B2256" s="116">
        <v>1252.45</v>
      </c>
      <c r="C2256" s="116">
        <v>1231.55</v>
      </c>
      <c r="D2256" s="116">
        <v>1230</v>
      </c>
      <c r="E2256" s="116">
        <v>1252.45</v>
      </c>
      <c r="F2256" s="116">
        <v>2463.1</v>
      </c>
      <c r="G2256">
        <v>44757</v>
      </c>
      <c r="H2256" s="116"/>
      <c r="I2256" s="116"/>
      <c r="L2256" s="170">
        <v>45327</v>
      </c>
      <c r="M2256" s="116">
        <v>1231.3499999999999</v>
      </c>
      <c r="N2256" s="116">
        <v>1252.5</v>
      </c>
      <c r="O2256" s="116">
        <v>1228.3499999999999</v>
      </c>
      <c r="P2256" s="116">
        <v>1252.5</v>
      </c>
      <c r="Q2256" s="116">
        <v>2462.6999999999998</v>
      </c>
      <c r="R2256">
        <v>532977</v>
      </c>
    </row>
    <row r="2257" spans="1:18" x14ac:dyDescent="0.25">
      <c r="A2257" s="170">
        <v>45328</v>
      </c>
      <c r="B2257" s="116">
        <v>1239.6500000000001</v>
      </c>
      <c r="C2257" s="116">
        <v>1228.925</v>
      </c>
      <c r="D2257" s="116">
        <v>1222.9000000000001</v>
      </c>
      <c r="E2257" s="116">
        <v>1231.5</v>
      </c>
      <c r="F2257" s="116">
        <v>2457.85</v>
      </c>
      <c r="G2257">
        <v>70118</v>
      </c>
      <c r="H2257" s="116"/>
      <c r="I2257" s="116"/>
      <c r="L2257" s="170">
        <v>45328</v>
      </c>
      <c r="M2257" s="116">
        <v>1228.325</v>
      </c>
      <c r="N2257" s="116">
        <v>1238.9749999999999</v>
      </c>
      <c r="O2257" s="116">
        <v>1222.875</v>
      </c>
      <c r="P2257" s="116">
        <v>1231.175</v>
      </c>
      <c r="Q2257" s="116">
        <v>2456.65</v>
      </c>
      <c r="R2257">
        <v>770183</v>
      </c>
    </row>
    <row r="2258" spans="1:18" x14ac:dyDescent="0.25">
      <c r="A2258" s="170">
        <v>45329</v>
      </c>
      <c r="B2258" s="116">
        <v>1255.125</v>
      </c>
      <c r="C2258" s="116">
        <v>1249.5250000000001</v>
      </c>
      <c r="D2258" s="116">
        <v>1224</v>
      </c>
      <c r="E2258" s="116">
        <v>1235.3499999999999</v>
      </c>
      <c r="F2258" s="116">
        <v>2499.0500000000002</v>
      </c>
      <c r="G2258">
        <v>127743</v>
      </c>
      <c r="H2258" s="116"/>
      <c r="I2258" s="116"/>
      <c r="L2258" s="170">
        <v>45329</v>
      </c>
      <c r="M2258" s="116">
        <v>1249.8</v>
      </c>
      <c r="N2258" s="116">
        <v>1255.7750000000001</v>
      </c>
      <c r="O2258" s="116">
        <v>1223.3499999999999</v>
      </c>
      <c r="P2258" s="116">
        <v>1235</v>
      </c>
      <c r="Q2258" s="116">
        <v>2499.6</v>
      </c>
      <c r="R2258">
        <v>1547404</v>
      </c>
    </row>
    <row r="2259" spans="1:18" x14ac:dyDescent="0.25">
      <c r="A2259" s="170">
        <v>45330</v>
      </c>
      <c r="B2259" s="116">
        <v>1255</v>
      </c>
      <c r="C2259" s="116">
        <v>1211.8</v>
      </c>
      <c r="D2259" s="116">
        <v>1204.8499999999999</v>
      </c>
      <c r="E2259" s="116">
        <v>1250.05</v>
      </c>
      <c r="F2259" s="116">
        <v>2423.6</v>
      </c>
      <c r="G2259">
        <v>48888</v>
      </c>
      <c r="H2259" s="116"/>
      <c r="I2259" s="116"/>
      <c r="L2259" s="170">
        <v>45330</v>
      </c>
      <c r="M2259" s="116">
        <v>1211.5250000000001</v>
      </c>
      <c r="N2259" s="116">
        <v>1256.925</v>
      </c>
      <c r="O2259" s="116">
        <v>1204.55</v>
      </c>
      <c r="P2259" s="116">
        <v>1251.9749999999999</v>
      </c>
      <c r="Q2259" s="116">
        <v>2423.0500000000002</v>
      </c>
      <c r="R2259">
        <v>1654447</v>
      </c>
    </row>
    <row r="2260" spans="1:18" x14ac:dyDescent="0.25">
      <c r="A2260" s="170">
        <v>45331</v>
      </c>
      <c r="B2260" s="116">
        <v>1232.5</v>
      </c>
      <c r="C2260" s="116">
        <v>1225.0250000000001</v>
      </c>
      <c r="D2260" s="116">
        <v>1210.3</v>
      </c>
      <c r="E2260" s="116">
        <v>1212.825</v>
      </c>
      <c r="F2260" s="116">
        <v>2450.0500000000002</v>
      </c>
      <c r="G2260">
        <v>32039</v>
      </c>
      <c r="H2260" s="116"/>
      <c r="I2260" s="116"/>
      <c r="L2260" s="170">
        <v>45331</v>
      </c>
      <c r="M2260" s="116">
        <v>1225.05</v>
      </c>
      <c r="N2260" s="116">
        <v>1232.95</v>
      </c>
      <c r="O2260" s="116">
        <v>1210.0250000000001</v>
      </c>
      <c r="P2260" s="116">
        <v>1221.425</v>
      </c>
      <c r="Q2260" s="116">
        <v>2450.1</v>
      </c>
      <c r="R2260">
        <v>838819</v>
      </c>
    </row>
    <row r="2261" spans="1:18" x14ac:dyDescent="0.25">
      <c r="A2261" s="170">
        <v>45334</v>
      </c>
      <c r="B2261" s="116">
        <v>1239.925</v>
      </c>
      <c r="C2261" s="116">
        <v>1229.1500000000001</v>
      </c>
      <c r="D2261" s="116">
        <v>1220</v>
      </c>
      <c r="E2261" s="116">
        <v>1239.925</v>
      </c>
      <c r="F2261" s="116">
        <v>2458.3000000000002</v>
      </c>
      <c r="G2261">
        <v>10893</v>
      </c>
      <c r="H2261" s="116"/>
      <c r="I2261" s="116"/>
      <c r="L2261" s="170">
        <v>45334</v>
      </c>
      <c r="M2261" s="116">
        <v>1229.5250000000001</v>
      </c>
      <c r="N2261" s="116">
        <v>1233.9749999999999</v>
      </c>
      <c r="O2261" s="116">
        <v>1219.6500000000001</v>
      </c>
      <c r="P2261" s="116">
        <v>1229.875</v>
      </c>
      <c r="Q2261" s="116">
        <v>2459.0500000000002</v>
      </c>
      <c r="R2261">
        <v>445269</v>
      </c>
    </row>
    <row r="2262" spans="1:18" x14ac:dyDescent="0.25">
      <c r="A2262" s="170">
        <v>45335</v>
      </c>
      <c r="B2262" s="116">
        <v>1239.075</v>
      </c>
      <c r="C2262" s="116">
        <v>1229.575</v>
      </c>
      <c r="D2262" s="116">
        <v>1223.175</v>
      </c>
      <c r="E2262" s="116">
        <v>1239.075</v>
      </c>
      <c r="F2262" s="116">
        <v>2459.15</v>
      </c>
      <c r="G2262">
        <v>9072</v>
      </c>
      <c r="H2262" s="116"/>
      <c r="I2262" s="116"/>
      <c r="L2262" s="170">
        <v>45335</v>
      </c>
      <c r="M2262" s="116">
        <v>1228.675</v>
      </c>
      <c r="N2262" s="116">
        <v>1238.3</v>
      </c>
      <c r="O2262" s="116">
        <v>1222.4749999999999</v>
      </c>
      <c r="P2262" s="116">
        <v>1237</v>
      </c>
      <c r="Q2262" s="116">
        <v>2457.35</v>
      </c>
      <c r="R2262">
        <v>310985</v>
      </c>
    </row>
    <row r="2263" spans="1:18" x14ac:dyDescent="0.25">
      <c r="A2263" s="170">
        <v>45336</v>
      </c>
      <c r="B2263" s="116">
        <v>1248</v>
      </c>
      <c r="C2263" s="116">
        <v>1243.5250000000001</v>
      </c>
      <c r="D2263" s="116">
        <v>1217.8499999999999</v>
      </c>
      <c r="E2263" s="116">
        <v>1227.425</v>
      </c>
      <c r="F2263" s="116">
        <v>2487.0500000000002</v>
      </c>
      <c r="G2263">
        <v>62230</v>
      </c>
      <c r="H2263" s="116"/>
      <c r="I2263" s="116"/>
      <c r="L2263" s="170">
        <v>45336</v>
      </c>
      <c r="M2263" s="116">
        <v>1243.5</v>
      </c>
      <c r="N2263" s="116">
        <v>1248.675</v>
      </c>
      <c r="O2263" s="116">
        <v>1217.5250000000001</v>
      </c>
      <c r="P2263" s="116">
        <v>1225</v>
      </c>
      <c r="Q2263" s="116">
        <v>2487</v>
      </c>
      <c r="R2263">
        <v>509308</v>
      </c>
    </row>
    <row r="2264" spans="1:18" x14ac:dyDescent="0.25">
      <c r="A2264" s="170">
        <v>45337</v>
      </c>
      <c r="B2264" s="116">
        <v>1245.125</v>
      </c>
      <c r="C2264" s="116">
        <v>1226.8499999999999</v>
      </c>
      <c r="D2264" s="116">
        <v>1220</v>
      </c>
      <c r="E2264" s="116">
        <v>1245.125</v>
      </c>
      <c r="F2264" s="116">
        <v>2453.6999999999998</v>
      </c>
      <c r="G2264">
        <v>24910</v>
      </c>
      <c r="H2264" s="116"/>
      <c r="I2264" s="116"/>
      <c r="L2264" s="170">
        <v>45337</v>
      </c>
      <c r="M2264" s="116">
        <v>1226.7750000000001</v>
      </c>
      <c r="N2264" s="116">
        <v>1247.5</v>
      </c>
      <c r="O2264" s="116">
        <v>1219</v>
      </c>
      <c r="P2264" s="116">
        <v>1247.5</v>
      </c>
      <c r="Q2264" s="116">
        <v>2453.5500000000002</v>
      </c>
      <c r="R2264">
        <v>840476</v>
      </c>
    </row>
    <row r="2265" spans="1:18" x14ac:dyDescent="0.25">
      <c r="A2265" s="170">
        <v>45338</v>
      </c>
      <c r="B2265" s="116">
        <v>1245</v>
      </c>
      <c r="C2265" s="116">
        <v>1243.8</v>
      </c>
      <c r="D2265" s="116">
        <v>1224.6500000000001</v>
      </c>
      <c r="E2265" s="116">
        <v>1228.5250000000001</v>
      </c>
      <c r="F2265" s="116">
        <v>2487.6</v>
      </c>
      <c r="G2265">
        <v>33913</v>
      </c>
      <c r="H2265" s="116"/>
      <c r="I2265" s="116"/>
      <c r="L2265" s="170">
        <v>45338</v>
      </c>
      <c r="M2265" s="116">
        <v>1243.825</v>
      </c>
      <c r="N2265" s="116">
        <v>1245.25</v>
      </c>
      <c r="O2265" s="116">
        <v>1224.3</v>
      </c>
      <c r="P2265" s="116">
        <v>1228.5250000000001</v>
      </c>
      <c r="Q2265" s="116">
        <v>2487.65</v>
      </c>
      <c r="R2265">
        <v>746616</v>
      </c>
    </row>
    <row r="2266" spans="1:18" x14ac:dyDescent="0.25">
      <c r="A2266" s="170">
        <v>45341</v>
      </c>
      <c r="B2266" s="116">
        <v>1262.5</v>
      </c>
      <c r="C2266" s="116">
        <v>1257</v>
      </c>
      <c r="D2266" s="116">
        <v>1241.0250000000001</v>
      </c>
      <c r="E2266" s="116">
        <v>1250</v>
      </c>
      <c r="F2266" s="116">
        <v>2514</v>
      </c>
      <c r="G2266">
        <v>15241</v>
      </c>
      <c r="H2266" s="116"/>
      <c r="I2266" s="116"/>
      <c r="L2266" s="170">
        <v>45341</v>
      </c>
      <c r="M2266" s="116">
        <v>1256.625</v>
      </c>
      <c r="N2266" s="116">
        <v>1262.75</v>
      </c>
      <c r="O2266" s="116">
        <v>1240.7</v>
      </c>
      <c r="P2266" s="116">
        <v>1247.5</v>
      </c>
      <c r="Q2266" s="116">
        <v>2513.25</v>
      </c>
      <c r="R2266">
        <v>477520</v>
      </c>
    </row>
    <row r="2267" spans="1:18" x14ac:dyDescent="0.25">
      <c r="A2267" s="170">
        <v>45342</v>
      </c>
      <c r="B2267" s="116">
        <v>1270</v>
      </c>
      <c r="C2267" s="116">
        <v>1269.375</v>
      </c>
      <c r="D2267" s="116">
        <v>1248.75</v>
      </c>
      <c r="E2267" s="116">
        <v>1261.4749999999999</v>
      </c>
      <c r="F2267" s="116">
        <v>2538.75</v>
      </c>
      <c r="G2267">
        <v>56696</v>
      </c>
      <c r="H2267" s="116"/>
      <c r="I2267" s="116"/>
      <c r="L2267" s="170">
        <v>45342</v>
      </c>
      <c r="M2267" s="116">
        <v>1269.7</v>
      </c>
      <c r="N2267" s="116">
        <v>1270.9000000000001</v>
      </c>
      <c r="O2267" s="116">
        <v>1248.55</v>
      </c>
      <c r="P2267" s="116">
        <v>1259.5</v>
      </c>
      <c r="Q2267" s="116">
        <v>2539.4</v>
      </c>
      <c r="R2267">
        <v>631444</v>
      </c>
    </row>
    <row r="2268" spans="1:18" x14ac:dyDescent="0.25">
      <c r="A2268" s="170">
        <v>45343</v>
      </c>
      <c r="B2268" s="116">
        <v>1275</v>
      </c>
      <c r="C2268" s="116">
        <v>1273.625</v>
      </c>
      <c r="D2268" s="116">
        <v>1260.175</v>
      </c>
      <c r="E2268" s="116">
        <v>1271.875</v>
      </c>
      <c r="F2268" s="116">
        <v>2547.25</v>
      </c>
      <c r="G2268">
        <v>33249</v>
      </c>
      <c r="H2268" s="116"/>
      <c r="I2268" s="116"/>
      <c r="L2268" s="170">
        <v>45343</v>
      </c>
      <c r="M2268" s="116">
        <v>1271.8</v>
      </c>
      <c r="N2268" s="116">
        <v>1275.5</v>
      </c>
      <c r="O2268" s="116">
        <v>1259.075</v>
      </c>
      <c r="P2268" s="116">
        <v>1269.7</v>
      </c>
      <c r="Q2268" s="116">
        <v>2543.6</v>
      </c>
      <c r="R2268">
        <v>893182</v>
      </c>
    </row>
    <row r="2269" spans="1:18" x14ac:dyDescent="0.25">
      <c r="A2269" s="170">
        <v>45344</v>
      </c>
      <c r="B2269" s="116">
        <v>1282.5</v>
      </c>
      <c r="C2269" s="116">
        <v>1281.2249999999999</v>
      </c>
      <c r="D2269" s="116">
        <v>1262.55</v>
      </c>
      <c r="E2269" s="116">
        <v>1275.5999999999999</v>
      </c>
      <c r="F2269" s="116">
        <v>2562.4499999999998</v>
      </c>
      <c r="G2269">
        <v>30733</v>
      </c>
      <c r="H2269" s="116"/>
      <c r="I2269" s="116"/>
      <c r="L2269" s="170">
        <v>45344</v>
      </c>
      <c r="M2269" s="116">
        <v>1281.575</v>
      </c>
      <c r="N2269" s="116">
        <v>1282.9749999999999</v>
      </c>
      <c r="O2269" s="116">
        <v>1262.5</v>
      </c>
      <c r="P2269" s="116">
        <v>1280</v>
      </c>
      <c r="Q2269" s="116">
        <v>2563.15</v>
      </c>
      <c r="R2269">
        <v>752371</v>
      </c>
    </row>
    <row r="2270" spans="1:18" x14ac:dyDescent="0.25">
      <c r="A2270" s="170">
        <v>45345</v>
      </c>
      <c r="B2270" s="116">
        <v>1291.5</v>
      </c>
      <c r="C2270" s="116">
        <v>1290.375</v>
      </c>
      <c r="D2270" s="116">
        <v>1276.2249999999999</v>
      </c>
      <c r="E2270" s="116">
        <v>1282</v>
      </c>
      <c r="F2270" s="116">
        <v>2580.75</v>
      </c>
      <c r="G2270">
        <v>17104</v>
      </c>
      <c r="H2270" s="116"/>
      <c r="I2270" s="116"/>
      <c r="L2270" s="170">
        <v>45345</v>
      </c>
      <c r="M2270" s="116">
        <v>1289.5</v>
      </c>
      <c r="N2270" s="116">
        <v>1291.5</v>
      </c>
      <c r="O2270" s="116">
        <v>1275.9749999999999</v>
      </c>
      <c r="P2270" s="116">
        <v>1282.5</v>
      </c>
      <c r="Q2270" s="116">
        <v>2579</v>
      </c>
      <c r="R2270">
        <v>605619</v>
      </c>
    </row>
    <row r="2271" spans="1:18" x14ac:dyDescent="0.25">
      <c r="A2271" s="170">
        <v>45348</v>
      </c>
      <c r="B2271" s="116">
        <v>1293.175</v>
      </c>
      <c r="C2271" s="116">
        <v>1291.45</v>
      </c>
      <c r="D2271" s="116">
        <v>1283.2750000000001</v>
      </c>
      <c r="E2271" s="116">
        <v>1290.7750000000001</v>
      </c>
      <c r="F2271" s="116">
        <v>2582.9</v>
      </c>
      <c r="G2271">
        <v>29154</v>
      </c>
      <c r="H2271" s="116"/>
      <c r="I2271" s="116"/>
      <c r="L2271" s="170">
        <v>45348</v>
      </c>
      <c r="M2271" s="116">
        <v>1291.95</v>
      </c>
      <c r="N2271" s="116">
        <v>1294</v>
      </c>
      <c r="O2271" s="116">
        <v>1283.375</v>
      </c>
      <c r="P2271" s="116">
        <v>1294</v>
      </c>
      <c r="Q2271" s="116">
        <v>2583.9</v>
      </c>
      <c r="R2271">
        <v>661947</v>
      </c>
    </row>
    <row r="2272" spans="1:18" x14ac:dyDescent="0.25">
      <c r="A2272" s="170">
        <v>45349</v>
      </c>
      <c r="B2272" s="116">
        <v>1300.825</v>
      </c>
      <c r="C2272" s="116">
        <v>1299.0250000000001</v>
      </c>
      <c r="D2272" s="116">
        <v>1283.2750000000001</v>
      </c>
      <c r="E2272" s="116">
        <v>1296.2</v>
      </c>
      <c r="F2272" s="116">
        <v>2598.0500000000002</v>
      </c>
      <c r="G2272">
        <v>11586</v>
      </c>
      <c r="H2272" s="116"/>
      <c r="I2272" s="116"/>
      <c r="L2272" s="170">
        <v>45349</v>
      </c>
      <c r="M2272" s="116">
        <v>1299.3499999999999</v>
      </c>
      <c r="N2272" s="116">
        <v>1300.7249999999999</v>
      </c>
      <c r="O2272" s="116">
        <v>1283.375</v>
      </c>
      <c r="P2272" s="116">
        <v>1292.5</v>
      </c>
      <c r="Q2272" s="116">
        <v>2598.6999999999998</v>
      </c>
      <c r="R2272">
        <v>630872</v>
      </c>
    </row>
    <row r="2273" spans="1:18" x14ac:dyDescent="0.25">
      <c r="A2273" s="170">
        <v>45350</v>
      </c>
      <c r="B2273" s="116">
        <v>1302</v>
      </c>
      <c r="C2273" s="116">
        <v>1284.55</v>
      </c>
      <c r="D2273" s="116">
        <v>1278.6500000000001</v>
      </c>
      <c r="E2273" s="116">
        <v>1302</v>
      </c>
      <c r="F2273" s="116">
        <v>2569.1</v>
      </c>
      <c r="G2273">
        <v>30703</v>
      </c>
      <c r="H2273" s="116"/>
      <c r="I2273" s="116"/>
      <c r="L2273" s="170">
        <v>45350</v>
      </c>
      <c r="M2273" s="116">
        <v>1285.45</v>
      </c>
      <c r="N2273" s="116">
        <v>1302.5</v>
      </c>
      <c r="O2273" s="116">
        <v>1280.125</v>
      </c>
      <c r="P2273" s="116">
        <v>1300.5</v>
      </c>
      <c r="Q2273" s="116">
        <v>2570.9</v>
      </c>
      <c r="R2273">
        <v>492787</v>
      </c>
    </row>
    <row r="2274" spans="1:18" x14ac:dyDescent="0.25">
      <c r="A2274" s="170">
        <v>45351</v>
      </c>
      <c r="B2274" s="116">
        <v>1303.55</v>
      </c>
      <c r="C2274" s="116">
        <v>1299.325</v>
      </c>
      <c r="D2274" s="116">
        <v>1274</v>
      </c>
      <c r="E2274" s="116">
        <v>1280.1500000000001</v>
      </c>
      <c r="F2274" s="116">
        <v>2598.65</v>
      </c>
      <c r="G2274">
        <v>17526</v>
      </c>
      <c r="H2274" s="116"/>
      <c r="I2274" s="116"/>
      <c r="L2274" s="170">
        <v>45351</v>
      </c>
      <c r="M2274" s="116">
        <v>1298.0999999999999</v>
      </c>
      <c r="N2274" s="116">
        <v>1303.0999999999999</v>
      </c>
      <c r="O2274" s="116">
        <v>1273.5250000000001</v>
      </c>
      <c r="P2274" s="116">
        <v>1285.7249999999999</v>
      </c>
      <c r="Q2274" s="116">
        <v>2596.1999999999998</v>
      </c>
      <c r="R2274">
        <v>1387288</v>
      </c>
    </row>
    <row r="2275" spans="1:18" x14ac:dyDescent="0.25">
      <c r="A2275" s="170">
        <v>45352</v>
      </c>
      <c r="B2275" s="116">
        <v>1308</v>
      </c>
      <c r="C2275" s="116">
        <v>1299.825</v>
      </c>
      <c r="D2275" s="116">
        <v>1291.5</v>
      </c>
      <c r="E2275" s="116">
        <v>1299.0250000000001</v>
      </c>
      <c r="F2275" s="116">
        <v>2599.65</v>
      </c>
      <c r="G2275">
        <v>34858</v>
      </c>
      <c r="H2275" s="116"/>
      <c r="I2275" s="116"/>
      <c r="L2275" s="170">
        <v>45352</v>
      </c>
      <c r="M2275" s="116">
        <v>1300.7249999999999</v>
      </c>
      <c r="N2275" s="116">
        <v>1308.2750000000001</v>
      </c>
      <c r="O2275" s="116">
        <v>1291.25</v>
      </c>
      <c r="P2275" s="116">
        <v>1298.0999999999999</v>
      </c>
      <c r="Q2275" s="116">
        <v>2601.4499999999998</v>
      </c>
      <c r="R2275">
        <v>755728</v>
      </c>
    </row>
    <row r="2276" spans="1:18" x14ac:dyDescent="0.25">
      <c r="A2276" s="170">
        <v>45353</v>
      </c>
      <c r="B2276" s="116">
        <v>1310.3</v>
      </c>
      <c r="C2276" s="116">
        <v>1299.325</v>
      </c>
      <c r="D2276" s="116">
        <v>1286.7</v>
      </c>
      <c r="E2276" s="116">
        <v>1300</v>
      </c>
      <c r="F2276" s="116">
        <v>2598.65</v>
      </c>
      <c r="G2276">
        <v>1856</v>
      </c>
      <c r="H2276" s="116"/>
      <c r="I2276" s="116"/>
      <c r="L2276" s="170">
        <v>45353</v>
      </c>
      <c r="M2276" s="116">
        <v>1297.45</v>
      </c>
      <c r="N2276" s="116">
        <v>1304.7</v>
      </c>
      <c r="O2276" s="116">
        <v>1292.7</v>
      </c>
      <c r="P2276" s="116">
        <v>1300.7249999999999</v>
      </c>
      <c r="Q2276" s="116">
        <v>2594.9</v>
      </c>
      <c r="R2276">
        <v>25525</v>
      </c>
    </row>
    <row r="2277" spans="1:18" x14ac:dyDescent="0.25">
      <c r="A2277" s="170">
        <v>45355</v>
      </c>
      <c r="B2277" s="116">
        <v>1300.5</v>
      </c>
      <c r="C2277" s="116">
        <v>1294</v>
      </c>
      <c r="D2277" s="116">
        <v>1288.825</v>
      </c>
      <c r="E2277" s="116">
        <v>1298.875</v>
      </c>
      <c r="F2277" s="116">
        <v>2588</v>
      </c>
      <c r="G2277">
        <v>50920</v>
      </c>
      <c r="H2277" s="116"/>
      <c r="I2277" s="116"/>
      <c r="L2277" s="170">
        <v>45355</v>
      </c>
      <c r="M2277" s="116">
        <v>1294.55</v>
      </c>
      <c r="N2277" s="116">
        <v>1300.55</v>
      </c>
      <c r="O2277" s="116">
        <v>1288.7</v>
      </c>
      <c r="P2277" s="116">
        <v>1297.45</v>
      </c>
      <c r="Q2277" s="116">
        <v>2589.1</v>
      </c>
      <c r="R2277">
        <v>634310</v>
      </c>
    </row>
    <row r="2278" spans="1:18" x14ac:dyDescent="0.25">
      <c r="A2278" s="170">
        <v>45356</v>
      </c>
      <c r="B2278" s="116">
        <v>1297.875</v>
      </c>
      <c r="C2278" s="116">
        <v>1269.6500000000001</v>
      </c>
      <c r="D2278" s="116">
        <v>1266.55</v>
      </c>
      <c r="E2278" s="116">
        <v>1295</v>
      </c>
      <c r="F2278" s="116">
        <v>2539.3000000000002</v>
      </c>
      <c r="G2278">
        <v>13408</v>
      </c>
      <c r="H2278" s="116"/>
      <c r="I2278" s="116"/>
      <c r="L2278" s="170">
        <v>45356</v>
      </c>
      <c r="M2278" s="116">
        <v>1269.325</v>
      </c>
      <c r="N2278" s="116">
        <v>1297.5999999999999</v>
      </c>
      <c r="O2278" s="116">
        <v>1266</v>
      </c>
      <c r="P2278" s="116">
        <v>1295</v>
      </c>
      <c r="Q2278" s="116">
        <v>2538.65</v>
      </c>
      <c r="R2278">
        <v>339302</v>
      </c>
    </row>
    <row r="2279" spans="1:18" x14ac:dyDescent="0.25">
      <c r="A2279" s="170">
        <v>45357</v>
      </c>
      <c r="B2279" s="116">
        <v>1283.4000000000001</v>
      </c>
      <c r="C2279" s="116">
        <v>1266.2750000000001</v>
      </c>
      <c r="D2279" s="116">
        <v>1254.7</v>
      </c>
      <c r="E2279" s="116">
        <v>1269</v>
      </c>
      <c r="F2279" s="116">
        <v>2532.5500000000002</v>
      </c>
      <c r="G2279">
        <v>24344</v>
      </c>
      <c r="H2279" s="116"/>
      <c r="I2279" s="116"/>
      <c r="L2279" s="170">
        <v>45357</v>
      </c>
      <c r="M2279" s="116">
        <v>1266.5250000000001</v>
      </c>
      <c r="N2279" s="116">
        <v>1283.375</v>
      </c>
      <c r="O2279" s="116">
        <v>1254.125</v>
      </c>
      <c r="P2279" s="116">
        <v>1270</v>
      </c>
      <c r="Q2279" s="116">
        <v>2533.0500000000002</v>
      </c>
      <c r="R2279">
        <v>991640</v>
      </c>
    </row>
    <row r="2280" spans="1:18" x14ac:dyDescent="0.25">
      <c r="A2280" s="170">
        <v>45358</v>
      </c>
      <c r="B2280" s="116">
        <v>1282.5</v>
      </c>
      <c r="C2280" s="116">
        <v>1279.925</v>
      </c>
      <c r="D2280" s="116">
        <v>1260.7750000000001</v>
      </c>
      <c r="E2280" s="116">
        <v>1266.2750000000001</v>
      </c>
      <c r="F2280" s="116">
        <v>2559.85</v>
      </c>
      <c r="G2280">
        <v>9984</v>
      </c>
      <c r="H2280" s="116"/>
      <c r="I2280" s="116"/>
      <c r="L2280" s="170">
        <v>45358</v>
      </c>
      <c r="M2280" s="116">
        <v>1280.4749999999999</v>
      </c>
      <c r="N2280" s="116">
        <v>1283</v>
      </c>
      <c r="O2280" s="116">
        <v>1259.5</v>
      </c>
      <c r="P2280" s="116">
        <v>1265</v>
      </c>
      <c r="Q2280" s="116">
        <v>2560.9499999999998</v>
      </c>
      <c r="R2280">
        <v>648652</v>
      </c>
    </row>
    <row r="2281" spans="1:18" x14ac:dyDescent="0.25">
      <c r="A2281" s="170">
        <v>45362</v>
      </c>
      <c r="B2281" s="116">
        <v>1315</v>
      </c>
      <c r="C2281" s="116">
        <v>1306.2</v>
      </c>
      <c r="D2281" s="116">
        <v>1273.4749999999999</v>
      </c>
      <c r="E2281" s="116">
        <v>1280.9749999999999</v>
      </c>
      <c r="F2281" s="116">
        <v>2612.4</v>
      </c>
      <c r="G2281">
        <v>33818</v>
      </c>
      <c r="H2281" s="116"/>
      <c r="I2281" s="116"/>
      <c r="L2281" s="170">
        <v>45362</v>
      </c>
      <c r="M2281" s="116">
        <v>1305.75</v>
      </c>
      <c r="N2281" s="116">
        <v>1315.5</v>
      </c>
      <c r="O2281" s="116">
        <v>1274.2750000000001</v>
      </c>
      <c r="P2281" s="116">
        <v>1280.4749999999999</v>
      </c>
      <c r="Q2281" s="116">
        <v>2611.5</v>
      </c>
      <c r="R2281">
        <v>1495299</v>
      </c>
    </row>
    <row r="2282" spans="1:18" x14ac:dyDescent="0.25">
      <c r="A2282" s="170">
        <v>45363</v>
      </c>
      <c r="B2282" s="116">
        <v>1306.2</v>
      </c>
      <c r="C2282" s="116">
        <v>1294.625</v>
      </c>
      <c r="D2282" s="116">
        <v>1283.75</v>
      </c>
      <c r="E2282" s="116">
        <v>1304.7750000000001</v>
      </c>
      <c r="F2282" s="116">
        <v>2589.25</v>
      </c>
      <c r="G2282">
        <v>26879</v>
      </c>
      <c r="H2282" s="116"/>
      <c r="I2282" s="116"/>
      <c r="L2282" s="170">
        <v>45363</v>
      </c>
      <c r="M2282" s="116">
        <v>1295.075</v>
      </c>
      <c r="N2282" s="116">
        <v>1307.5250000000001</v>
      </c>
      <c r="O2282" s="116">
        <v>1283.1500000000001</v>
      </c>
      <c r="P2282" s="116">
        <v>1303.0250000000001</v>
      </c>
      <c r="Q2282" s="116">
        <v>2590.15</v>
      </c>
      <c r="R2282">
        <v>863235</v>
      </c>
    </row>
    <row r="2283" spans="1:18" x14ac:dyDescent="0.25">
      <c r="A2283" s="170">
        <v>45364</v>
      </c>
      <c r="B2283" s="116">
        <v>1326.5</v>
      </c>
      <c r="C2283" s="116">
        <v>1291.7249999999999</v>
      </c>
      <c r="D2283" s="116">
        <v>1276.175</v>
      </c>
      <c r="E2283" s="116">
        <v>1295.3</v>
      </c>
      <c r="F2283" s="116">
        <v>2583.4499999999998</v>
      </c>
      <c r="G2283">
        <v>41486</v>
      </c>
      <c r="H2283" s="116"/>
      <c r="I2283" s="116"/>
      <c r="L2283" s="170">
        <v>45364</v>
      </c>
      <c r="M2283" s="116">
        <v>1291.4749999999999</v>
      </c>
      <c r="N2283" s="116">
        <v>1326.825</v>
      </c>
      <c r="O2283" s="116">
        <v>1276.425</v>
      </c>
      <c r="P2283" s="116">
        <v>1297.4749999999999</v>
      </c>
      <c r="Q2283" s="116">
        <v>2582.9499999999998</v>
      </c>
      <c r="R2283">
        <v>1813802</v>
      </c>
    </row>
    <row r="2284" spans="1:18" x14ac:dyDescent="0.25">
      <c r="A2284" s="170">
        <v>45365</v>
      </c>
      <c r="B2284" s="116">
        <v>1309.4749999999999</v>
      </c>
      <c r="C2284" s="116">
        <v>1306.7249999999999</v>
      </c>
      <c r="D2284" s="116">
        <v>1286.6500000000001</v>
      </c>
      <c r="E2284" s="116">
        <v>1298.125</v>
      </c>
      <c r="F2284" s="116">
        <v>2613.4499999999998</v>
      </c>
      <c r="G2284">
        <v>31621</v>
      </c>
      <c r="H2284" s="116"/>
      <c r="I2284" s="116"/>
      <c r="L2284" s="170">
        <v>45365</v>
      </c>
      <c r="M2284" s="116">
        <v>1306.375</v>
      </c>
      <c r="N2284" s="116">
        <v>1309.9749999999999</v>
      </c>
      <c r="O2284" s="116">
        <v>1286.95</v>
      </c>
      <c r="P2284" s="116">
        <v>1295</v>
      </c>
      <c r="Q2284" s="116">
        <v>2612.75</v>
      </c>
      <c r="R2284">
        <v>1122997</v>
      </c>
    </row>
    <row r="2285" spans="1:18" x14ac:dyDescent="0.25">
      <c r="A2285" s="170">
        <v>45366</v>
      </c>
      <c r="B2285" s="116">
        <v>1315</v>
      </c>
      <c r="C2285" s="116">
        <v>1303.825</v>
      </c>
      <c r="D2285" s="116">
        <v>1292.5</v>
      </c>
      <c r="E2285" s="116">
        <v>1306.9000000000001</v>
      </c>
      <c r="F2285" s="116">
        <v>2607.65</v>
      </c>
      <c r="G2285">
        <v>62617</v>
      </c>
      <c r="H2285" s="116"/>
      <c r="I2285" s="116"/>
      <c r="L2285" s="170">
        <v>45366</v>
      </c>
      <c r="M2285" s="116">
        <v>1301.825</v>
      </c>
      <c r="N2285" s="116">
        <v>1314.95</v>
      </c>
      <c r="O2285" s="116">
        <v>1292.5999999999999</v>
      </c>
      <c r="P2285" s="116">
        <v>1308.4749999999999</v>
      </c>
      <c r="Q2285" s="116">
        <v>2603.65</v>
      </c>
      <c r="R2285">
        <v>1266992</v>
      </c>
    </row>
    <row r="2286" spans="1:18" x14ac:dyDescent="0.25">
      <c r="A2286" s="170">
        <v>45369</v>
      </c>
      <c r="B2286" s="116">
        <v>1301.5</v>
      </c>
      <c r="C2286" s="116">
        <v>1291.875</v>
      </c>
      <c r="D2286" s="116">
        <v>1278.6500000000001</v>
      </c>
      <c r="E2286" s="116">
        <v>1300.175</v>
      </c>
      <c r="F2286" s="116">
        <v>2583.75</v>
      </c>
      <c r="G2286">
        <v>33829</v>
      </c>
      <c r="H2286" s="116"/>
      <c r="I2286" s="116"/>
      <c r="L2286" s="170">
        <v>45369</v>
      </c>
      <c r="M2286" s="116">
        <v>1290.175</v>
      </c>
      <c r="N2286" s="116">
        <v>1305.4000000000001</v>
      </c>
      <c r="O2286" s="116">
        <v>1279.375</v>
      </c>
      <c r="P2286" s="116">
        <v>1301.825</v>
      </c>
      <c r="Q2286" s="116">
        <v>2580.35</v>
      </c>
      <c r="R2286">
        <v>642596</v>
      </c>
    </row>
    <row r="2287" spans="1:18" x14ac:dyDescent="0.25">
      <c r="A2287" s="170">
        <v>45370</v>
      </c>
      <c r="B2287" s="116">
        <v>1292</v>
      </c>
      <c r="C2287" s="116">
        <v>1248.325</v>
      </c>
      <c r="D2287" s="116">
        <v>1233.8499999999999</v>
      </c>
      <c r="E2287" s="116">
        <v>1292</v>
      </c>
      <c r="F2287" s="116">
        <v>2496.65</v>
      </c>
      <c r="G2287">
        <v>57422</v>
      </c>
      <c r="H2287" s="116"/>
      <c r="I2287" s="116"/>
      <c r="L2287" s="170">
        <v>45370</v>
      </c>
      <c r="M2287" s="116">
        <v>1248.0250000000001</v>
      </c>
      <c r="N2287" s="116">
        <v>1292.375</v>
      </c>
      <c r="O2287" s="116">
        <v>1234.075</v>
      </c>
      <c r="P2287" s="116">
        <v>1290</v>
      </c>
      <c r="Q2287" s="116">
        <v>2496.0500000000002</v>
      </c>
      <c r="R2287">
        <v>1748864</v>
      </c>
    </row>
    <row r="2288" spans="1:18" x14ac:dyDescent="0.25">
      <c r="A2288" s="170">
        <v>45371</v>
      </c>
      <c r="B2288" s="116">
        <v>1277.4749999999999</v>
      </c>
      <c r="C2288" s="116">
        <v>1274.4000000000001</v>
      </c>
      <c r="D2288" s="116">
        <v>1249.0999999999999</v>
      </c>
      <c r="E2288" s="116">
        <v>1250.2750000000001</v>
      </c>
      <c r="F2288" s="116">
        <v>2548.8000000000002</v>
      </c>
      <c r="G2288">
        <v>24539</v>
      </c>
      <c r="H2288" s="116"/>
      <c r="I2288" s="116"/>
      <c r="L2288" s="170">
        <v>45371</v>
      </c>
      <c r="M2288" s="116">
        <v>1275.125</v>
      </c>
      <c r="N2288" s="116">
        <v>1277.5</v>
      </c>
      <c r="O2288" s="116">
        <v>1249.0250000000001</v>
      </c>
      <c r="P2288" s="116">
        <v>1257</v>
      </c>
      <c r="Q2288" s="116">
        <v>2550.25</v>
      </c>
      <c r="R2288">
        <v>699645</v>
      </c>
    </row>
    <row r="2289" spans="1:18" x14ac:dyDescent="0.25">
      <c r="A2289" s="170">
        <v>45372</v>
      </c>
      <c r="B2289" s="116">
        <v>1282.5</v>
      </c>
      <c r="C2289" s="116">
        <v>1276.9749999999999</v>
      </c>
      <c r="D2289" s="116">
        <v>1263</v>
      </c>
      <c r="E2289" s="116">
        <v>1275</v>
      </c>
      <c r="F2289" s="116">
        <v>2553.9499999999998</v>
      </c>
      <c r="G2289">
        <v>58401</v>
      </c>
      <c r="H2289" s="116"/>
      <c r="I2289" s="116"/>
      <c r="L2289" s="170">
        <v>45372</v>
      </c>
      <c r="M2289" s="116">
        <v>1276.825</v>
      </c>
      <c r="N2289" s="116">
        <v>1281.0250000000001</v>
      </c>
      <c r="O2289" s="116">
        <v>1262.575</v>
      </c>
      <c r="P2289" s="116">
        <v>1275.5</v>
      </c>
      <c r="Q2289" s="116">
        <v>2553.65</v>
      </c>
      <c r="R2289">
        <v>903877</v>
      </c>
    </row>
    <row r="2290" spans="1:18" x14ac:dyDescent="0.25">
      <c r="A2290" s="170">
        <v>45373</v>
      </c>
      <c r="B2290" s="116">
        <v>1295.9749999999999</v>
      </c>
      <c r="C2290" s="116">
        <v>1287.6500000000001</v>
      </c>
      <c r="D2290" s="116">
        <v>1269</v>
      </c>
      <c r="E2290" s="116">
        <v>1276.95</v>
      </c>
      <c r="F2290" s="116">
        <v>2575.3000000000002</v>
      </c>
      <c r="G2290">
        <v>40217</v>
      </c>
      <c r="H2290" s="116"/>
      <c r="I2290" s="116"/>
      <c r="L2290" s="170">
        <v>45373</v>
      </c>
      <c r="M2290" s="116">
        <v>1286.7</v>
      </c>
      <c r="N2290" s="116">
        <v>1296</v>
      </c>
      <c r="O2290" s="116">
        <v>1268.5</v>
      </c>
      <c r="P2290" s="116">
        <v>1270.0999999999999</v>
      </c>
      <c r="Q2290" s="116">
        <v>2573.4</v>
      </c>
      <c r="R2290">
        <v>1013563</v>
      </c>
    </row>
    <row r="2291" spans="1:18" x14ac:dyDescent="0.25">
      <c r="A2291" s="170">
        <v>45377</v>
      </c>
      <c r="B2291" s="116">
        <v>1298.05</v>
      </c>
      <c r="C2291" s="116">
        <v>1293.95</v>
      </c>
      <c r="D2291" s="116">
        <v>1266.2249999999999</v>
      </c>
      <c r="E2291" s="116">
        <v>1285</v>
      </c>
      <c r="F2291" s="116">
        <v>2587.9</v>
      </c>
      <c r="G2291">
        <v>64135</v>
      </c>
      <c r="H2291" s="116"/>
      <c r="I2291" s="116"/>
      <c r="L2291" s="170">
        <v>45377</v>
      </c>
      <c r="M2291" s="116">
        <v>1293.05</v>
      </c>
      <c r="N2291" s="116">
        <v>1298.25</v>
      </c>
      <c r="O2291" s="116">
        <v>1266.075</v>
      </c>
      <c r="P2291" s="116">
        <v>1284</v>
      </c>
      <c r="Q2291" s="116">
        <v>2586.1</v>
      </c>
      <c r="R2291">
        <v>970852</v>
      </c>
    </row>
    <row r="2292" spans="1:18" x14ac:dyDescent="0.25">
      <c r="A2292" s="170">
        <v>45378</v>
      </c>
      <c r="B2292" s="116">
        <v>1294.8</v>
      </c>
      <c r="C2292" s="116">
        <v>1283.7</v>
      </c>
      <c r="D2292" s="116">
        <v>1276.325</v>
      </c>
      <c r="E2292" s="116">
        <v>1293.95</v>
      </c>
      <c r="F2292" s="116">
        <v>2567.4</v>
      </c>
      <c r="G2292">
        <v>115048</v>
      </c>
      <c r="H2292" s="116"/>
      <c r="I2292" s="116"/>
      <c r="L2292" s="170">
        <v>45378</v>
      </c>
      <c r="M2292" s="116">
        <v>1283.2249999999999</v>
      </c>
      <c r="N2292" s="116">
        <v>1295.2750000000001</v>
      </c>
      <c r="O2292" s="116">
        <v>1275.875</v>
      </c>
      <c r="P2292" s="116">
        <v>1293.05</v>
      </c>
      <c r="Q2292" s="116">
        <v>2566.4499999999998</v>
      </c>
      <c r="R2292">
        <v>900596</v>
      </c>
    </row>
    <row r="2293" spans="1:18" x14ac:dyDescent="0.25">
      <c r="A2293" s="170">
        <v>45379</v>
      </c>
      <c r="B2293" s="116">
        <v>1318.75</v>
      </c>
      <c r="C2293" s="116">
        <v>1311.65</v>
      </c>
      <c r="D2293" s="116">
        <v>1285.75</v>
      </c>
      <c r="E2293" s="116">
        <v>1289.55</v>
      </c>
      <c r="F2293" s="116">
        <v>2623.3</v>
      </c>
      <c r="G2293">
        <v>147213</v>
      </c>
      <c r="H2293" s="116"/>
      <c r="I2293" s="116"/>
      <c r="L2293" s="170">
        <v>45379</v>
      </c>
      <c r="M2293" s="116">
        <v>1311.175</v>
      </c>
      <c r="N2293" s="116">
        <v>1319.35</v>
      </c>
      <c r="O2293" s="116">
        <v>1283.5250000000001</v>
      </c>
      <c r="P2293" s="116">
        <v>1283.5250000000001</v>
      </c>
      <c r="Q2293" s="116">
        <v>2622.35</v>
      </c>
      <c r="R2293">
        <v>2182916</v>
      </c>
    </row>
    <row r="2294" spans="1:18" x14ac:dyDescent="0.25">
      <c r="A2294" s="170">
        <v>45383</v>
      </c>
      <c r="B2294" s="116">
        <v>1321.1</v>
      </c>
      <c r="C2294" s="116">
        <v>1292.95</v>
      </c>
      <c r="D2294" s="116">
        <v>1291</v>
      </c>
      <c r="E2294" s="116">
        <v>1317.2</v>
      </c>
      <c r="F2294" s="116">
        <v>2585.9</v>
      </c>
      <c r="G2294">
        <v>45991</v>
      </c>
      <c r="H2294" s="116"/>
      <c r="I2294" s="116"/>
      <c r="L2294" s="170">
        <v>45383</v>
      </c>
      <c r="M2294" s="116">
        <v>1292.8</v>
      </c>
      <c r="N2294" s="116">
        <v>1321.3</v>
      </c>
      <c r="O2294" s="116">
        <v>1291.25</v>
      </c>
      <c r="P2294" s="116">
        <v>1311.175</v>
      </c>
      <c r="Q2294" s="116">
        <v>2585.6</v>
      </c>
      <c r="R2294">
        <v>743032</v>
      </c>
    </row>
    <row r="2295" spans="1:18" x14ac:dyDescent="0.25">
      <c r="A2295" s="170">
        <v>45384</v>
      </c>
      <c r="B2295" s="116">
        <v>1314.675</v>
      </c>
      <c r="C2295" s="116">
        <v>1311.325</v>
      </c>
      <c r="D2295" s="116">
        <v>1292.3</v>
      </c>
      <c r="E2295" s="116">
        <v>1300</v>
      </c>
      <c r="F2295" s="116">
        <v>2622.65</v>
      </c>
      <c r="G2295">
        <v>43806</v>
      </c>
      <c r="H2295" s="116"/>
      <c r="I2295" s="116"/>
      <c r="L2295" s="170">
        <v>45384</v>
      </c>
      <c r="M2295" s="116">
        <v>1311.65</v>
      </c>
      <c r="N2295" s="116">
        <v>1315</v>
      </c>
      <c r="O2295" s="116">
        <v>1291.5</v>
      </c>
      <c r="P2295" s="116">
        <v>1298.5</v>
      </c>
      <c r="Q2295" s="116">
        <v>2623.3</v>
      </c>
      <c r="R2295">
        <v>722883</v>
      </c>
    </row>
    <row r="2296" spans="1:18" x14ac:dyDescent="0.25">
      <c r="A2296" s="170">
        <v>45385</v>
      </c>
      <c r="B2296" s="116">
        <v>1314.2750000000001</v>
      </c>
      <c r="C2296" s="116">
        <v>1275.575</v>
      </c>
      <c r="D2296" s="116">
        <v>1265.0999999999999</v>
      </c>
      <c r="E2296" s="116">
        <v>1314.2750000000001</v>
      </c>
      <c r="F2296" s="116">
        <v>2551.15</v>
      </c>
      <c r="G2296">
        <v>73866</v>
      </c>
      <c r="H2296" s="116"/>
      <c r="I2296" s="116"/>
      <c r="L2296" s="170">
        <v>45385</v>
      </c>
      <c r="M2296" s="116">
        <v>1276.9749999999999</v>
      </c>
      <c r="N2296" s="116">
        <v>1311.9749999999999</v>
      </c>
      <c r="O2296" s="116">
        <v>1272.5</v>
      </c>
      <c r="P2296" s="116">
        <v>1311.65</v>
      </c>
      <c r="Q2296" s="116">
        <v>2553.9499999999998</v>
      </c>
      <c r="R2296">
        <v>1925139</v>
      </c>
    </row>
    <row r="2297" spans="1:18" x14ac:dyDescent="0.25">
      <c r="A2297" s="170">
        <v>45386</v>
      </c>
      <c r="B2297" s="116">
        <v>1285</v>
      </c>
      <c r="C2297" s="116">
        <v>1274.5250000000001</v>
      </c>
      <c r="D2297" s="116">
        <v>1257.8</v>
      </c>
      <c r="E2297" s="116">
        <v>1285</v>
      </c>
      <c r="F2297" s="116">
        <v>2549.0500000000002</v>
      </c>
      <c r="G2297">
        <v>29250</v>
      </c>
      <c r="H2297" s="116"/>
      <c r="I2297" s="116"/>
      <c r="L2297" s="170">
        <v>45386</v>
      </c>
      <c r="M2297" s="116">
        <v>1274.8</v>
      </c>
      <c r="N2297" s="116">
        <v>1285</v>
      </c>
      <c r="O2297" s="116">
        <v>1257.05</v>
      </c>
      <c r="P2297" s="116">
        <v>1284.9000000000001</v>
      </c>
      <c r="Q2297" s="116">
        <v>2549.6</v>
      </c>
      <c r="R2297">
        <v>1391376</v>
      </c>
    </row>
    <row r="2298" spans="1:18" x14ac:dyDescent="0.25">
      <c r="A2298" s="170">
        <v>45387</v>
      </c>
      <c r="B2298" s="116">
        <v>1288</v>
      </c>
      <c r="C2298" s="116">
        <v>1269.05</v>
      </c>
      <c r="D2298" s="116">
        <v>1267</v>
      </c>
      <c r="E2298" s="116">
        <v>1285.3499999999999</v>
      </c>
      <c r="F2298" s="116">
        <v>2538.1</v>
      </c>
      <c r="G2298">
        <v>34345</v>
      </c>
      <c r="H2298" s="116"/>
      <c r="I2298" s="116"/>
      <c r="L2298" s="170">
        <v>45387</v>
      </c>
      <c r="M2298" s="116">
        <v>1268.825</v>
      </c>
      <c r="N2298" s="116">
        <v>1288</v>
      </c>
      <c r="O2298" s="116">
        <v>1267</v>
      </c>
      <c r="P2298" s="116">
        <v>1287.5</v>
      </c>
      <c r="Q2298" s="116">
        <v>2537.65</v>
      </c>
      <c r="R2298">
        <v>766227</v>
      </c>
    </row>
    <row r="2299" spans="1:18" x14ac:dyDescent="0.25">
      <c r="A2299" s="170">
        <v>45390</v>
      </c>
      <c r="B2299" s="116">
        <v>1273.25</v>
      </c>
      <c r="C2299" s="116">
        <v>1248.925</v>
      </c>
      <c r="D2299" s="116">
        <v>1246.5</v>
      </c>
      <c r="E2299" s="116">
        <v>1263.05</v>
      </c>
      <c r="F2299" s="116">
        <v>2497.85</v>
      </c>
      <c r="G2299">
        <v>57532</v>
      </c>
      <c r="H2299" s="116"/>
      <c r="I2299" s="116"/>
      <c r="L2299" s="170">
        <v>45390</v>
      </c>
      <c r="M2299" s="116">
        <v>1249.0250000000001</v>
      </c>
      <c r="N2299" s="116">
        <v>1273.625</v>
      </c>
      <c r="O2299" s="116">
        <v>1246.425</v>
      </c>
      <c r="P2299" s="116">
        <v>1265.5</v>
      </c>
      <c r="Q2299" s="116">
        <v>2498.0500000000002</v>
      </c>
      <c r="R2299">
        <v>1218490</v>
      </c>
    </row>
    <row r="2300" spans="1:18" x14ac:dyDescent="0.25">
      <c r="A2300" s="170">
        <v>45391</v>
      </c>
      <c r="B2300" s="116">
        <v>1260.375</v>
      </c>
      <c r="C2300" s="116">
        <v>1251.6500000000001</v>
      </c>
      <c r="D2300" s="116">
        <v>1248.575</v>
      </c>
      <c r="E2300" s="116">
        <v>1258.625</v>
      </c>
      <c r="F2300" s="116">
        <v>2503.3000000000002</v>
      </c>
      <c r="G2300">
        <v>11329</v>
      </c>
      <c r="H2300" s="116"/>
      <c r="I2300" s="116"/>
      <c r="L2300" s="170">
        <v>45391</v>
      </c>
      <c r="M2300" s="116">
        <v>1251.4000000000001</v>
      </c>
      <c r="N2300" s="116">
        <v>1261.0999999999999</v>
      </c>
      <c r="O2300" s="116">
        <v>1248.5</v>
      </c>
      <c r="P2300" s="116">
        <v>1253</v>
      </c>
      <c r="Q2300" s="116">
        <v>2502.8000000000002</v>
      </c>
      <c r="R2300">
        <v>433941</v>
      </c>
    </row>
    <row r="2301" spans="1:18" x14ac:dyDescent="0.25">
      <c r="A2301" s="170">
        <v>45392</v>
      </c>
      <c r="B2301" s="116">
        <v>1266.2249999999999</v>
      </c>
      <c r="C2301" s="116">
        <v>1263.3499999999999</v>
      </c>
      <c r="D2301" s="116">
        <v>1244.3499999999999</v>
      </c>
      <c r="E2301" s="116">
        <v>1258.2750000000001</v>
      </c>
      <c r="F2301" s="116">
        <v>2526.6999999999998</v>
      </c>
      <c r="G2301">
        <v>33533</v>
      </c>
      <c r="H2301" s="116"/>
      <c r="I2301" s="116"/>
      <c r="L2301" s="170">
        <v>45392</v>
      </c>
      <c r="M2301" s="116">
        <v>1263.8</v>
      </c>
      <c r="N2301" s="116">
        <v>1266.5</v>
      </c>
      <c r="O2301" s="116">
        <v>1247.0250000000001</v>
      </c>
      <c r="P2301" s="116">
        <v>1257</v>
      </c>
      <c r="Q2301" s="116">
        <v>2527.6</v>
      </c>
      <c r="R2301">
        <v>494880</v>
      </c>
    </row>
    <row r="2302" spans="1:18" x14ac:dyDescent="0.25">
      <c r="A2302" s="170">
        <v>45394</v>
      </c>
      <c r="B2302" s="116">
        <v>1280</v>
      </c>
      <c r="C2302" s="116">
        <v>1268.075</v>
      </c>
      <c r="D2302" s="116">
        <v>1259</v>
      </c>
      <c r="E2302" s="116">
        <v>1265.0250000000001</v>
      </c>
      <c r="F2302" s="116">
        <v>2536.15</v>
      </c>
      <c r="G2302">
        <v>40926</v>
      </c>
      <c r="H2302" s="116"/>
      <c r="I2302" s="116"/>
      <c r="L2302" s="170">
        <v>45394</v>
      </c>
      <c r="M2302" s="116">
        <v>1268.0999999999999</v>
      </c>
      <c r="N2302" s="116">
        <v>1279.5</v>
      </c>
      <c r="O2302" s="116">
        <v>1258.0999999999999</v>
      </c>
      <c r="P2302" s="116">
        <v>1267.3499999999999</v>
      </c>
      <c r="Q2302" s="116">
        <v>2536.1999999999998</v>
      </c>
      <c r="R2302">
        <v>1239965</v>
      </c>
    </row>
    <row r="2303" spans="1:18" x14ac:dyDescent="0.25">
      <c r="A2303" s="170">
        <v>45397</v>
      </c>
      <c r="B2303" s="116">
        <v>1288.55</v>
      </c>
      <c r="C2303" s="116">
        <v>1275.9749999999999</v>
      </c>
      <c r="D2303" s="116">
        <v>1247.5</v>
      </c>
      <c r="E2303" s="116">
        <v>1247.5250000000001</v>
      </c>
      <c r="F2303" s="116">
        <v>2551.9499999999998</v>
      </c>
      <c r="G2303">
        <v>37745</v>
      </c>
      <c r="H2303" s="116"/>
      <c r="I2303" s="116"/>
      <c r="L2303" s="170">
        <v>45397</v>
      </c>
      <c r="M2303" s="116">
        <v>1276.825</v>
      </c>
      <c r="N2303" s="116">
        <v>1288.5</v>
      </c>
      <c r="O2303" s="116">
        <v>1255</v>
      </c>
      <c r="P2303" s="116">
        <v>1255</v>
      </c>
      <c r="Q2303" s="116">
        <v>2553.65</v>
      </c>
      <c r="R2303">
        <v>1146823</v>
      </c>
    </row>
    <row r="2304" spans="1:18" x14ac:dyDescent="0.25">
      <c r="A2304" s="170">
        <v>45398</v>
      </c>
      <c r="B2304" s="116">
        <v>1291.6500000000001</v>
      </c>
      <c r="C2304" s="116">
        <v>1273.575</v>
      </c>
      <c r="D2304" s="116">
        <v>1268.175</v>
      </c>
      <c r="E2304" s="116">
        <v>1268.175</v>
      </c>
      <c r="F2304" s="116">
        <v>2547.15</v>
      </c>
      <c r="G2304">
        <v>14744</v>
      </c>
      <c r="H2304" s="116"/>
      <c r="I2304" s="116"/>
      <c r="L2304" s="170">
        <v>45398</v>
      </c>
      <c r="M2304" s="116">
        <v>1273.05</v>
      </c>
      <c r="N2304" s="116">
        <v>1291.825</v>
      </c>
      <c r="O2304" s="116">
        <v>1271.1500000000001</v>
      </c>
      <c r="P2304" s="116">
        <v>1275.075</v>
      </c>
      <c r="Q2304" s="116">
        <v>2546.1</v>
      </c>
      <c r="R2304">
        <v>768861</v>
      </c>
    </row>
    <row r="2305" spans="1:18" x14ac:dyDescent="0.25">
      <c r="A2305" s="170">
        <v>45400</v>
      </c>
      <c r="B2305" s="116">
        <v>1269.675</v>
      </c>
      <c r="C2305" s="116">
        <v>1231.375</v>
      </c>
      <c r="D2305" s="116">
        <v>1204.7750000000001</v>
      </c>
      <c r="E2305" s="116">
        <v>1269.5</v>
      </c>
      <c r="F2305" s="116">
        <v>2462.75</v>
      </c>
      <c r="G2305">
        <v>127318</v>
      </c>
      <c r="H2305" s="116"/>
      <c r="I2305" s="116"/>
      <c r="L2305" s="170">
        <v>45400</v>
      </c>
      <c r="M2305" s="116">
        <v>1231.2750000000001</v>
      </c>
      <c r="N2305" s="116">
        <v>1271.325</v>
      </c>
      <c r="O2305" s="116">
        <v>1205.3</v>
      </c>
      <c r="P2305" s="116">
        <v>1270.05</v>
      </c>
      <c r="Q2305" s="116">
        <v>2462.5500000000002</v>
      </c>
      <c r="R2305">
        <v>3038833</v>
      </c>
    </row>
    <row r="2306" spans="1:18" x14ac:dyDescent="0.25">
      <c r="A2306" s="170">
        <v>45401</v>
      </c>
      <c r="B2306" s="116">
        <v>1235.5</v>
      </c>
      <c r="C2306" s="116">
        <v>1218.55</v>
      </c>
      <c r="D2306" s="116">
        <v>1187.875</v>
      </c>
      <c r="E2306" s="116">
        <v>1187.875</v>
      </c>
      <c r="F2306" s="116">
        <v>2437.1</v>
      </c>
      <c r="G2306">
        <v>82158</v>
      </c>
      <c r="H2306" s="116"/>
      <c r="I2306" s="116"/>
      <c r="L2306" s="170">
        <v>45401</v>
      </c>
      <c r="M2306" s="116">
        <v>1218.8499999999999</v>
      </c>
      <c r="N2306" s="116">
        <v>1235.675</v>
      </c>
      <c r="O2306" s="116">
        <v>1205</v>
      </c>
      <c r="P2306" s="116">
        <v>1215</v>
      </c>
      <c r="Q2306" s="116">
        <v>2437.6999999999998</v>
      </c>
      <c r="R2306">
        <v>1851012</v>
      </c>
    </row>
    <row r="2307" spans="1:18" x14ac:dyDescent="0.25">
      <c r="A2307" s="170">
        <v>45404</v>
      </c>
      <c r="B2307" s="116">
        <v>1240.5</v>
      </c>
      <c r="C2307" s="116">
        <v>1229.575</v>
      </c>
      <c r="D2307" s="116">
        <v>1214.5</v>
      </c>
      <c r="E2307" s="116">
        <v>1218.5</v>
      </c>
      <c r="F2307" s="116">
        <v>2459.15</v>
      </c>
      <c r="G2307">
        <v>24900</v>
      </c>
      <c r="H2307" s="116"/>
      <c r="I2307" s="116"/>
      <c r="L2307" s="170">
        <v>45404</v>
      </c>
      <c r="M2307" s="116">
        <v>1229.3499999999999</v>
      </c>
      <c r="N2307" s="116">
        <v>1241</v>
      </c>
      <c r="O2307" s="116">
        <v>1213.925</v>
      </c>
      <c r="P2307" s="116">
        <v>1218.25</v>
      </c>
      <c r="Q2307" s="116">
        <v>2458.6999999999998</v>
      </c>
      <c r="R2307">
        <v>1252353</v>
      </c>
    </row>
    <row r="2308" spans="1:18" x14ac:dyDescent="0.25">
      <c r="A2308" s="170">
        <v>45405</v>
      </c>
      <c r="B2308" s="116">
        <v>1255.6500000000001</v>
      </c>
      <c r="C2308" s="116">
        <v>1249.7750000000001</v>
      </c>
      <c r="D2308" s="116">
        <v>1212.8499999999999</v>
      </c>
      <c r="E2308" s="116">
        <v>1227.125</v>
      </c>
      <c r="F2308" s="116">
        <v>2499.5500000000002</v>
      </c>
      <c r="G2308">
        <v>43365</v>
      </c>
      <c r="H2308" s="116"/>
      <c r="I2308" s="116"/>
      <c r="L2308" s="170">
        <v>45405</v>
      </c>
      <c r="M2308" s="116">
        <v>1250.625</v>
      </c>
      <c r="N2308" s="116">
        <v>1255</v>
      </c>
      <c r="O2308" s="116">
        <v>1212.9749999999999</v>
      </c>
      <c r="P2308" s="116">
        <v>1224.5</v>
      </c>
      <c r="Q2308" s="116">
        <v>2501.25</v>
      </c>
      <c r="R2308">
        <v>1124409</v>
      </c>
    </row>
    <row r="2309" spans="1:18" x14ac:dyDescent="0.25">
      <c r="A2309" s="170">
        <v>45406</v>
      </c>
      <c r="B2309" s="116">
        <v>1267.5</v>
      </c>
      <c r="C2309" s="116">
        <v>1251.45</v>
      </c>
      <c r="D2309" s="116">
        <v>1244.8</v>
      </c>
      <c r="E2309" s="116">
        <v>1259.95</v>
      </c>
      <c r="F2309" s="116">
        <v>2502.9</v>
      </c>
      <c r="G2309">
        <v>15451</v>
      </c>
      <c r="H2309" s="116"/>
      <c r="I2309" s="116"/>
      <c r="L2309" s="170">
        <v>45406</v>
      </c>
      <c r="M2309" s="116">
        <v>1250.075</v>
      </c>
      <c r="N2309" s="116">
        <v>1267.9000000000001</v>
      </c>
      <c r="O2309" s="116">
        <v>1244.125</v>
      </c>
      <c r="P2309" s="116">
        <v>1257.5250000000001</v>
      </c>
      <c r="Q2309" s="116">
        <v>2500.15</v>
      </c>
      <c r="R2309">
        <v>723518</v>
      </c>
    </row>
    <row r="2310" spans="1:18" x14ac:dyDescent="0.25">
      <c r="A2310" s="170">
        <v>45407</v>
      </c>
      <c r="B2310" s="116">
        <v>1288.0999999999999</v>
      </c>
      <c r="C2310" s="116">
        <v>1281.3499999999999</v>
      </c>
      <c r="D2310" s="116">
        <v>1235.9749999999999</v>
      </c>
      <c r="E2310" s="116">
        <v>1252.0250000000001</v>
      </c>
      <c r="F2310" s="116">
        <v>2562.6999999999998</v>
      </c>
      <c r="G2310">
        <v>146781</v>
      </c>
      <c r="H2310" s="116"/>
      <c r="I2310" s="116"/>
      <c r="L2310" s="170">
        <v>45407</v>
      </c>
      <c r="M2310" s="116">
        <v>1281.325</v>
      </c>
      <c r="N2310" s="116">
        <v>1288.95</v>
      </c>
      <c r="O2310" s="116">
        <v>1235.625</v>
      </c>
      <c r="P2310" s="116">
        <v>1259.9749999999999</v>
      </c>
      <c r="Q2310" s="116">
        <v>2562.65</v>
      </c>
      <c r="R2310">
        <v>3240864</v>
      </c>
    </row>
    <row r="2311" spans="1:18" x14ac:dyDescent="0.25">
      <c r="A2311" s="170">
        <v>45408</v>
      </c>
      <c r="B2311" s="116">
        <v>1291</v>
      </c>
      <c r="C2311" s="116">
        <v>1241.9000000000001</v>
      </c>
      <c r="D2311" s="116">
        <v>1235.75</v>
      </c>
      <c r="E2311" s="116">
        <v>1286.0250000000001</v>
      </c>
      <c r="F2311" s="116">
        <v>2483.8000000000002</v>
      </c>
      <c r="G2311">
        <v>74913</v>
      </c>
      <c r="H2311" s="116"/>
      <c r="I2311" s="116"/>
      <c r="L2311" s="170">
        <v>45408</v>
      </c>
      <c r="M2311" s="116">
        <v>1241.375</v>
      </c>
      <c r="N2311" s="116">
        <v>1291.4000000000001</v>
      </c>
      <c r="O2311" s="116">
        <v>1235.5250000000001</v>
      </c>
      <c r="P2311" s="116">
        <v>1287.4749999999999</v>
      </c>
      <c r="Q2311" s="116">
        <v>2482.75</v>
      </c>
      <c r="R2311">
        <v>1321564</v>
      </c>
    </row>
    <row r="2312" spans="1:18" x14ac:dyDescent="0.25">
      <c r="A2312" s="170">
        <v>45411</v>
      </c>
      <c r="B2312" s="116">
        <v>1261.55</v>
      </c>
      <c r="C2312" s="116">
        <v>1255.3</v>
      </c>
      <c r="D2312" s="116">
        <v>1245.625</v>
      </c>
      <c r="E2312" s="116">
        <v>1247.7249999999999</v>
      </c>
      <c r="F2312" s="116">
        <v>2510.6</v>
      </c>
      <c r="G2312">
        <v>40211</v>
      </c>
      <c r="H2312" s="116"/>
      <c r="I2312" s="116"/>
      <c r="L2312" s="170">
        <v>45411</v>
      </c>
      <c r="M2312" s="116">
        <v>1254.9000000000001</v>
      </c>
      <c r="N2312" s="116">
        <v>1262.2</v>
      </c>
      <c r="O2312" s="116">
        <v>1245</v>
      </c>
      <c r="P2312" s="116">
        <v>1251</v>
      </c>
      <c r="Q2312" s="116">
        <v>2509.8000000000002</v>
      </c>
      <c r="R2312">
        <v>621562</v>
      </c>
    </row>
    <row r="2313" spans="1:18" x14ac:dyDescent="0.25">
      <c r="A2313" s="170">
        <v>45412</v>
      </c>
      <c r="B2313" s="116">
        <v>1268.4749999999999</v>
      </c>
      <c r="C2313" s="116">
        <v>1253.0250000000001</v>
      </c>
      <c r="D2313" s="116">
        <v>1250.075</v>
      </c>
      <c r="E2313" s="116">
        <v>1261.2</v>
      </c>
      <c r="F2313" s="116">
        <v>2506.0500000000002</v>
      </c>
      <c r="G2313">
        <v>24501</v>
      </c>
      <c r="H2313" s="116"/>
      <c r="I2313" s="116"/>
      <c r="L2313" s="170">
        <v>45412</v>
      </c>
      <c r="M2313" s="116">
        <v>1253.7</v>
      </c>
      <c r="N2313" s="116">
        <v>1268.8</v>
      </c>
      <c r="O2313" s="116">
        <v>1250.2750000000001</v>
      </c>
      <c r="P2313" s="116">
        <v>1258.8499999999999</v>
      </c>
      <c r="Q2313" s="116">
        <v>2507.4</v>
      </c>
      <c r="R2313">
        <v>812639</v>
      </c>
    </row>
    <row r="2314" spans="1:18" x14ac:dyDescent="0.25">
      <c r="A2314" s="170">
        <v>45414</v>
      </c>
      <c r="B2314" s="116">
        <v>1270</v>
      </c>
      <c r="C2314" s="116">
        <v>1255.6500000000001</v>
      </c>
      <c r="D2314" s="116">
        <v>1252.4000000000001</v>
      </c>
      <c r="E2314" s="116">
        <v>1252.4000000000001</v>
      </c>
      <c r="F2314" s="116">
        <v>2511.3000000000002</v>
      </c>
      <c r="G2314">
        <v>12132</v>
      </c>
      <c r="H2314" s="116"/>
      <c r="I2314" s="116"/>
      <c r="L2314" s="170">
        <v>45414</v>
      </c>
      <c r="M2314" s="116">
        <v>1256.1500000000001</v>
      </c>
      <c r="N2314" s="116">
        <v>1270.5</v>
      </c>
      <c r="O2314" s="116">
        <v>1252.5</v>
      </c>
      <c r="P2314" s="116">
        <v>1253.7</v>
      </c>
      <c r="Q2314" s="116">
        <v>2512.3000000000002</v>
      </c>
      <c r="R2314">
        <v>1111913</v>
      </c>
    </row>
    <row r="2315" spans="1:18" x14ac:dyDescent="0.25">
      <c r="A2315" s="170">
        <v>45415</v>
      </c>
      <c r="B2315" s="116">
        <v>1261.1500000000001</v>
      </c>
      <c r="C2315" s="116">
        <v>1227.8</v>
      </c>
      <c r="D2315" s="116">
        <v>1217.925</v>
      </c>
      <c r="E2315" s="116">
        <v>1258.8499999999999</v>
      </c>
      <c r="F2315" s="116">
        <v>2455.6</v>
      </c>
      <c r="G2315">
        <v>42649</v>
      </c>
      <c r="H2315" s="116"/>
      <c r="I2315" s="116"/>
      <c r="L2315" s="170">
        <v>45415</v>
      </c>
      <c r="M2315" s="116">
        <v>1228.05</v>
      </c>
      <c r="N2315" s="116">
        <v>1261.5250000000001</v>
      </c>
      <c r="O2315" s="116">
        <v>1218.125</v>
      </c>
      <c r="P2315" s="116">
        <v>1257.55</v>
      </c>
      <c r="Q2315" s="116">
        <v>2456.1</v>
      </c>
      <c r="R2315">
        <v>1128730</v>
      </c>
    </row>
    <row r="2316" spans="1:18" x14ac:dyDescent="0.25">
      <c r="A2316" s="170">
        <v>45418</v>
      </c>
      <c r="B2316" s="116">
        <v>1247.325</v>
      </c>
      <c r="C2316" s="116">
        <v>1229</v>
      </c>
      <c r="D2316" s="116">
        <v>1224</v>
      </c>
      <c r="E2316" s="116">
        <v>1247.325</v>
      </c>
      <c r="F2316" s="116">
        <v>2458</v>
      </c>
      <c r="G2316">
        <v>11532</v>
      </c>
      <c r="H2316" s="116"/>
      <c r="I2316" s="116"/>
      <c r="L2316" s="170">
        <v>45418</v>
      </c>
      <c r="M2316" s="116">
        <v>1228.7</v>
      </c>
      <c r="N2316" s="116">
        <v>1239.9749999999999</v>
      </c>
      <c r="O2316" s="116">
        <v>1223.4749999999999</v>
      </c>
      <c r="P2316" s="116">
        <v>1237.2</v>
      </c>
      <c r="Q2316" s="116">
        <v>2457.4</v>
      </c>
      <c r="R2316">
        <v>715996</v>
      </c>
    </row>
    <row r="2317" spans="1:18" x14ac:dyDescent="0.25">
      <c r="A2317" s="170">
        <v>45419</v>
      </c>
      <c r="B2317" s="116">
        <v>1264</v>
      </c>
      <c r="C2317" s="116">
        <v>1254.2750000000001</v>
      </c>
      <c r="D2317" s="116">
        <v>1230.55</v>
      </c>
      <c r="E2317" s="116">
        <v>1230.55</v>
      </c>
      <c r="F2317" s="116">
        <v>2508.5500000000002</v>
      </c>
      <c r="G2317">
        <v>60360</v>
      </c>
      <c r="H2317" s="116"/>
      <c r="I2317" s="116"/>
      <c r="L2317" s="170">
        <v>45419</v>
      </c>
      <c r="M2317" s="116">
        <v>1254.325</v>
      </c>
      <c r="N2317" s="116">
        <v>1264.175</v>
      </c>
      <c r="O2317" s="116">
        <v>1229.7750000000001</v>
      </c>
      <c r="P2317" s="116">
        <v>1234.5</v>
      </c>
      <c r="Q2317" s="116">
        <v>2508.65</v>
      </c>
      <c r="R2317">
        <v>1073459</v>
      </c>
    </row>
    <row r="2318" spans="1:18" x14ac:dyDescent="0.25">
      <c r="A2318" s="170">
        <v>45420</v>
      </c>
      <c r="B2318" s="116">
        <v>1274.375</v>
      </c>
      <c r="C2318" s="116">
        <v>1269.2249999999999</v>
      </c>
      <c r="D2318" s="116">
        <v>1242.9749999999999</v>
      </c>
      <c r="E2318" s="116">
        <v>1253.75</v>
      </c>
      <c r="F2318" s="116">
        <v>2538.4499999999998</v>
      </c>
      <c r="G2318">
        <v>28029</v>
      </c>
      <c r="H2318" s="116"/>
      <c r="I2318" s="116"/>
      <c r="L2318" s="170">
        <v>45420</v>
      </c>
      <c r="M2318" s="116">
        <v>1269.5</v>
      </c>
      <c r="N2318" s="116">
        <v>1274</v>
      </c>
      <c r="O2318" s="116">
        <v>1242.825</v>
      </c>
      <c r="P2318" s="116">
        <v>1251.2249999999999</v>
      </c>
      <c r="Q2318" s="116">
        <v>2539</v>
      </c>
      <c r="R2318">
        <v>699070</v>
      </c>
    </row>
    <row r="2319" spans="1:18" x14ac:dyDescent="0.25">
      <c r="A2319" s="170">
        <v>45421</v>
      </c>
      <c r="B2319" s="116">
        <v>1273</v>
      </c>
      <c r="C2319" s="116">
        <v>1256.1500000000001</v>
      </c>
      <c r="D2319" s="116">
        <v>1252.0250000000001</v>
      </c>
      <c r="E2319" s="116">
        <v>1270.075</v>
      </c>
      <c r="F2319" s="116">
        <v>2512.3000000000002</v>
      </c>
      <c r="G2319">
        <v>12323</v>
      </c>
      <c r="H2319" s="116"/>
      <c r="I2319" s="116"/>
      <c r="L2319" s="170">
        <v>45421</v>
      </c>
      <c r="M2319" s="116">
        <v>1256.7249999999999</v>
      </c>
      <c r="N2319" s="116">
        <v>1274.95</v>
      </c>
      <c r="O2319" s="116">
        <v>1251</v>
      </c>
      <c r="P2319" s="116">
        <v>1269.5</v>
      </c>
      <c r="Q2319" s="116">
        <v>2513.4499999999998</v>
      </c>
      <c r="R2319">
        <v>702155</v>
      </c>
    </row>
    <row r="2320" spans="1:18" x14ac:dyDescent="0.25">
      <c r="A2320" s="170">
        <v>45422</v>
      </c>
      <c r="B2320" s="116">
        <v>1274.5999999999999</v>
      </c>
      <c r="C2320" s="116">
        <v>1266.375</v>
      </c>
      <c r="D2320" s="116">
        <v>1251.55</v>
      </c>
      <c r="E2320" s="116">
        <v>1256</v>
      </c>
      <c r="F2320" s="116">
        <v>2532.75</v>
      </c>
      <c r="G2320">
        <v>65762</v>
      </c>
      <c r="H2320" s="116"/>
      <c r="I2320" s="116"/>
      <c r="L2320" s="170">
        <v>45422</v>
      </c>
      <c r="M2320" s="116">
        <v>1266.5999999999999</v>
      </c>
      <c r="N2320" s="116">
        <v>1274.5</v>
      </c>
      <c r="O2320" s="116">
        <v>1251.7249999999999</v>
      </c>
      <c r="P2320" s="116">
        <v>1256.7249999999999</v>
      </c>
      <c r="Q2320" s="116">
        <v>2533.1999999999998</v>
      </c>
      <c r="R2320">
        <v>697416</v>
      </c>
    </row>
    <row r="2321" spans="1:18" x14ac:dyDescent="0.25">
      <c r="A2321" s="170">
        <v>45425</v>
      </c>
      <c r="B2321" s="116">
        <v>1270.875</v>
      </c>
      <c r="C2321" s="116">
        <v>1257.8</v>
      </c>
      <c r="D2321" s="116">
        <v>1253.5</v>
      </c>
      <c r="E2321" s="116">
        <v>1262.5999999999999</v>
      </c>
      <c r="F2321" s="116">
        <v>2515.6</v>
      </c>
      <c r="G2321">
        <v>9781</v>
      </c>
      <c r="H2321" s="116"/>
      <c r="I2321" s="116"/>
      <c r="L2321" s="170">
        <v>45425</v>
      </c>
      <c r="M2321" s="116">
        <v>1258.125</v>
      </c>
      <c r="N2321" s="116">
        <v>1270.95</v>
      </c>
      <c r="O2321" s="116">
        <v>1253.0250000000001</v>
      </c>
      <c r="P2321" s="116">
        <v>1266.375</v>
      </c>
      <c r="Q2321" s="116">
        <v>2516.25</v>
      </c>
      <c r="R2321">
        <v>340381</v>
      </c>
    </row>
    <row r="2322" spans="1:18" x14ac:dyDescent="0.25">
      <c r="A2322" s="170">
        <v>45426</v>
      </c>
      <c r="B2322" s="116">
        <v>1257.8</v>
      </c>
      <c r="C2322" s="116">
        <v>1242.8</v>
      </c>
      <c r="D2322" s="116">
        <v>1240.9000000000001</v>
      </c>
      <c r="E2322" s="116">
        <v>1257.8</v>
      </c>
      <c r="F2322" s="116">
        <v>2485.6</v>
      </c>
      <c r="G2322">
        <v>35305</v>
      </c>
      <c r="H2322" s="116"/>
      <c r="I2322" s="116"/>
      <c r="L2322" s="170">
        <v>45426</v>
      </c>
      <c r="M2322" s="116">
        <v>1243.675</v>
      </c>
      <c r="N2322" s="116">
        <v>1259.4749999999999</v>
      </c>
      <c r="O2322" s="116">
        <v>1241</v>
      </c>
      <c r="P2322" s="116">
        <v>1253.05</v>
      </c>
      <c r="Q2322" s="116">
        <v>2487.35</v>
      </c>
      <c r="R2322">
        <v>556747</v>
      </c>
    </row>
    <row r="2323" spans="1:18" x14ac:dyDescent="0.25">
      <c r="A2323" s="170">
        <v>45427</v>
      </c>
      <c r="B2323" s="116">
        <v>1248.875</v>
      </c>
      <c r="C2323" s="116">
        <v>1233.125</v>
      </c>
      <c r="D2323" s="116">
        <v>1231.325</v>
      </c>
      <c r="E2323" s="116">
        <v>1245</v>
      </c>
      <c r="F2323" s="116">
        <v>2466.25</v>
      </c>
      <c r="G2323">
        <v>10238</v>
      </c>
      <c r="H2323" s="116"/>
      <c r="I2323" s="116"/>
      <c r="L2323" s="170">
        <v>45427</v>
      </c>
      <c r="M2323" s="116">
        <v>1232.5</v>
      </c>
      <c r="N2323" s="116">
        <v>1249.5</v>
      </c>
      <c r="O2323" s="116">
        <v>1230</v>
      </c>
      <c r="P2323" s="116">
        <v>1244</v>
      </c>
      <c r="Q2323" s="116">
        <v>2465</v>
      </c>
      <c r="R2323">
        <v>434406</v>
      </c>
    </row>
    <row r="2324" spans="1:18" x14ac:dyDescent="0.25">
      <c r="A2324" s="170">
        <v>45428</v>
      </c>
      <c r="B2324" s="116">
        <v>1238.675</v>
      </c>
      <c r="C2324" s="116">
        <v>1233.6500000000001</v>
      </c>
      <c r="D2324" s="116">
        <v>1210.2249999999999</v>
      </c>
      <c r="E2324" s="116">
        <v>1238.675</v>
      </c>
      <c r="F2324" s="116">
        <v>2467.3000000000002</v>
      </c>
      <c r="G2324">
        <v>34173</v>
      </c>
      <c r="H2324" s="116"/>
      <c r="I2324" s="116"/>
      <c r="L2324" s="170">
        <v>45428</v>
      </c>
      <c r="M2324" s="116">
        <v>1234.175</v>
      </c>
      <c r="N2324" s="116">
        <v>1239.9749999999999</v>
      </c>
      <c r="O2324" s="116">
        <v>1210.1500000000001</v>
      </c>
      <c r="P2324" s="116">
        <v>1235</v>
      </c>
      <c r="Q2324" s="116">
        <v>2468.35</v>
      </c>
      <c r="R2324">
        <v>972494</v>
      </c>
    </row>
    <row r="2325" spans="1:18" x14ac:dyDescent="0.25">
      <c r="A2325" s="170">
        <v>45429</v>
      </c>
      <c r="B2325" s="116">
        <v>1237.425</v>
      </c>
      <c r="C2325" s="116">
        <v>1222.5999999999999</v>
      </c>
      <c r="D2325" s="116">
        <v>1217.1500000000001</v>
      </c>
      <c r="E2325" s="116">
        <v>1237.425</v>
      </c>
      <c r="F2325" s="116">
        <v>2445.1999999999998</v>
      </c>
      <c r="G2325">
        <v>24285</v>
      </c>
      <c r="H2325" s="116"/>
      <c r="I2325" s="116"/>
      <c r="L2325" s="170">
        <v>45429</v>
      </c>
      <c r="M2325" s="116">
        <v>1222.75</v>
      </c>
      <c r="N2325" s="116">
        <v>1234.175</v>
      </c>
      <c r="O2325" s="116">
        <v>1216.9000000000001</v>
      </c>
      <c r="P2325" s="116">
        <v>1234.175</v>
      </c>
      <c r="Q2325" s="116">
        <v>2445.5</v>
      </c>
      <c r="R2325">
        <v>721178</v>
      </c>
    </row>
    <row r="2326" spans="1:18" x14ac:dyDescent="0.25">
      <c r="A2326" s="170">
        <v>45430</v>
      </c>
      <c r="B2326" s="116">
        <v>1259.4749999999999</v>
      </c>
      <c r="C2326" s="116">
        <v>1251.0999999999999</v>
      </c>
      <c r="D2326" s="116">
        <v>1225.0250000000001</v>
      </c>
      <c r="E2326" s="116">
        <v>1225.0250000000001</v>
      </c>
      <c r="F2326" s="116">
        <v>2502.1999999999998</v>
      </c>
      <c r="G2326">
        <v>7161</v>
      </c>
      <c r="H2326" s="116"/>
      <c r="I2326" s="116"/>
      <c r="L2326" s="170">
        <v>45430</v>
      </c>
      <c r="M2326" s="116">
        <v>1252.2</v>
      </c>
      <c r="N2326" s="116">
        <v>1259.375</v>
      </c>
      <c r="O2326" s="116">
        <v>1229.9000000000001</v>
      </c>
      <c r="P2326" s="116">
        <v>1232</v>
      </c>
      <c r="Q2326" s="116">
        <v>2504.4</v>
      </c>
      <c r="R2326">
        <v>252529</v>
      </c>
    </row>
    <row r="2327" spans="1:18" x14ac:dyDescent="0.25">
      <c r="A2327" s="170">
        <v>45433</v>
      </c>
      <c r="B2327" s="116">
        <v>1251.075</v>
      </c>
      <c r="C2327" s="116">
        <v>1230.8499999999999</v>
      </c>
      <c r="D2327" s="116">
        <v>1216.2750000000001</v>
      </c>
      <c r="E2327" s="116">
        <v>1251.075</v>
      </c>
      <c r="F2327" s="116">
        <v>2461.6999999999998</v>
      </c>
      <c r="G2327">
        <v>49441</v>
      </c>
      <c r="H2327" s="116"/>
      <c r="I2327" s="116"/>
      <c r="L2327" s="170">
        <v>45433</v>
      </c>
      <c r="M2327" s="116">
        <v>1230.4000000000001</v>
      </c>
      <c r="N2327" s="116">
        <v>1244.8</v>
      </c>
      <c r="O2327" s="116">
        <v>1216</v>
      </c>
      <c r="P2327" s="116">
        <v>1233</v>
      </c>
      <c r="Q2327" s="116">
        <v>2460.8000000000002</v>
      </c>
      <c r="R2327">
        <v>1287451</v>
      </c>
    </row>
    <row r="2328" spans="1:18" x14ac:dyDescent="0.25">
      <c r="A2328" s="170">
        <v>45434</v>
      </c>
      <c r="B2328" s="116">
        <v>1243.0999999999999</v>
      </c>
      <c r="C2328" s="116">
        <v>1233.9000000000001</v>
      </c>
      <c r="D2328" s="116">
        <v>1230.2750000000001</v>
      </c>
      <c r="E2328" s="116">
        <v>1237.2750000000001</v>
      </c>
      <c r="F2328" s="116">
        <v>2467.8000000000002</v>
      </c>
      <c r="G2328">
        <v>25409</v>
      </c>
      <c r="H2328" s="116"/>
      <c r="I2328" s="116"/>
      <c r="L2328" s="170">
        <v>45434</v>
      </c>
      <c r="M2328" s="116">
        <v>1234.575</v>
      </c>
      <c r="N2328" s="116">
        <v>1243.75</v>
      </c>
      <c r="O2328" s="116">
        <v>1230.95</v>
      </c>
      <c r="P2328" s="116">
        <v>1236</v>
      </c>
      <c r="Q2328" s="116">
        <v>2469.15</v>
      </c>
      <c r="R2328">
        <v>787327</v>
      </c>
    </row>
    <row r="2329" spans="1:18" x14ac:dyDescent="0.25">
      <c r="A2329" s="170">
        <v>45435</v>
      </c>
      <c r="B2329" s="116">
        <v>1242.5</v>
      </c>
      <c r="C2329" s="116">
        <v>1236.425</v>
      </c>
      <c r="D2329" s="116">
        <v>1227.6500000000001</v>
      </c>
      <c r="E2329" s="116">
        <v>1237.5250000000001</v>
      </c>
      <c r="F2329" s="116">
        <v>2472.85</v>
      </c>
      <c r="G2329">
        <v>14129</v>
      </c>
      <c r="H2329" s="116"/>
      <c r="I2329" s="116"/>
      <c r="L2329" s="170">
        <v>45435</v>
      </c>
      <c r="M2329" s="116">
        <v>1237.075</v>
      </c>
      <c r="N2329" s="116">
        <v>1243.75</v>
      </c>
      <c r="O2329" s="116">
        <v>1227.7750000000001</v>
      </c>
      <c r="P2329" s="116">
        <v>1240.5</v>
      </c>
      <c r="Q2329" s="116">
        <v>2474.15</v>
      </c>
      <c r="R2329">
        <v>781663</v>
      </c>
    </row>
    <row r="2330" spans="1:18" x14ac:dyDescent="0.25">
      <c r="A2330" s="170">
        <v>45436</v>
      </c>
      <c r="B2330" s="116">
        <v>1242.3</v>
      </c>
      <c r="C2330" s="116">
        <v>1233.55</v>
      </c>
      <c r="D2330" s="116">
        <v>1229.45</v>
      </c>
      <c r="E2330" s="116">
        <v>1232.575</v>
      </c>
      <c r="F2330" s="116">
        <v>2467.1</v>
      </c>
      <c r="G2330">
        <v>8378</v>
      </c>
      <c r="H2330" s="116"/>
      <c r="I2330" s="116"/>
      <c r="L2330" s="170">
        <v>45436</v>
      </c>
      <c r="M2330" s="116">
        <v>1233.875</v>
      </c>
      <c r="N2330" s="116">
        <v>1242.5</v>
      </c>
      <c r="O2330" s="116">
        <v>1229.0250000000001</v>
      </c>
      <c r="P2330" s="116">
        <v>1238.4749999999999</v>
      </c>
      <c r="Q2330" s="116">
        <v>2467.75</v>
      </c>
      <c r="R2330">
        <v>453772</v>
      </c>
    </row>
    <row r="2331" spans="1:18" x14ac:dyDescent="0.25">
      <c r="A2331" s="170">
        <v>45439</v>
      </c>
      <c r="B2331" s="116">
        <v>1239.05</v>
      </c>
      <c r="C2331" s="116">
        <v>1229.95</v>
      </c>
      <c r="D2331" s="116">
        <v>1227.5</v>
      </c>
      <c r="E2331" s="116">
        <v>1237.95</v>
      </c>
      <c r="F2331" s="116">
        <v>2459.9</v>
      </c>
      <c r="G2331">
        <v>8441</v>
      </c>
      <c r="H2331" s="116"/>
      <c r="I2331" s="116"/>
      <c r="L2331" s="170">
        <v>45439</v>
      </c>
      <c r="M2331" s="116">
        <v>1229.95</v>
      </c>
      <c r="N2331" s="116">
        <v>1239.5</v>
      </c>
      <c r="O2331" s="116">
        <v>1227.5</v>
      </c>
      <c r="P2331" s="116">
        <v>1238.5</v>
      </c>
      <c r="Q2331" s="116">
        <v>2459.9</v>
      </c>
      <c r="R2331">
        <v>535831</v>
      </c>
    </row>
    <row r="2332" spans="1:18" x14ac:dyDescent="0.25">
      <c r="A2332" s="170">
        <v>45440</v>
      </c>
      <c r="B2332" s="116">
        <v>1233.175</v>
      </c>
      <c r="C2332" s="116">
        <v>1225.825</v>
      </c>
      <c r="D2332" s="116">
        <v>1222.8</v>
      </c>
      <c r="E2332" s="116">
        <v>1225.0250000000001</v>
      </c>
      <c r="F2332" s="116">
        <v>2451.65</v>
      </c>
      <c r="G2332">
        <v>13427</v>
      </c>
      <c r="H2332" s="116"/>
      <c r="I2332" s="116"/>
      <c r="L2332" s="170">
        <v>45440</v>
      </c>
      <c r="M2332" s="116">
        <v>1225.8499999999999</v>
      </c>
      <c r="N2332" s="116">
        <v>1233.825</v>
      </c>
      <c r="O2332" s="116">
        <v>1223</v>
      </c>
      <c r="P2332" s="116">
        <v>1230.575</v>
      </c>
      <c r="Q2332" s="116">
        <v>2451.6999999999998</v>
      </c>
      <c r="R2332">
        <v>521672</v>
      </c>
    </row>
    <row r="2333" spans="1:18" x14ac:dyDescent="0.25">
      <c r="A2333" s="170">
        <v>45441</v>
      </c>
      <c r="B2333" s="116">
        <v>1248.2249999999999</v>
      </c>
      <c r="C2333" s="116">
        <v>1234.125</v>
      </c>
      <c r="D2333" s="116">
        <v>1217.5250000000001</v>
      </c>
      <c r="E2333" s="116">
        <v>1217.5250000000001</v>
      </c>
      <c r="F2333" s="116">
        <v>2468.25</v>
      </c>
      <c r="G2333">
        <v>18980</v>
      </c>
      <c r="H2333" s="116"/>
      <c r="I2333" s="116"/>
      <c r="L2333" s="170">
        <v>45441</v>
      </c>
      <c r="M2333" s="116">
        <v>1238.0999999999999</v>
      </c>
      <c r="N2333" s="116">
        <v>1248.5</v>
      </c>
      <c r="O2333" s="116">
        <v>1222.5</v>
      </c>
      <c r="P2333" s="116">
        <v>1223.8499999999999</v>
      </c>
      <c r="Q2333" s="116">
        <v>2476.1999999999998</v>
      </c>
      <c r="R2333">
        <v>869600</v>
      </c>
    </row>
    <row r="2334" spans="1:18" x14ac:dyDescent="0.25">
      <c r="A2334" s="170">
        <v>45442</v>
      </c>
      <c r="B2334" s="116">
        <v>1236.75</v>
      </c>
      <c r="C2334" s="116">
        <v>1202.7</v>
      </c>
      <c r="D2334" s="116">
        <v>1200.5999999999999</v>
      </c>
      <c r="E2334" s="116">
        <v>1236.75</v>
      </c>
      <c r="F2334" s="116">
        <v>2405.4</v>
      </c>
      <c r="G2334">
        <v>26564</v>
      </c>
      <c r="H2334" s="116"/>
      <c r="I2334" s="116"/>
      <c r="L2334" s="170">
        <v>45442</v>
      </c>
      <c r="M2334" s="116">
        <v>1202.4000000000001</v>
      </c>
      <c r="N2334" s="116">
        <v>1236.55</v>
      </c>
      <c r="O2334" s="116">
        <v>1200.2750000000001</v>
      </c>
      <c r="P2334" s="116">
        <v>1232.5250000000001</v>
      </c>
      <c r="Q2334" s="116">
        <v>2404.8000000000002</v>
      </c>
      <c r="R2334">
        <v>1274214</v>
      </c>
    </row>
    <row r="2335" spans="1:18" x14ac:dyDescent="0.25">
      <c r="A2335" s="170">
        <v>45443</v>
      </c>
      <c r="B2335" s="116">
        <v>1216.4749999999999</v>
      </c>
      <c r="C2335" s="116">
        <v>1177.7249999999999</v>
      </c>
      <c r="D2335" s="116">
        <v>1174.4749999999999</v>
      </c>
      <c r="E2335" s="116">
        <v>1216.4749999999999</v>
      </c>
      <c r="F2335" s="116">
        <v>2355.4499999999998</v>
      </c>
      <c r="G2335">
        <v>60074</v>
      </c>
      <c r="H2335" s="116"/>
      <c r="I2335" s="116"/>
      <c r="L2335" s="170">
        <v>45443</v>
      </c>
      <c r="M2335" s="116">
        <v>1177.45</v>
      </c>
      <c r="N2335" s="116">
        <v>1212.8</v>
      </c>
      <c r="O2335" s="116">
        <v>1172.5</v>
      </c>
      <c r="P2335" s="116">
        <v>1212.8</v>
      </c>
      <c r="Q2335" s="116">
        <v>2354.9</v>
      </c>
      <c r="R2335">
        <v>2532973</v>
      </c>
    </row>
    <row r="2336" spans="1:18" x14ac:dyDescent="0.25">
      <c r="A2336" s="170">
        <v>45446</v>
      </c>
      <c r="B2336" s="116">
        <v>1199.95</v>
      </c>
      <c r="C2336" s="116">
        <v>1177.2249999999999</v>
      </c>
      <c r="D2336" s="116">
        <v>1175</v>
      </c>
      <c r="E2336" s="116">
        <v>1199.95</v>
      </c>
      <c r="F2336" s="116">
        <v>2354.4499999999998</v>
      </c>
      <c r="G2336">
        <v>56789</v>
      </c>
      <c r="H2336" s="116"/>
      <c r="I2336" s="116"/>
      <c r="L2336" s="170">
        <v>45446</v>
      </c>
      <c r="M2336" s="116">
        <v>1177.5250000000001</v>
      </c>
      <c r="N2336" s="116">
        <v>1194.4749999999999</v>
      </c>
      <c r="O2336" s="116">
        <v>1175</v>
      </c>
      <c r="P2336" s="116">
        <v>1187.4000000000001</v>
      </c>
      <c r="Q2336" s="116">
        <v>2355.0500000000002</v>
      </c>
      <c r="R2336">
        <v>1072515</v>
      </c>
    </row>
    <row r="2337" spans="1:18" x14ac:dyDescent="0.25">
      <c r="A2337" s="170">
        <v>45447</v>
      </c>
      <c r="B2337" s="116">
        <v>1219.25</v>
      </c>
      <c r="C2337" s="116">
        <v>1213.55</v>
      </c>
      <c r="D2337" s="116">
        <v>1164.625</v>
      </c>
      <c r="E2337" s="116">
        <v>1178.0250000000001</v>
      </c>
      <c r="F2337" s="116">
        <v>2427.1</v>
      </c>
      <c r="G2337">
        <v>49000</v>
      </c>
      <c r="H2337" s="116"/>
      <c r="I2337" s="116"/>
      <c r="L2337" s="170">
        <v>45447</v>
      </c>
      <c r="M2337" s="116">
        <v>1213.875</v>
      </c>
      <c r="N2337" s="116">
        <v>1219</v>
      </c>
      <c r="O2337" s="116">
        <v>1163.7249999999999</v>
      </c>
      <c r="P2337" s="116">
        <v>1181.9749999999999</v>
      </c>
      <c r="Q2337" s="116">
        <v>2427.75</v>
      </c>
      <c r="R2337">
        <v>1558531</v>
      </c>
    </row>
    <row r="2338" spans="1:18" x14ac:dyDescent="0.25">
      <c r="A2338" s="170">
        <v>45448</v>
      </c>
      <c r="B2338" s="116">
        <v>1287</v>
      </c>
      <c r="C2338" s="116">
        <v>1254.55</v>
      </c>
      <c r="D2338" s="116">
        <v>1216.8499999999999</v>
      </c>
      <c r="E2338" s="116">
        <v>1222.4749999999999</v>
      </c>
      <c r="F2338" s="116">
        <v>2509.1</v>
      </c>
      <c r="G2338">
        <v>65402</v>
      </c>
      <c r="H2338" s="116"/>
      <c r="I2338" s="116"/>
      <c r="L2338" s="170">
        <v>45448</v>
      </c>
      <c r="M2338" s="116">
        <v>1254.925</v>
      </c>
      <c r="N2338" s="116">
        <v>1287.0250000000001</v>
      </c>
      <c r="O2338" s="116">
        <v>1215</v>
      </c>
      <c r="P2338" s="116">
        <v>1215</v>
      </c>
      <c r="Q2338" s="116">
        <v>2509.85</v>
      </c>
      <c r="R2338">
        <v>2028779</v>
      </c>
    </row>
    <row r="2339" spans="1:18" x14ac:dyDescent="0.25">
      <c r="A2339" s="170">
        <v>45449</v>
      </c>
      <c r="B2339" s="116">
        <v>1260</v>
      </c>
      <c r="C2339" s="116">
        <v>1236.925</v>
      </c>
      <c r="D2339" s="116">
        <v>1227.5</v>
      </c>
      <c r="E2339" s="116">
        <v>1260</v>
      </c>
      <c r="F2339" s="116">
        <v>2473.85</v>
      </c>
      <c r="G2339">
        <v>31115</v>
      </c>
      <c r="H2339" s="116"/>
      <c r="I2339" s="116"/>
      <c r="L2339" s="170">
        <v>45449</v>
      </c>
      <c r="M2339" s="116">
        <v>1235.7</v>
      </c>
      <c r="N2339" s="116">
        <v>1259</v>
      </c>
      <c r="O2339" s="116">
        <v>1226.325</v>
      </c>
      <c r="P2339" s="116">
        <v>1259</v>
      </c>
      <c r="Q2339" s="116">
        <v>2471.4</v>
      </c>
      <c r="R2339">
        <v>972140</v>
      </c>
    </row>
    <row r="2340" spans="1:18" x14ac:dyDescent="0.25">
      <c r="A2340" s="170">
        <v>45450</v>
      </c>
      <c r="B2340" s="116">
        <v>1257.75</v>
      </c>
      <c r="C2340" s="116">
        <v>1251.8</v>
      </c>
      <c r="D2340" s="116">
        <v>1233.925</v>
      </c>
      <c r="E2340" s="116">
        <v>1236.425</v>
      </c>
      <c r="F2340" s="116">
        <v>2503.6</v>
      </c>
      <c r="G2340">
        <v>63750</v>
      </c>
      <c r="H2340" s="116"/>
      <c r="I2340" s="116"/>
      <c r="L2340" s="170">
        <v>45450</v>
      </c>
      <c r="M2340" s="116">
        <v>1251.2249999999999</v>
      </c>
      <c r="N2340" s="116">
        <v>1258.125</v>
      </c>
      <c r="O2340" s="116">
        <v>1233.5</v>
      </c>
      <c r="P2340" s="116">
        <v>1238.2249999999999</v>
      </c>
      <c r="Q2340" s="116">
        <v>2502.4499999999998</v>
      </c>
      <c r="R2340">
        <v>1011202</v>
      </c>
    </row>
    <row r="2341" spans="1:18" x14ac:dyDescent="0.25">
      <c r="A2341" s="170">
        <v>45453</v>
      </c>
      <c r="B2341" s="116">
        <v>1282.3</v>
      </c>
      <c r="C2341" s="116">
        <v>1273.55</v>
      </c>
      <c r="D2341" s="116">
        <v>1252.5999999999999</v>
      </c>
      <c r="E2341" s="116">
        <v>1252.5999999999999</v>
      </c>
      <c r="F2341" s="116">
        <v>2547.1</v>
      </c>
      <c r="G2341">
        <v>60771</v>
      </c>
      <c r="H2341" s="116"/>
      <c r="I2341" s="116"/>
      <c r="L2341" s="170">
        <v>45453</v>
      </c>
      <c r="M2341" s="116">
        <v>1274.0999999999999</v>
      </c>
      <c r="N2341" s="116">
        <v>1282.5</v>
      </c>
      <c r="O2341" s="116">
        <v>1253.5250000000001</v>
      </c>
      <c r="P2341" s="116">
        <v>1255</v>
      </c>
      <c r="Q2341" s="116">
        <v>2548.1999999999998</v>
      </c>
      <c r="R2341">
        <v>795174</v>
      </c>
    </row>
    <row r="2342" spans="1:18" x14ac:dyDescent="0.25">
      <c r="A2342" s="170">
        <v>45454</v>
      </c>
      <c r="B2342" s="116">
        <v>1286.875</v>
      </c>
      <c r="C2342" s="116">
        <v>1271.575</v>
      </c>
      <c r="D2342" s="116">
        <v>1267.325</v>
      </c>
      <c r="E2342" s="116">
        <v>1275.2</v>
      </c>
      <c r="F2342" s="116">
        <v>2543.15</v>
      </c>
      <c r="G2342">
        <v>20462</v>
      </c>
      <c r="H2342" s="116"/>
      <c r="I2342" s="116"/>
      <c r="L2342" s="170">
        <v>45454</v>
      </c>
      <c r="M2342" s="116">
        <v>1270.9749999999999</v>
      </c>
      <c r="N2342" s="116">
        <v>1287.5</v>
      </c>
      <c r="O2342" s="116">
        <v>1267</v>
      </c>
      <c r="P2342" s="116">
        <v>1280</v>
      </c>
      <c r="Q2342" s="116">
        <v>2541.9499999999998</v>
      </c>
      <c r="R2342">
        <v>569411</v>
      </c>
    </row>
    <row r="2343" spans="1:18" x14ac:dyDescent="0.25">
      <c r="A2343" s="170">
        <v>45455</v>
      </c>
      <c r="B2343" s="116">
        <v>1277.4749999999999</v>
      </c>
      <c r="C2343" s="116">
        <v>1266.4749999999999</v>
      </c>
      <c r="D2343" s="116">
        <v>1259.5250000000001</v>
      </c>
      <c r="E2343" s="116">
        <v>1272.3499999999999</v>
      </c>
      <c r="F2343" s="116">
        <v>2532.9499999999998</v>
      </c>
      <c r="G2343">
        <v>23939</v>
      </c>
      <c r="H2343" s="116"/>
      <c r="I2343" s="116"/>
      <c r="L2343" s="170">
        <v>45455</v>
      </c>
      <c r="M2343" s="116">
        <v>1268.6500000000001</v>
      </c>
      <c r="N2343" s="116">
        <v>1277.375</v>
      </c>
      <c r="O2343" s="116">
        <v>1260.5</v>
      </c>
      <c r="P2343" s="116">
        <v>1272</v>
      </c>
      <c r="Q2343" s="116">
        <v>2537.3000000000002</v>
      </c>
      <c r="R2343">
        <v>480408</v>
      </c>
    </row>
    <row r="2344" spans="1:18" x14ac:dyDescent="0.25">
      <c r="A2344" s="170">
        <v>45456</v>
      </c>
      <c r="B2344" s="116">
        <v>1307.0999999999999</v>
      </c>
      <c r="C2344" s="116">
        <v>1275.625</v>
      </c>
      <c r="D2344" s="116">
        <v>1273.0250000000001</v>
      </c>
      <c r="E2344" s="116">
        <v>1298.675</v>
      </c>
      <c r="F2344" s="116">
        <v>2551.25</v>
      </c>
      <c r="G2344">
        <v>33031</v>
      </c>
      <c r="H2344" s="116"/>
      <c r="I2344" s="116"/>
      <c r="L2344" s="170">
        <v>45456</v>
      </c>
      <c r="M2344" s="116">
        <v>1275.875</v>
      </c>
      <c r="N2344" s="116">
        <v>1307.2249999999999</v>
      </c>
      <c r="O2344" s="116">
        <v>1272.575</v>
      </c>
      <c r="P2344" s="116">
        <v>1297.075</v>
      </c>
      <c r="Q2344" s="116">
        <v>2551.75</v>
      </c>
      <c r="R2344">
        <v>1081272</v>
      </c>
    </row>
    <row r="2345" spans="1:18" x14ac:dyDescent="0.25">
      <c r="A2345" s="170">
        <v>45457</v>
      </c>
      <c r="B2345" s="116">
        <v>1280.5250000000001</v>
      </c>
      <c r="C2345" s="116">
        <v>1271.5999999999999</v>
      </c>
      <c r="D2345" s="116">
        <v>1267.1500000000001</v>
      </c>
      <c r="E2345" s="116">
        <v>1280.5250000000001</v>
      </c>
      <c r="F2345" s="116">
        <v>2543.1999999999998</v>
      </c>
      <c r="G2345">
        <v>16592</v>
      </c>
      <c r="H2345" s="116"/>
      <c r="I2345" s="116"/>
      <c r="L2345" s="170">
        <v>45457</v>
      </c>
      <c r="M2345" s="116">
        <v>1271.25</v>
      </c>
      <c r="N2345" s="116">
        <v>1282.3</v>
      </c>
      <c r="O2345" s="116">
        <v>1267.05</v>
      </c>
      <c r="P2345" s="116">
        <v>1282.3</v>
      </c>
      <c r="Q2345" s="116">
        <v>2542.5</v>
      </c>
      <c r="R2345">
        <v>429472</v>
      </c>
    </row>
    <row r="2346" spans="1:18" x14ac:dyDescent="0.25">
      <c r="A2346" s="170">
        <v>45461</v>
      </c>
      <c r="B2346" s="116">
        <v>1278</v>
      </c>
      <c r="C2346" s="116">
        <v>1274.625</v>
      </c>
      <c r="D2346" s="116">
        <v>1266.0250000000001</v>
      </c>
      <c r="E2346" s="116">
        <v>1266.0250000000001</v>
      </c>
      <c r="F2346" s="116">
        <v>2549.25</v>
      </c>
      <c r="G2346">
        <v>27672</v>
      </c>
      <c r="H2346" s="116"/>
      <c r="I2346" s="116"/>
      <c r="L2346" s="170">
        <v>45461</v>
      </c>
      <c r="M2346" s="116">
        <v>1275.175</v>
      </c>
      <c r="N2346" s="116">
        <v>1277.5</v>
      </c>
      <c r="O2346" s="116">
        <v>1267</v>
      </c>
      <c r="P2346" s="116">
        <v>1274.5</v>
      </c>
      <c r="Q2346" s="116">
        <v>2550.35</v>
      </c>
      <c r="R2346">
        <v>259554</v>
      </c>
    </row>
    <row r="2347" spans="1:18" x14ac:dyDescent="0.25">
      <c r="A2347" s="170">
        <v>45462</v>
      </c>
      <c r="B2347" s="116">
        <v>1279.55</v>
      </c>
      <c r="C2347" s="116">
        <v>1262.575</v>
      </c>
      <c r="D2347" s="116">
        <v>1259.45</v>
      </c>
      <c r="E2347" s="116">
        <v>1273.7</v>
      </c>
      <c r="F2347" s="116">
        <v>2525.15</v>
      </c>
      <c r="G2347">
        <v>12189</v>
      </c>
      <c r="H2347" s="116"/>
      <c r="I2347" s="116"/>
      <c r="L2347" s="170">
        <v>45462</v>
      </c>
      <c r="M2347" s="116">
        <v>1263.0250000000001</v>
      </c>
      <c r="N2347" s="116">
        <v>1279.8</v>
      </c>
      <c r="O2347" s="116">
        <v>1258.925</v>
      </c>
      <c r="P2347" s="116">
        <v>1275</v>
      </c>
      <c r="Q2347" s="116">
        <v>2526.0500000000002</v>
      </c>
      <c r="R2347">
        <v>784307</v>
      </c>
    </row>
    <row r="2348" spans="1:18" x14ac:dyDescent="0.25">
      <c r="A2348" s="170">
        <v>45463</v>
      </c>
      <c r="B2348" s="116">
        <v>1275.6500000000001</v>
      </c>
      <c r="C2348" s="116">
        <v>1269.625</v>
      </c>
      <c r="D2348" s="116">
        <v>1250.5</v>
      </c>
      <c r="E2348" s="116">
        <v>1266.2750000000001</v>
      </c>
      <c r="F2348" s="116">
        <v>2539.25</v>
      </c>
      <c r="G2348">
        <v>11775</v>
      </c>
      <c r="H2348" s="116"/>
      <c r="I2348" s="116"/>
      <c r="L2348" s="170">
        <v>45463</v>
      </c>
      <c r="M2348" s="116">
        <v>1269.875</v>
      </c>
      <c r="N2348" s="116">
        <v>1275.575</v>
      </c>
      <c r="O2348" s="116">
        <v>1250</v>
      </c>
      <c r="P2348" s="116">
        <v>1262.5</v>
      </c>
      <c r="Q2348" s="116">
        <v>2539.75</v>
      </c>
      <c r="R2348">
        <v>657413</v>
      </c>
    </row>
    <row r="2349" spans="1:18" x14ac:dyDescent="0.25">
      <c r="A2349" s="170">
        <v>45464</v>
      </c>
      <c r="B2349" s="116">
        <v>1274</v>
      </c>
      <c r="C2349" s="116">
        <v>1248.575</v>
      </c>
      <c r="D2349" s="116">
        <v>1244.75</v>
      </c>
      <c r="E2349" s="116">
        <v>1269.4749999999999</v>
      </c>
      <c r="F2349" s="116">
        <v>2497.15</v>
      </c>
      <c r="G2349">
        <v>61195</v>
      </c>
      <c r="H2349" s="116"/>
      <c r="I2349" s="116"/>
      <c r="L2349" s="170">
        <v>45464</v>
      </c>
      <c r="M2349" s="116">
        <v>1249.2</v>
      </c>
      <c r="N2349" s="116">
        <v>1274</v>
      </c>
      <c r="O2349" s="116">
        <v>1244.25</v>
      </c>
      <c r="P2349" s="116">
        <v>1266.3</v>
      </c>
      <c r="Q2349" s="116">
        <v>2498.4</v>
      </c>
      <c r="R2349">
        <v>1271544</v>
      </c>
    </row>
    <row r="2350" spans="1:18" x14ac:dyDescent="0.25">
      <c r="A2350" s="170">
        <v>45467</v>
      </c>
      <c r="B2350" s="116">
        <v>1266</v>
      </c>
      <c r="C2350" s="116">
        <v>1263.9000000000001</v>
      </c>
      <c r="D2350" s="116">
        <v>1241.95</v>
      </c>
      <c r="E2350" s="116">
        <v>1248.575</v>
      </c>
      <c r="F2350" s="116">
        <v>2527.8000000000002</v>
      </c>
      <c r="G2350">
        <v>14418</v>
      </c>
      <c r="H2350" s="116"/>
      <c r="I2350" s="116"/>
      <c r="L2350" s="170">
        <v>45467</v>
      </c>
      <c r="M2350" s="116">
        <v>1265.0250000000001</v>
      </c>
      <c r="N2350" s="116">
        <v>1266</v>
      </c>
      <c r="O2350" s="116">
        <v>1242.25</v>
      </c>
      <c r="P2350" s="116">
        <v>1249.2</v>
      </c>
      <c r="Q2350" s="116">
        <v>2530.0500000000002</v>
      </c>
      <c r="R2350">
        <v>724201</v>
      </c>
    </row>
    <row r="2351" spans="1:18" x14ac:dyDescent="0.25">
      <c r="A2351" s="170">
        <v>45468</v>
      </c>
      <c r="B2351" s="116">
        <v>1267.5999999999999</v>
      </c>
      <c r="C2351" s="116">
        <v>1256.875</v>
      </c>
      <c r="D2351" s="116">
        <v>1252.5</v>
      </c>
      <c r="E2351" s="116">
        <v>1265.8499999999999</v>
      </c>
      <c r="F2351" s="116">
        <v>2513.75</v>
      </c>
      <c r="G2351">
        <v>9055</v>
      </c>
      <c r="H2351" s="116"/>
      <c r="I2351" s="116"/>
      <c r="L2351" s="170">
        <v>45468</v>
      </c>
      <c r="M2351" s="116">
        <v>1257.7249999999999</v>
      </c>
      <c r="N2351" s="116">
        <v>1269.1500000000001</v>
      </c>
      <c r="O2351" s="116">
        <v>1252.5</v>
      </c>
      <c r="P2351" s="116">
        <v>1267.5</v>
      </c>
      <c r="Q2351" s="116">
        <v>2515.4499999999998</v>
      </c>
      <c r="R2351">
        <v>312730</v>
      </c>
    </row>
    <row r="2352" spans="1:18" x14ac:dyDescent="0.25">
      <c r="A2352" s="170">
        <v>45469</v>
      </c>
      <c r="B2352" s="116">
        <v>1274.1500000000001</v>
      </c>
      <c r="C2352" s="116">
        <v>1267.0250000000001</v>
      </c>
      <c r="D2352" s="116">
        <v>1254.25</v>
      </c>
      <c r="E2352" s="116">
        <v>1259.05</v>
      </c>
      <c r="F2352" s="116">
        <v>2534.0500000000002</v>
      </c>
      <c r="G2352">
        <v>15054</v>
      </c>
      <c r="H2352" s="116"/>
      <c r="I2352" s="116"/>
      <c r="L2352" s="170">
        <v>45469</v>
      </c>
      <c r="M2352" s="116">
        <v>1267.125</v>
      </c>
      <c r="N2352" s="116">
        <v>1273.5</v>
      </c>
      <c r="O2352" s="116">
        <v>1253.7249999999999</v>
      </c>
      <c r="P2352" s="116">
        <v>1261.3</v>
      </c>
      <c r="Q2352" s="116">
        <v>2534.25</v>
      </c>
      <c r="R2352">
        <v>479356</v>
      </c>
    </row>
    <row r="2353" spans="1:18" x14ac:dyDescent="0.25">
      <c r="A2353" s="170">
        <v>45470</v>
      </c>
      <c r="B2353" s="116">
        <v>1276.8</v>
      </c>
      <c r="C2353" s="116">
        <v>1266.2750000000001</v>
      </c>
      <c r="D2353" s="116">
        <v>1254.05</v>
      </c>
      <c r="E2353" s="116">
        <v>1266</v>
      </c>
      <c r="F2353" s="116">
        <v>2532.5500000000002</v>
      </c>
      <c r="G2353">
        <v>145885</v>
      </c>
      <c r="H2353" s="116"/>
      <c r="I2353" s="116"/>
      <c r="L2353" s="170">
        <v>45470</v>
      </c>
      <c r="M2353" s="116">
        <v>1266.875</v>
      </c>
      <c r="N2353" s="116">
        <v>1277</v>
      </c>
      <c r="O2353" s="116">
        <v>1254.0250000000001</v>
      </c>
      <c r="P2353" s="116">
        <v>1265.5999999999999</v>
      </c>
      <c r="Q2353" s="116">
        <v>2533.75</v>
      </c>
      <c r="R2353">
        <v>866311</v>
      </c>
    </row>
    <row r="2354" spans="1:18" x14ac:dyDescent="0.25">
      <c r="A2354" s="170">
        <v>45471</v>
      </c>
      <c r="B2354" s="116">
        <v>1286.2</v>
      </c>
      <c r="C2354" s="116">
        <v>1276.2750000000001</v>
      </c>
      <c r="D2354" s="116">
        <v>1264.125</v>
      </c>
      <c r="E2354" s="116">
        <v>1267.5</v>
      </c>
      <c r="F2354" s="116">
        <v>2552.5500000000002</v>
      </c>
      <c r="G2354">
        <v>53022</v>
      </c>
      <c r="H2354" s="116"/>
      <c r="I2354" s="116"/>
      <c r="L2354" s="170">
        <v>45471</v>
      </c>
      <c r="M2354" s="116">
        <v>1275.825</v>
      </c>
      <c r="N2354" s="116">
        <v>1286.8499999999999</v>
      </c>
      <c r="O2354" s="116">
        <v>1264.1500000000001</v>
      </c>
      <c r="P2354" s="116">
        <v>1266.875</v>
      </c>
      <c r="Q2354" s="116">
        <v>2551.65</v>
      </c>
      <c r="R2354">
        <v>1182033</v>
      </c>
    </row>
    <row r="2355" spans="1:18" x14ac:dyDescent="0.25">
      <c r="A2355" s="170">
        <v>45474</v>
      </c>
      <c r="B2355" s="116">
        <v>1295</v>
      </c>
      <c r="C2355" s="116">
        <v>1283.8</v>
      </c>
      <c r="D2355" s="116">
        <v>1278.7</v>
      </c>
      <c r="E2355" s="116">
        <v>1278.7</v>
      </c>
      <c r="F2355" s="116">
        <v>2567.6</v>
      </c>
      <c r="G2355">
        <v>42581</v>
      </c>
      <c r="H2355" s="116"/>
      <c r="I2355" s="116"/>
      <c r="L2355" s="170">
        <v>45474</v>
      </c>
      <c r="M2355" s="116">
        <v>1284.05</v>
      </c>
      <c r="N2355" s="116">
        <v>1295.55</v>
      </c>
      <c r="O2355" s="116">
        <v>1278.5</v>
      </c>
      <c r="P2355" s="116">
        <v>1279.9000000000001</v>
      </c>
      <c r="Q2355" s="116">
        <v>2568.1</v>
      </c>
      <c r="R2355">
        <v>924514</v>
      </c>
    </row>
    <row r="2356" spans="1:18" x14ac:dyDescent="0.25">
      <c r="A2356" s="170">
        <v>45475</v>
      </c>
      <c r="B2356" s="116">
        <v>1297.2750000000001</v>
      </c>
      <c r="C2356" s="116">
        <v>1272.625</v>
      </c>
      <c r="D2356" s="116">
        <v>1267.175</v>
      </c>
      <c r="E2356" s="116">
        <v>1297.2750000000001</v>
      </c>
      <c r="F2356" s="116">
        <v>2545.25</v>
      </c>
      <c r="G2356">
        <v>17264</v>
      </c>
      <c r="H2356" s="116"/>
      <c r="I2356" s="116"/>
      <c r="L2356" s="170">
        <v>45475</v>
      </c>
      <c r="M2356" s="116">
        <v>1272.2249999999999</v>
      </c>
      <c r="N2356" s="116">
        <v>1294</v>
      </c>
      <c r="O2356" s="116">
        <v>1266.575</v>
      </c>
      <c r="P2356" s="116">
        <v>1292.7</v>
      </c>
      <c r="Q2356" s="116">
        <v>2544.4499999999998</v>
      </c>
      <c r="R2356">
        <v>581100</v>
      </c>
    </row>
    <row r="2357" spans="1:18" x14ac:dyDescent="0.25">
      <c r="A2357" s="170">
        <v>45476</v>
      </c>
      <c r="B2357" s="116">
        <v>1284.9749999999999</v>
      </c>
      <c r="C2357" s="116">
        <v>1277</v>
      </c>
      <c r="D2357" s="116">
        <v>1270</v>
      </c>
      <c r="E2357" s="116">
        <v>1276.9749999999999</v>
      </c>
      <c r="F2357" s="116">
        <v>2554</v>
      </c>
      <c r="G2357">
        <v>20523</v>
      </c>
      <c r="H2357" s="116"/>
      <c r="I2357" s="116"/>
      <c r="L2357" s="170">
        <v>45476</v>
      </c>
      <c r="M2357" s="116">
        <v>1275.75</v>
      </c>
      <c r="N2357" s="116">
        <v>1284.7750000000001</v>
      </c>
      <c r="O2357" s="116">
        <v>1270.3499999999999</v>
      </c>
      <c r="P2357" s="116">
        <v>1275.05</v>
      </c>
      <c r="Q2357" s="116">
        <v>2551.5</v>
      </c>
      <c r="R2357">
        <v>315956</v>
      </c>
    </row>
    <row r="2358" spans="1:18" x14ac:dyDescent="0.25">
      <c r="A2358" s="170">
        <v>45477</v>
      </c>
      <c r="B2358" s="116">
        <v>1281.5</v>
      </c>
      <c r="C2358" s="116">
        <v>1272.25</v>
      </c>
      <c r="D2358" s="116">
        <v>1270.175</v>
      </c>
      <c r="E2358" s="116">
        <v>1280.425</v>
      </c>
      <c r="F2358" s="116">
        <v>2544.5</v>
      </c>
      <c r="G2358">
        <v>19195</v>
      </c>
      <c r="H2358" s="116"/>
      <c r="I2358" s="116"/>
      <c r="L2358" s="170">
        <v>45477</v>
      </c>
      <c r="M2358" s="116">
        <v>1272.575</v>
      </c>
      <c r="N2358" s="116">
        <v>1282.5</v>
      </c>
      <c r="O2358" s="116">
        <v>1271.0250000000001</v>
      </c>
      <c r="P2358" s="116">
        <v>1280</v>
      </c>
      <c r="Q2358" s="116">
        <v>2545.15</v>
      </c>
      <c r="R2358">
        <v>313676</v>
      </c>
    </row>
    <row r="2359" spans="1:18" x14ac:dyDescent="0.25">
      <c r="A2359" s="170">
        <v>45478</v>
      </c>
      <c r="B2359" s="116">
        <v>1290</v>
      </c>
      <c r="C2359" s="116">
        <v>1286.925</v>
      </c>
      <c r="D2359" s="116">
        <v>1266.7</v>
      </c>
      <c r="E2359" s="116">
        <v>1274.3</v>
      </c>
      <c r="F2359" s="116">
        <v>2573.85</v>
      </c>
      <c r="G2359">
        <v>30820</v>
      </c>
      <c r="H2359" s="116"/>
      <c r="I2359" s="116"/>
      <c r="L2359" s="170">
        <v>45478</v>
      </c>
      <c r="M2359" s="116">
        <v>1287.075</v>
      </c>
      <c r="N2359" s="116">
        <v>1289.8</v>
      </c>
      <c r="O2359" s="116">
        <v>1266.25</v>
      </c>
      <c r="P2359" s="116">
        <v>1275.3</v>
      </c>
      <c r="Q2359" s="116">
        <v>2574.15</v>
      </c>
      <c r="R2359">
        <v>791513</v>
      </c>
    </row>
    <row r="2360" spans="1:18" x14ac:dyDescent="0.25">
      <c r="A2360" s="170">
        <v>45481</v>
      </c>
      <c r="B2360" s="116">
        <v>1310</v>
      </c>
      <c r="C2360" s="116">
        <v>1301.6500000000001</v>
      </c>
      <c r="D2360" s="116">
        <v>1281.45</v>
      </c>
      <c r="E2360" s="116">
        <v>1287.425</v>
      </c>
      <c r="F2360" s="116">
        <v>2603.3000000000002</v>
      </c>
      <c r="G2360">
        <v>36652</v>
      </c>
      <c r="H2360" s="116"/>
      <c r="I2360" s="116"/>
      <c r="L2360" s="170">
        <v>45481</v>
      </c>
      <c r="M2360" s="116">
        <v>1301.7</v>
      </c>
      <c r="N2360" s="116">
        <v>1310</v>
      </c>
      <c r="O2360" s="116">
        <v>1280.7249999999999</v>
      </c>
      <c r="P2360" s="116">
        <v>1287.075</v>
      </c>
      <c r="Q2360" s="116">
        <v>2603.4</v>
      </c>
      <c r="R2360">
        <v>724276</v>
      </c>
    </row>
    <row r="2361" spans="1:18" x14ac:dyDescent="0.25">
      <c r="A2361" s="170">
        <v>45482</v>
      </c>
      <c r="B2361" s="116">
        <v>1319.4749999999999</v>
      </c>
      <c r="C2361" s="116">
        <v>1315.35</v>
      </c>
      <c r="D2361" s="116">
        <v>1297</v>
      </c>
      <c r="E2361" s="116">
        <v>1319.4749999999999</v>
      </c>
      <c r="F2361" s="116">
        <v>2630.7</v>
      </c>
      <c r="G2361">
        <v>29143</v>
      </c>
      <c r="H2361" s="116"/>
      <c r="I2361" s="116"/>
      <c r="L2361" s="170">
        <v>45482</v>
      </c>
      <c r="M2361" s="116">
        <v>1316.55</v>
      </c>
      <c r="N2361" s="116">
        <v>1320.05</v>
      </c>
      <c r="O2361" s="116">
        <v>1296.8</v>
      </c>
      <c r="P2361" s="116">
        <v>1313.65</v>
      </c>
      <c r="Q2361" s="116">
        <v>2633.1</v>
      </c>
      <c r="R2361">
        <v>832573</v>
      </c>
    </row>
    <row r="2362" spans="1:18" x14ac:dyDescent="0.25">
      <c r="A2362" s="170">
        <v>45483</v>
      </c>
      <c r="B2362" s="116">
        <v>1324.825</v>
      </c>
      <c r="C2362" s="116">
        <v>1310.05</v>
      </c>
      <c r="D2362" s="116">
        <v>1299.9749999999999</v>
      </c>
      <c r="E2362" s="116">
        <v>1319</v>
      </c>
      <c r="F2362" s="116">
        <v>2620.1</v>
      </c>
      <c r="G2362">
        <v>16805</v>
      </c>
      <c r="H2362" s="116"/>
      <c r="I2362" s="116"/>
      <c r="L2362" s="170">
        <v>45483</v>
      </c>
      <c r="M2362" s="116">
        <v>1308.2249999999999</v>
      </c>
      <c r="N2362" s="116">
        <v>1324.9749999999999</v>
      </c>
      <c r="O2362" s="116">
        <v>1299.0250000000001</v>
      </c>
      <c r="P2362" s="116">
        <v>1318.95</v>
      </c>
      <c r="Q2362" s="116">
        <v>2616.4499999999998</v>
      </c>
      <c r="R2362">
        <v>534990</v>
      </c>
    </row>
    <row r="2363" spans="1:18" x14ac:dyDescent="0.25">
      <c r="A2363" s="170">
        <v>45484</v>
      </c>
      <c r="B2363" s="116">
        <v>1315.05</v>
      </c>
      <c r="C2363" s="116">
        <v>1296.25</v>
      </c>
      <c r="D2363" s="116">
        <v>1281.7249999999999</v>
      </c>
      <c r="E2363" s="116">
        <v>1305.175</v>
      </c>
      <c r="F2363" s="116">
        <v>2592.5</v>
      </c>
      <c r="G2363">
        <v>25073</v>
      </c>
      <c r="H2363" s="116"/>
      <c r="I2363" s="116"/>
      <c r="L2363" s="170">
        <v>45484</v>
      </c>
      <c r="M2363" s="116">
        <v>1296.5999999999999</v>
      </c>
      <c r="N2363" s="116">
        <v>1315.8</v>
      </c>
      <c r="O2363" s="116">
        <v>1281.8499999999999</v>
      </c>
      <c r="P2363" s="116">
        <v>1310</v>
      </c>
      <c r="Q2363" s="116">
        <v>2593.1999999999998</v>
      </c>
      <c r="R2363">
        <v>1053799</v>
      </c>
    </row>
    <row r="2364" spans="1:18" x14ac:dyDescent="0.25">
      <c r="A2364" s="170">
        <v>45485</v>
      </c>
      <c r="B2364" s="116">
        <v>1309.7</v>
      </c>
      <c r="C2364" s="116">
        <v>1304.675</v>
      </c>
      <c r="D2364" s="116">
        <v>1292.9000000000001</v>
      </c>
      <c r="E2364" s="116">
        <v>1300.375</v>
      </c>
      <c r="F2364" s="116">
        <v>2609.35</v>
      </c>
      <c r="G2364">
        <v>148747</v>
      </c>
      <c r="H2364" s="116"/>
      <c r="I2364" s="116"/>
      <c r="L2364" s="170">
        <v>45485</v>
      </c>
      <c r="M2364" s="116">
        <v>1304.5</v>
      </c>
      <c r="N2364" s="116">
        <v>1309.925</v>
      </c>
      <c r="O2364" s="116">
        <v>1292.925</v>
      </c>
      <c r="P2364" s="116">
        <v>1302.5</v>
      </c>
      <c r="Q2364" s="116">
        <v>2609</v>
      </c>
      <c r="R2364">
        <v>725893</v>
      </c>
    </row>
    <row r="2365" spans="1:18" x14ac:dyDescent="0.25">
      <c r="A2365" s="170">
        <v>45488</v>
      </c>
      <c r="B2365" s="116">
        <v>1309.675</v>
      </c>
      <c r="C2365" s="116">
        <v>1301.3499999999999</v>
      </c>
      <c r="D2365" s="116">
        <v>1299</v>
      </c>
      <c r="E2365" s="116">
        <v>1306</v>
      </c>
      <c r="F2365" s="116">
        <v>2602.6999999999998</v>
      </c>
      <c r="G2365">
        <v>20125</v>
      </c>
      <c r="H2365" s="116"/>
      <c r="I2365" s="116"/>
      <c r="L2365" s="170">
        <v>45488</v>
      </c>
      <c r="M2365" s="116">
        <v>1302.55</v>
      </c>
      <c r="N2365" s="116">
        <v>1309.75</v>
      </c>
      <c r="O2365" s="116">
        <v>1298.5</v>
      </c>
      <c r="P2365" s="116">
        <v>1304.5250000000001</v>
      </c>
      <c r="Q2365" s="116">
        <v>2605.1</v>
      </c>
      <c r="R2365">
        <v>347961</v>
      </c>
    </row>
    <row r="2366" spans="1:18" x14ac:dyDescent="0.25">
      <c r="A2366" s="170">
        <v>45489</v>
      </c>
      <c r="B2366" s="116">
        <v>1308.6500000000001</v>
      </c>
      <c r="C2366" s="116">
        <v>1303.575</v>
      </c>
      <c r="D2366" s="116">
        <v>1285</v>
      </c>
      <c r="E2366" s="116">
        <v>1304.9749999999999</v>
      </c>
      <c r="F2366" s="116">
        <v>2607.15</v>
      </c>
      <c r="G2366">
        <v>13033</v>
      </c>
      <c r="H2366" s="116"/>
      <c r="I2366" s="116"/>
      <c r="L2366" s="170">
        <v>45489</v>
      </c>
      <c r="M2366" s="116">
        <v>1303.6500000000001</v>
      </c>
      <c r="N2366" s="116">
        <v>1309.425</v>
      </c>
      <c r="O2366" s="116">
        <v>1284.5250000000001</v>
      </c>
      <c r="P2366" s="116">
        <v>1302.3</v>
      </c>
      <c r="Q2366" s="116">
        <v>2607.3000000000002</v>
      </c>
      <c r="R2366">
        <v>757069</v>
      </c>
    </row>
    <row r="2367" spans="1:18" x14ac:dyDescent="0.25">
      <c r="A2367" s="170">
        <v>45491</v>
      </c>
      <c r="B2367" s="116">
        <v>1316.75</v>
      </c>
      <c r="C2367" s="116">
        <v>1312.6</v>
      </c>
      <c r="D2367" s="116">
        <v>1287.5</v>
      </c>
      <c r="E2367" s="116">
        <v>1287.5</v>
      </c>
      <c r="F2367" s="116">
        <v>2625.2</v>
      </c>
      <c r="G2367">
        <v>22246</v>
      </c>
      <c r="H2367" s="116"/>
      <c r="I2367" s="116"/>
      <c r="L2367" s="170">
        <v>45491</v>
      </c>
      <c r="M2367" s="116">
        <v>1313.5250000000001</v>
      </c>
      <c r="N2367" s="116">
        <v>1317.45</v>
      </c>
      <c r="O2367" s="116">
        <v>1287.5</v>
      </c>
      <c r="P2367" s="116">
        <v>1287.5</v>
      </c>
      <c r="Q2367" s="116">
        <v>2627.05</v>
      </c>
      <c r="R2367">
        <v>866797</v>
      </c>
    </row>
    <row r="2368" spans="1:18" x14ac:dyDescent="0.25">
      <c r="A2368" s="170">
        <v>45492</v>
      </c>
      <c r="B2368" s="116">
        <v>1322.5</v>
      </c>
      <c r="C2368" s="116">
        <v>1299.45</v>
      </c>
      <c r="D2368" s="116">
        <v>1292.9000000000001</v>
      </c>
      <c r="E2368" s="116">
        <v>1315.0250000000001</v>
      </c>
      <c r="F2368" s="116">
        <v>2598.9</v>
      </c>
      <c r="G2368">
        <v>96264</v>
      </c>
      <c r="H2368" s="116"/>
      <c r="I2368" s="116"/>
      <c r="L2368" s="170">
        <v>45492</v>
      </c>
      <c r="M2368" s="116">
        <v>1298.925</v>
      </c>
      <c r="N2368" s="116">
        <v>1322.75</v>
      </c>
      <c r="O2368" s="116">
        <v>1293.2249999999999</v>
      </c>
      <c r="P2368" s="116">
        <v>1317.425</v>
      </c>
      <c r="Q2368" s="116">
        <v>2597.85</v>
      </c>
      <c r="R2368">
        <v>538936</v>
      </c>
    </row>
    <row r="2369" spans="1:18" x14ac:dyDescent="0.25">
      <c r="A2369" s="170">
        <v>45495</v>
      </c>
      <c r="B2369" s="116">
        <v>1314.5</v>
      </c>
      <c r="C2369" s="116">
        <v>1293.325</v>
      </c>
      <c r="D2369" s="116">
        <v>1282.2750000000001</v>
      </c>
      <c r="E2369" s="116">
        <v>1295.05</v>
      </c>
      <c r="F2369" s="116">
        <v>2586.65</v>
      </c>
      <c r="G2369">
        <v>25104</v>
      </c>
      <c r="H2369" s="116"/>
      <c r="I2369" s="116"/>
      <c r="L2369" s="170">
        <v>45495</v>
      </c>
      <c r="M2369" s="116">
        <v>1293.6500000000001</v>
      </c>
      <c r="N2369" s="116">
        <v>1315</v>
      </c>
      <c r="O2369" s="116">
        <v>1282.6500000000001</v>
      </c>
      <c r="P2369" s="116">
        <v>1298.925</v>
      </c>
      <c r="Q2369" s="116">
        <v>2587.3000000000002</v>
      </c>
      <c r="R2369">
        <v>745171</v>
      </c>
    </row>
    <row r="2370" spans="1:18" x14ac:dyDescent="0.25">
      <c r="A2370" s="170">
        <v>45496</v>
      </c>
      <c r="B2370" s="116">
        <v>1304.5</v>
      </c>
      <c r="C2370" s="116">
        <v>1290.2</v>
      </c>
      <c r="D2370" s="116">
        <v>1275</v>
      </c>
      <c r="E2370" s="116">
        <v>1293.5</v>
      </c>
      <c r="F2370" s="116">
        <v>2580.4</v>
      </c>
      <c r="G2370">
        <v>38296</v>
      </c>
      <c r="H2370" s="116"/>
      <c r="I2370" s="116"/>
      <c r="L2370" s="170">
        <v>45496</v>
      </c>
      <c r="M2370" s="116">
        <v>1290.7750000000001</v>
      </c>
      <c r="N2370" s="116">
        <v>1303.25</v>
      </c>
      <c r="O2370" s="116">
        <v>1275</v>
      </c>
      <c r="P2370" s="116">
        <v>1298.3</v>
      </c>
      <c r="Q2370" s="116">
        <v>2581.5500000000002</v>
      </c>
      <c r="R2370">
        <v>968499</v>
      </c>
    </row>
    <row r="2371" spans="1:18" x14ac:dyDescent="0.25">
      <c r="A2371" s="170">
        <v>45497</v>
      </c>
      <c r="B2371" s="116">
        <v>1297.45</v>
      </c>
      <c r="C2371" s="116">
        <v>1271.9000000000001</v>
      </c>
      <c r="D2371" s="116">
        <v>1259.5</v>
      </c>
      <c r="E2371" s="116">
        <v>1297.45</v>
      </c>
      <c r="F2371" s="116">
        <v>2543.8000000000002</v>
      </c>
      <c r="G2371">
        <v>27070</v>
      </c>
      <c r="H2371" s="116"/>
      <c r="I2371" s="116"/>
      <c r="L2371" s="170">
        <v>45497</v>
      </c>
      <c r="M2371" s="116">
        <v>1270.7</v>
      </c>
      <c r="N2371" s="116">
        <v>1290.5</v>
      </c>
      <c r="O2371" s="116">
        <v>1259.3499999999999</v>
      </c>
      <c r="P2371" s="116">
        <v>1290.5</v>
      </c>
      <c r="Q2371" s="116">
        <v>2541.4</v>
      </c>
      <c r="R2371">
        <v>1311044</v>
      </c>
    </row>
    <row r="2372" spans="1:18" x14ac:dyDescent="0.25">
      <c r="A2372" s="170">
        <v>45498</v>
      </c>
      <c r="B2372" s="116">
        <v>1278.55</v>
      </c>
      <c r="C2372" s="116">
        <v>1240.2</v>
      </c>
      <c r="D2372" s="116">
        <v>1230</v>
      </c>
      <c r="E2372" s="116">
        <v>1271.9000000000001</v>
      </c>
      <c r="F2372" s="116">
        <v>2480.4</v>
      </c>
      <c r="G2372">
        <v>100230</v>
      </c>
      <c r="H2372" s="116"/>
      <c r="I2372" s="116"/>
      <c r="L2372" s="170">
        <v>45498</v>
      </c>
      <c r="M2372" s="116">
        <v>1240.325</v>
      </c>
      <c r="N2372" s="116">
        <v>1278.325</v>
      </c>
      <c r="O2372" s="116">
        <v>1229.7249999999999</v>
      </c>
      <c r="P2372" s="116">
        <v>1272.4000000000001</v>
      </c>
      <c r="Q2372" s="116">
        <v>2480.65</v>
      </c>
      <c r="R2372">
        <v>3469181</v>
      </c>
    </row>
    <row r="2373" spans="1:18" x14ac:dyDescent="0.25">
      <c r="A2373" s="170">
        <v>45499</v>
      </c>
      <c r="B2373" s="116">
        <v>1249.9749999999999</v>
      </c>
      <c r="C2373" s="116">
        <v>1239.3499999999999</v>
      </c>
      <c r="D2373" s="116">
        <v>1226.25</v>
      </c>
      <c r="E2373" s="116">
        <v>1249.9749999999999</v>
      </c>
      <c r="F2373" s="116">
        <v>2478.6999999999998</v>
      </c>
      <c r="G2373">
        <v>130941</v>
      </c>
      <c r="H2373" s="116"/>
      <c r="I2373" s="116"/>
      <c r="L2373" s="170">
        <v>45499</v>
      </c>
      <c r="M2373" s="116">
        <v>1238.45</v>
      </c>
      <c r="N2373" s="116">
        <v>1246.3</v>
      </c>
      <c r="O2373" s="116">
        <v>1225.75</v>
      </c>
      <c r="P2373" s="116">
        <v>1246.3</v>
      </c>
      <c r="Q2373" s="116">
        <v>2476.9</v>
      </c>
      <c r="R2373">
        <v>1619693</v>
      </c>
    </row>
    <row r="2374" spans="1:18" x14ac:dyDescent="0.25">
      <c r="A2374" s="170">
        <v>45502</v>
      </c>
      <c r="B2374" s="116">
        <v>1243.9000000000001</v>
      </c>
      <c r="C2374" s="116">
        <v>1235.125</v>
      </c>
      <c r="D2374" s="116">
        <v>1229.5</v>
      </c>
      <c r="E2374" s="116">
        <v>1240.0250000000001</v>
      </c>
      <c r="F2374" s="116">
        <v>2470.25</v>
      </c>
      <c r="G2374">
        <v>30285</v>
      </c>
      <c r="H2374" s="116"/>
      <c r="I2374" s="116"/>
      <c r="L2374" s="170">
        <v>45502</v>
      </c>
      <c r="M2374" s="116">
        <v>1235.1500000000001</v>
      </c>
      <c r="N2374" s="116">
        <v>1243.4749999999999</v>
      </c>
      <c r="O2374" s="116">
        <v>1229.5</v>
      </c>
      <c r="P2374" s="116">
        <v>1241.8</v>
      </c>
      <c r="Q2374" s="116">
        <v>2470.3000000000002</v>
      </c>
      <c r="R2374">
        <v>802901</v>
      </c>
    </row>
    <row r="2375" spans="1:18" x14ac:dyDescent="0.25">
      <c r="A2375" s="170">
        <v>45503</v>
      </c>
      <c r="B2375" s="116">
        <v>1240</v>
      </c>
      <c r="C2375" s="116">
        <v>1228.25</v>
      </c>
      <c r="D2375" s="116">
        <v>1226</v>
      </c>
      <c r="E2375" s="116">
        <v>1235</v>
      </c>
      <c r="F2375" s="116">
        <v>2456.5</v>
      </c>
      <c r="G2375">
        <v>20382</v>
      </c>
      <c r="H2375" s="116"/>
      <c r="I2375" s="116"/>
      <c r="L2375" s="170">
        <v>45503</v>
      </c>
      <c r="M2375" s="116">
        <v>1228.825</v>
      </c>
      <c r="N2375" s="116">
        <v>1240.2</v>
      </c>
      <c r="O2375" s="116">
        <v>1225.5</v>
      </c>
      <c r="P2375" s="116">
        <v>1235.175</v>
      </c>
      <c r="Q2375" s="116">
        <v>2457.65</v>
      </c>
      <c r="R2375">
        <v>1714758</v>
      </c>
    </row>
    <row r="2376" spans="1:18" x14ac:dyDescent="0.25">
      <c r="A2376" s="170">
        <v>45504</v>
      </c>
      <c r="B2376" s="116">
        <v>1238.4000000000001</v>
      </c>
      <c r="C2376" s="116">
        <v>1228.075</v>
      </c>
      <c r="D2376" s="116">
        <v>1225.5250000000001</v>
      </c>
      <c r="E2376" s="116">
        <v>1235</v>
      </c>
      <c r="F2376" s="116">
        <v>2456.15</v>
      </c>
      <c r="G2376">
        <v>26228</v>
      </c>
      <c r="H2376" s="116"/>
      <c r="I2376" s="116"/>
      <c r="L2376" s="170">
        <v>45504</v>
      </c>
      <c r="M2376" s="116">
        <v>1228.175</v>
      </c>
      <c r="N2376" s="116">
        <v>1238.5</v>
      </c>
      <c r="O2376" s="116">
        <v>1226</v>
      </c>
      <c r="P2376" s="116">
        <v>1235</v>
      </c>
      <c r="Q2376" s="116">
        <v>2456.35</v>
      </c>
      <c r="R2376">
        <v>822361</v>
      </c>
    </row>
    <row r="2377" spans="1:18" x14ac:dyDescent="0.25">
      <c r="A2377" s="170">
        <v>45505</v>
      </c>
      <c r="B2377" s="116">
        <v>1246</v>
      </c>
      <c r="C2377" s="116">
        <v>1242.0250000000001</v>
      </c>
      <c r="D2377" s="116">
        <v>1229</v>
      </c>
      <c r="E2377" s="116">
        <v>1231.5</v>
      </c>
      <c r="F2377" s="116">
        <v>2484.0500000000002</v>
      </c>
      <c r="G2377">
        <v>99447</v>
      </c>
      <c r="H2377" s="116"/>
      <c r="I2377" s="116"/>
      <c r="L2377" s="170">
        <v>45505</v>
      </c>
      <c r="M2377" s="116">
        <v>1242</v>
      </c>
      <c r="N2377" s="116">
        <v>1246.1500000000001</v>
      </c>
      <c r="O2377" s="116">
        <v>1228.175</v>
      </c>
      <c r="P2377" s="116">
        <v>1232.5</v>
      </c>
      <c r="Q2377" s="116">
        <v>2484</v>
      </c>
      <c r="R2377">
        <v>1326762</v>
      </c>
    </row>
    <row r="2378" spans="1:18" x14ac:dyDescent="0.25">
      <c r="A2378" s="170">
        <v>45506</v>
      </c>
      <c r="B2378" s="116">
        <v>1256.8499999999999</v>
      </c>
      <c r="C2378" s="116">
        <v>1247.175</v>
      </c>
      <c r="D2378" s="116">
        <v>1233</v>
      </c>
      <c r="E2378" s="116">
        <v>1241.45</v>
      </c>
      <c r="F2378" s="116">
        <v>2494.35</v>
      </c>
      <c r="G2378">
        <v>81371</v>
      </c>
      <c r="H2378" s="116"/>
      <c r="I2378" s="116"/>
      <c r="L2378" s="170">
        <v>45506</v>
      </c>
      <c r="M2378" s="116">
        <v>1247.55</v>
      </c>
      <c r="N2378" s="116">
        <v>1257</v>
      </c>
      <c r="O2378" s="116">
        <v>1232.5</v>
      </c>
      <c r="P2378" s="116">
        <v>1240</v>
      </c>
      <c r="Q2378" s="116">
        <v>2495.1</v>
      </c>
      <c r="R2378">
        <v>1155474</v>
      </c>
    </row>
    <row r="2379" spans="1:18" x14ac:dyDescent="0.25">
      <c r="A2379" s="170">
        <v>45509</v>
      </c>
      <c r="B2379" s="116">
        <v>1264.25</v>
      </c>
      <c r="C2379" s="116">
        <v>1254.825</v>
      </c>
      <c r="D2379" s="116">
        <v>1238.0250000000001</v>
      </c>
      <c r="E2379" s="116">
        <v>1247.125</v>
      </c>
      <c r="F2379" s="116">
        <v>2509.65</v>
      </c>
      <c r="G2379">
        <v>31851</v>
      </c>
      <c r="H2379" s="116"/>
      <c r="I2379" s="116"/>
      <c r="L2379" s="170">
        <v>45509</v>
      </c>
      <c r="M2379" s="116">
        <v>1255.45</v>
      </c>
      <c r="N2379" s="116">
        <v>1264.45</v>
      </c>
      <c r="O2379" s="116">
        <v>1237.5250000000001</v>
      </c>
      <c r="P2379" s="116">
        <v>1244</v>
      </c>
      <c r="Q2379" s="116">
        <v>2510.9</v>
      </c>
      <c r="R2379">
        <v>1325910</v>
      </c>
    </row>
    <row r="2380" spans="1:18" x14ac:dyDescent="0.25">
      <c r="A2380" s="170">
        <v>45510</v>
      </c>
      <c r="B2380" s="116">
        <v>1263.3499999999999</v>
      </c>
      <c r="C2380" s="116">
        <v>1253.7</v>
      </c>
      <c r="D2380" s="116">
        <v>1251.3</v>
      </c>
      <c r="E2380" s="116">
        <v>1252.5999999999999</v>
      </c>
      <c r="F2380" s="116">
        <v>2507.4</v>
      </c>
      <c r="G2380">
        <v>16772</v>
      </c>
      <c r="H2380" s="116"/>
      <c r="I2380" s="116"/>
      <c r="L2380" s="170">
        <v>45510</v>
      </c>
      <c r="M2380" s="116">
        <v>1254.25</v>
      </c>
      <c r="N2380" s="116">
        <v>1264</v>
      </c>
      <c r="O2380" s="116">
        <v>1250.5</v>
      </c>
      <c r="P2380" s="116">
        <v>1256.95</v>
      </c>
      <c r="Q2380" s="116">
        <v>2508.5</v>
      </c>
      <c r="R2380">
        <v>949431</v>
      </c>
    </row>
    <row r="2381" spans="1:18" x14ac:dyDescent="0.25">
      <c r="A2381" s="170">
        <v>45511</v>
      </c>
      <c r="B2381" s="116">
        <v>1264.5</v>
      </c>
      <c r="C2381" s="116">
        <v>1261.075</v>
      </c>
      <c r="D2381" s="116">
        <v>1255.0250000000001</v>
      </c>
      <c r="E2381" s="116">
        <v>1255.0250000000001</v>
      </c>
      <c r="F2381" s="116">
        <v>2522.15</v>
      </c>
      <c r="G2381">
        <v>17027</v>
      </c>
      <c r="H2381" s="116"/>
      <c r="I2381" s="116"/>
      <c r="L2381" s="170">
        <v>45511</v>
      </c>
      <c r="M2381" s="116">
        <v>1261.4000000000001</v>
      </c>
      <c r="N2381" s="116">
        <v>1264.4749999999999</v>
      </c>
      <c r="O2381" s="116">
        <v>1255.125</v>
      </c>
      <c r="P2381" s="116">
        <v>1259.2750000000001</v>
      </c>
      <c r="Q2381" s="116">
        <v>2522.8000000000002</v>
      </c>
      <c r="R2381">
        <v>649970</v>
      </c>
    </row>
    <row r="2382" spans="1:18" x14ac:dyDescent="0.25">
      <c r="A2382" s="170">
        <v>45512</v>
      </c>
      <c r="B2382" s="116">
        <v>1264.0250000000001</v>
      </c>
      <c r="C2382" s="116">
        <v>1244.925</v>
      </c>
      <c r="D2382" s="116">
        <v>1238.825</v>
      </c>
      <c r="E2382" s="116">
        <v>1264.0250000000001</v>
      </c>
      <c r="F2382" s="116">
        <v>2489.85</v>
      </c>
      <c r="G2382">
        <v>163906</v>
      </c>
      <c r="H2382" s="116"/>
      <c r="I2382" s="116"/>
      <c r="L2382" s="170">
        <v>45512</v>
      </c>
      <c r="M2382" s="116">
        <v>1244.55</v>
      </c>
      <c r="N2382" s="116">
        <v>1262.5</v>
      </c>
      <c r="O2382" s="116">
        <v>1239</v>
      </c>
      <c r="P2382" s="116">
        <v>1259.2750000000001</v>
      </c>
      <c r="Q2382" s="116">
        <v>2489.1</v>
      </c>
      <c r="R2382">
        <v>1425006</v>
      </c>
    </row>
    <row r="2383" spans="1:18" x14ac:dyDescent="0.25">
      <c r="A2383" s="170">
        <v>45513</v>
      </c>
      <c r="B2383" s="116">
        <v>1256</v>
      </c>
      <c r="C2383" s="116">
        <v>1251.625</v>
      </c>
      <c r="D2383" s="116">
        <v>1244.925</v>
      </c>
      <c r="E2383" s="116">
        <v>1255.9749999999999</v>
      </c>
      <c r="F2383" s="116">
        <v>2503.25</v>
      </c>
      <c r="G2383">
        <v>38814</v>
      </c>
      <c r="H2383" s="116"/>
      <c r="I2383" s="116"/>
      <c r="L2383" s="170">
        <v>45513</v>
      </c>
      <c r="M2383" s="116">
        <v>1252.3499999999999</v>
      </c>
      <c r="N2383" s="116">
        <v>1255.95</v>
      </c>
      <c r="O2383" s="116">
        <v>1245.0999999999999</v>
      </c>
      <c r="P2383" s="116">
        <v>1253.3</v>
      </c>
      <c r="Q2383" s="116">
        <v>2504.6999999999998</v>
      </c>
      <c r="R2383">
        <v>270006</v>
      </c>
    </row>
    <row r="2384" spans="1:18" x14ac:dyDescent="0.25">
      <c r="A2384" s="170">
        <v>45516</v>
      </c>
      <c r="B2384" s="116">
        <v>1254.5999999999999</v>
      </c>
      <c r="C2384" s="116">
        <v>1236.55</v>
      </c>
      <c r="D2384" s="116">
        <v>1234.5</v>
      </c>
      <c r="E2384" s="116">
        <v>1245.2249999999999</v>
      </c>
      <c r="F2384" s="116">
        <v>2473.1</v>
      </c>
      <c r="G2384">
        <v>10910</v>
      </c>
      <c r="H2384" s="116"/>
      <c r="I2384" s="116"/>
      <c r="L2384" s="170">
        <v>45516</v>
      </c>
      <c r="M2384" s="116">
        <v>1236.55</v>
      </c>
      <c r="N2384" s="116">
        <v>1254.9749999999999</v>
      </c>
      <c r="O2384" s="116">
        <v>1234.175</v>
      </c>
      <c r="P2384" s="116">
        <v>1250.9000000000001</v>
      </c>
      <c r="Q2384" s="116">
        <v>2473.1</v>
      </c>
      <c r="R2384">
        <v>475020</v>
      </c>
    </row>
    <row r="2385" spans="1:18" x14ac:dyDescent="0.25">
      <c r="A2385" s="170">
        <v>45517</v>
      </c>
      <c r="B2385" s="116">
        <v>1245.7249999999999</v>
      </c>
      <c r="C2385" s="116">
        <v>1242.825</v>
      </c>
      <c r="D2385" s="116">
        <v>1235.325</v>
      </c>
      <c r="E2385" s="116">
        <v>1235.325</v>
      </c>
      <c r="F2385" s="116">
        <v>2485.65</v>
      </c>
      <c r="G2385">
        <v>51731</v>
      </c>
      <c r="H2385" s="116"/>
      <c r="I2385" s="116"/>
      <c r="L2385" s="170">
        <v>45517</v>
      </c>
      <c r="M2385" s="116">
        <v>1242.3499999999999</v>
      </c>
      <c r="N2385" s="116">
        <v>1246</v>
      </c>
      <c r="O2385" s="116">
        <v>1236.75</v>
      </c>
      <c r="P2385" s="116">
        <v>1237</v>
      </c>
      <c r="Q2385" s="116">
        <v>2484.6999999999998</v>
      </c>
      <c r="R2385">
        <v>311846</v>
      </c>
    </row>
    <row r="2386" spans="1:18" x14ac:dyDescent="0.25">
      <c r="A2386" s="170">
        <v>45518</v>
      </c>
      <c r="B2386" s="116">
        <v>1248</v>
      </c>
      <c r="C2386" s="116">
        <v>1237.4749999999999</v>
      </c>
      <c r="D2386" s="116">
        <v>1230.5</v>
      </c>
      <c r="E2386" s="116">
        <v>1247.375</v>
      </c>
      <c r="F2386" s="116">
        <v>2474.9499999999998</v>
      </c>
      <c r="G2386">
        <v>38655</v>
      </c>
      <c r="H2386" s="116"/>
      <c r="I2386" s="116"/>
      <c r="L2386" s="170">
        <v>45518</v>
      </c>
      <c r="M2386" s="116">
        <v>1237.3</v>
      </c>
      <c r="N2386" s="116">
        <v>1245.9749999999999</v>
      </c>
      <c r="O2386" s="116">
        <v>1230.3</v>
      </c>
      <c r="P2386" s="116">
        <v>1243.45</v>
      </c>
      <c r="Q2386" s="116">
        <v>2474.6</v>
      </c>
      <c r="R2386">
        <v>561876</v>
      </c>
    </row>
    <row r="2387" spans="1:18" x14ac:dyDescent="0.25">
      <c r="A2387" s="170">
        <v>45520</v>
      </c>
      <c r="B2387" s="116">
        <v>1265.6500000000001</v>
      </c>
      <c r="C2387" s="116">
        <v>1262.925</v>
      </c>
      <c r="D2387" s="116">
        <v>1236.0250000000001</v>
      </c>
      <c r="E2387" s="116">
        <v>1247.4749999999999</v>
      </c>
      <c r="F2387" s="116">
        <v>2525.85</v>
      </c>
      <c r="G2387">
        <v>205289</v>
      </c>
      <c r="H2387" s="116"/>
      <c r="I2387" s="116"/>
      <c r="L2387" s="170">
        <v>45520</v>
      </c>
      <c r="M2387" s="116">
        <v>1262.7249999999999</v>
      </c>
      <c r="N2387" s="116">
        <v>1266.7249999999999</v>
      </c>
      <c r="O2387" s="116">
        <v>1235.675</v>
      </c>
      <c r="P2387" s="116">
        <v>1245</v>
      </c>
      <c r="Q2387" s="116">
        <v>2525.4499999999998</v>
      </c>
      <c r="R2387">
        <v>859834</v>
      </c>
    </row>
    <row r="2388" spans="1:18" x14ac:dyDescent="0.25">
      <c r="A2388" s="170">
        <v>45523</v>
      </c>
      <c r="B2388" s="116">
        <v>1271.375</v>
      </c>
      <c r="C2388" s="116">
        <v>1251.9749999999999</v>
      </c>
      <c r="D2388" s="116">
        <v>1250.5</v>
      </c>
      <c r="E2388" s="116">
        <v>1263.375</v>
      </c>
      <c r="F2388" s="116">
        <v>2503.9499999999998</v>
      </c>
      <c r="G2388">
        <v>29742</v>
      </c>
      <c r="H2388" s="116"/>
      <c r="I2388" s="116"/>
      <c r="L2388" s="170">
        <v>45523</v>
      </c>
      <c r="M2388" s="116">
        <v>1251.575</v>
      </c>
      <c r="N2388" s="116">
        <v>1273</v>
      </c>
      <c r="O2388" s="116">
        <v>1250.2750000000001</v>
      </c>
      <c r="P2388" s="116">
        <v>1265</v>
      </c>
      <c r="Q2388" s="116">
        <v>2503.15</v>
      </c>
      <c r="R2388">
        <v>477701</v>
      </c>
    </row>
    <row r="2389" spans="1:18" x14ac:dyDescent="0.25">
      <c r="A2389" s="170">
        <v>45524</v>
      </c>
      <c r="B2389" s="116">
        <v>1262.45</v>
      </c>
      <c r="C2389" s="116">
        <v>1259.5</v>
      </c>
      <c r="D2389" s="116">
        <v>1250</v>
      </c>
      <c r="E2389" s="116">
        <v>1256.5</v>
      </c>
      <c r="F2389" s="116">
        <v>2519</v>
      </c>
      <c r="G2389">
        <v>19844</v>
      </c>
      <c r="H2389" s="116"/>
      <c r="I2389" s="116"/>
      <c r="L2389" s="170">
        <v>45524</v>
      </c>
      <c r="M2389" s="116">
        <v>1259.25</v>
      </c>
      <c r="N2389" s="116">
        <v>1263</v>
      </c>
      <c r="O2389" s="116">
        <v>1249.5250000000001</v>
      </c>
      <c r="P2389" s="116">
        <v>1255.3</v>
      </c>
      <c r="Q2389" s="116">
        <v>2518.5</v>
      </c>
      <c r="R2389">
        <v>484732</v>
      </c>
    </row>
    <row r="2390" spans="1:18" x14ac:dyDescent="0.25">
      <c r="A2390" s="170">
        <v>45525</v>
      </c>
      <c r="B2390" s="116">
        <v>1276.925</v>
      </c>
      <c r="C2390" s="116">
        <v>1275.3</v>
      </c>
      <c r="D2390" s="116">
        <v>1259.3499999999999</v>
      </c>
      <c r="E2390" s="116">
        <v>1262.7249999999999</v>
      </c>
      <c r="F2390" s="116">
        <v>2550.6</v>
      </c>
      <c r="G2390">
        <v>41963</v>
      </c>
      <c r="H2390" s="116"/>
      <c r="I2390" s="116"/>
      <c r="L2390" s="170">
        <v>45525</v>
      </c>
      <c r="M2390" s="116">
        <v>1275.875</v>
      </c>
      <c r="N2390" s="116">
        <v>1277.5</v>
      </c>
      <c r="O2390" s="116">
        <v>1260.825</v>
      </c>
      <c r="P2390" s="116">
        <v>1264.95</v>
      </c>
      <c r="Q2390" s="116">
        <v>2551.75</v>
      </c>
      <c r="R2390">
        <v>624773</v>
      </c>
    </row>
    <row r="2391" spans="1:18" x14ac:dyDescent="0.25">
      <c r="A2391" s="170">
        <v>45526</v>
      </c>
      <c r="B2391" s="116">
        <v>1282.5</v>
      </c>
      <c r="C2391" s="116">
        <v>1274.7</v>
      </c>
      <c r="D2391" s="116">
        <v>1272.5</v>
      </c>
      <c r="E2391" s="116">
        <v>1280.05</v>
      </c>
      <c r="F2391" s="116">
        <v>2549.4</v>
      </c>
      <c r="G2391">
        <v>17178</v>
      </c>
      <c r="H2391" s="116"/>
      <c r="I2391" s="116"/>
      <c r="L2391" s="170">
        <v>45526</v>
      </c>
      <c r="M2391" s="116">
        <v>1275.5</v>
      </c>
      <c r="N2391" s="116">
        <v>1282.5250000000001</v>
      </c>
      <c r="O2391" s="116">
        <v>1272.5</v>
      </c>
      <c r="P2391" s="116">
        <v>1282.5</v>
      </c>
      <c r="Q2391" s="116">
        <v>2551</v>
      </c>
      <c r="R2391">
        <v>634905</v>
      </c>
    </row>
    <row r="2392" spans="1:18" x14ac:dyDescent="0.25">
      <c r="A2392" s="170">
        <v>45527</v>
      </c>
      <c r="B2392" s="116">
        <v>1275.675</v>
      </c>
      <c r="C2392" s="116">
        <v>1264.8</v>
      </c>
      <c r="D2392" s="116">
        <v>1260.625</v>
      </c>
      <c r="E2392" s="116">
        <v>1275</v>
      </c>
      <c r="F2392" s="116">
        <v>2529.6</v>
      </c>
      <c r="G2392">
        <v>97473</v>
      </c>
      <c r="H2392" s="116"/>
      <c r="I2392" s="116"/>
      <c r="L2392" s="170">
        <v>45527</v>
      </c>
      <c r="M2392" s="116">
        <v>1264.5999999999999</v>
      </c>
      <c r="N2392" s="116">
        <v>1275.675</v>
      </c>
      <c r="O2392" s="116">
        <v>1260</v>
      </c>
      <c r="P2392" s="116">
        <v>1275.4749999999999</v>
      </c>
      <c r="Q2392" s="116">
        <v>2529.1999999999998</v>
      </c>
      <c r="R2392">
        <v>511537</v>
      </c>
    </row>
    <row r="2393" spans="1:18" x14ac:dyDescent="0.25">
      <c r="A2393" s="170">
        <v>45530</v>
      </c>
      <c r="B2393" s="116">
        <v>1272.5</v>
      </c>
      <c r="C2393" s="116">
        <v>1259.5250000000001</v>
      </c>
      <c r="D2393" s="116">
        <v>1254.05</v>
      </c>
      <c r="E2393" s="116">
        <v>1265</v>
      </c>
      <c r="F2393" s="116">
        <v>2519.0500000000002</v>
      </c>
      <c r="G2393">
        <v>19821</v>
      </c>
      <c r="H2393" s="116"/>
      <c r="I2393" s="116"/>
      <c r="L2393" s="170">
        <v>45530</v>
      </c>
      <c r="M2393" s="116">
        <v>1259.7750000000001</v>
      </c>
      <c r="N2393" s="116">
        <v>1272.5</v>
      </c>
      <c r="O2393" s="116">
        <v>1253.9749999999999</v>
      </c>
      <c r="P2393" s="116">
        <v>1264.5999999999999</v>
      </c>
      <c r="Q2393" s="116">
        <v>2519.5500000000002</v>
      </c>
      <c r="R2393">
        <v>633399</v>
      </c>
    </row>
    <row r="2394" spans="1:18" x14ac:dyDescent="0.25">
      <c r="A2394" s="170">
        <v>45531</v>
      </c>
      <c r="B2394" s="116">
        <v>1266.4749999999999</v>
      </c>
      <c r="C2394" s="116">
        <v>1260.375</v>
      </c>
      <c r="D2394" s="116">
        <v>1255.55</v>
      </c>
      <c r="E2394" s="116">
        <v>1263.5</v>
      </c>
      <c r="F2394" s="116">
        <v>2520.75</v>
      </c>
      <c r="G2394">
        <v>15891</v>
      </c>
      <c r="H2394" s="116"/>
      <c r="I2394" s="116"/>
      <c r="L2394" s="170">
        <v>45531</v>
      </c>
      <c r="M2394" s="116">
        <v>1260.7249999999999</v>
      </c>
      <c r="N2394" s="116">
        <v>1266.4000000000001</v>
      </c>
      <c r="O2394" s="116">
        <v>1255.75</v>
      </c>
      <c r="P2394" s="116">
        <v>1264.325</v>
      </c>
      <c r="Q2394" s="116">
        <v>2521.4499999999998</v>
      </c>
      <c r="R2394">
        <v>391065</v>
      </c>
    </row>
    <row r="2395" spans="1:18" x14ac:dyDescent="0.25">
      <c r="A2395" s="170">
        <v>45532</v>
      </c>
      <c r="B2395" s="116">
        <v>1260.375</v>
      </c>
      <c r="C2395" s="116">
        <v>1246.3499999999999</v>
      </c>
      <c r="D2395" s="116">
        <v>1245.05</v>
      </c>
      <c r="E2395" s="116">
        <v>1260.375</v>
      </c>
      <c r="F2395" s="116">
        <v>2492.6999999999998</v>
      </c>
      <c r="G2395">
        <v>19175</v>
      </c>
      <c r="H2395" s="116"/>
      <c r="I2395" s="116"/>
      <c r="L2395" s="170">
        <v>45532</v>
      </c>
      <c r="M2395" s="116">
        <v>1246.25</v>
      </c>
      <c r="N2395" s="116">
        <v>1259.5</v>
      </c>
      <c r="O2395" s="116">
        <v>1245</v>
      </c>
      <c r="P2395" s="116">
        <v>1259.5</v>
      </c>
      <c r="Q2395" s="116">
        <v>2492.5</v>
      </c>
      <c r="R2395">
        <v>565161</v>
      </c>
    </row>
    <row r="2396" spans="1:18" x14ac:dyDescent="0.25">
      <c r="A2396" s="170">
        <v>45533</v>
      </c>
      <c r="B2396" s="116">
        <v>1259.5</v>
      </c>
      <c r="C2396" s="116">
        <v>1252.05</v>
      </c>
      <c r="D2396" s="116">
        <v>1245.4000000000001</v>
      </c>
      <c r="E2396" s="116">
        <v>1252.9000000000001</v>
      </c>
      <c r="F2396" s="116">
        <v>2504.1</v>
      </c>
      <c r="G2396">
        <v>22692</v>
      </c>
      <c r="H2396" s="116"/>
      <c r="I2396" s="116"/>
      <c r="L2396" s="170">
        <v>45533</v>
      </c>
      <c r="M2396" s="116">
        <v>1252.2750000000001</v>
      </c>
      <c r="N2396" s="116">
        <v>1259.7249999999999</v>
      </c>
      <c r="O2396" s="116">
        <v>1245.325</v>
      </c>
      <c r="P2396" s="116">
        <v>1249.45</v>
      </c>
      <c r="Q2396" s="116">
        <v>2504.5500000000002</v>
      </c>
      <c r="R2396">
        <v>899794</v>
      </c>
    </row>
    <row r="2397" spans="1:18" x14ac:dyDescent="0.25">
      <c r="A2397" s="170">
        <v>45534</v>
      </c>
      <c r="B2397" s="116">
        <v>1257.5</v>
      </c>
      <c r="C2397" s="116">
        <v>1252.0999999999999</v>
      </c>
      <c r="D2397" s="116">
        <v>1247.5</v>
      </c>
      <c r="E2397" s="116">
        <v>1256</v>
      </c>
      <c r="F2397" s="116">
        <v>2504.1999999999998</v>
      </c>
      <c r="G2397">
        <v>68721</v>
      </c>
      <c r="H2397" s="116"/>
      <c r="I2397" s="116"/>
      <c r="L2397" s="170">
        <v>45534</v>
      </c>
      <c r="M2397" s="116">
        <v>1250.375</v>
      </c>
      <c r="N2397" s="116">
        <v>1258.6500000000001</v>
      </c>
      <c r="O2397" s="116">
        <v>1245.9000000000001</v>
      </c>
      <c r="P2397" s="116">
        <v>1252.2750000000001</v>
      </c>
      <c r="Q2397" s="116">
        <v>2500.75</v>
      </c>
      <c r="R2397">
        <v>1904487</v>
      </c>
    </row>
    <row r="2398" spans="1:18" x14ac:dyDescent="0.25">
      <c r="A2398" s="170">
        <v>45537</v>
      </c>
      <c r="B2398" s="116">
        <v>1258.175</v>
      </c>
      <c r="C2398" s="116">
        <v>1254.625</v>
      </c>
      <c r="D2398" s="116">
        <v>1245.425</v>
      </c>
      <c r="E2398" s="116">
        <v>1245.425</v>
      </c>
      <c r="F2398" s="116">
        <v>2509.25</v>
      </c>
      <c r="G2398">
        <v>23699</v>
      </c>
      <c r="H2398" s="116"/>
      <c r="I2398" s="116"/>
      <c r="L2398" s="170">
        <v>45537</v>
      </c>
      <c r="M2398" s="116">
        <v>1254.95</v>
      </c>
      <c r="N2398" s="116">
        <v>1258</v>
      </c>
      <c r="O2398" s="116">
        <v>1248.5250000000001</v>
      </c>
      <c r="P2398" s="116">
        <v>1250</v>
      </c>
      <c r="Q2398" s="116">
        <v>2509.9</v>
      </c>
      <c r="R2398">
        <v>875591</v>
      </c>
    </row>
    <row r="2399" spans="1:18" x14ac:dyDescent="0.25">
      <c r="A2399" s="170">
        <v>45538</v>
      </c>
      <c r="B2399" s="116">
        <v>1278.9749999999999</v>
      </c>
      <c r="C2399" s="116">
        <v>1265.6500000000001</v>
      </c>
      <c r="D2399" s="116">
        <v>1253</v>
      </c>
      <c r="E2399" s="116">
        <v>1253.4749999999999</v>
      </c>
      <c r="F2399" s="116">
        <v>2531.3000000000002</v>
      </c>
      <c r="G2399">
        <v>15116</v>
      </c>
      <c r="H2399" s="116"/>
      <c r="I2399" s="116"/>
      <c r="L2399" s="170">
        <v>45538</v>
      </c>
      <c r="M2399" s="116">
        <v>1265.375</v>
      </c>
      <c r="N2399" s="116">
        <v>1279.5</v>
      </c>
      <c r="O2399" s="116">
        <v>1251</v>
      </c>
      <c r="P2399" s="116">
        <v>1251</v>
      </c>
      <c r="Q2399" s="116">
        <v>2530.75</v>
      </c>
      <c r="R2399">
        <v>987527</v>
      </c>
    </row>
    <row r="2400" spans="1:18" x14ac:dyDescent="0.25">
      <c r="A2400" s="170">
        <v>45539</v>
      </c>
      <c r="B2400" s="116">
        <v>1271.875</v>
      </c>
      <c r="C2400" s="116">
        <v>1267.5</v>
      </c>
      <c r="D2400" s="116">
        <v>1257</v>
      </c>
      <c r="E2400" s="116">
        <v>1265.1500000000001</v>
      </c>
      <c r="F2400" s="116">
        <v>2535</v>
      </c>
      <c r="G2400">
        <v>25096</v>
      </c>
      <c r="H2400" s="116"/>
      <c r="I2400" s="116"/>
      <c r="L2400" s="170">
        <v>45539</v>
      </c>
      <c r="M2400" s="116">
        <v>1267.375</v>
      </c>
      <c r="N2400" s="116">
        <v>1270.7249999999999</v>
      </c>
      <c r="O2400" s="116">
        <v>1256.8499999999999</v>
      </c>
      <c r="P2400" s="116">
        <v>1262.5250000000001</v>
      </c>
      <c r="Q2400" s="116">
        <v>2534.75</v>
      </c>
      <c r="R2400">
        <v>502943</v>
      </c>
    </row>
    <row r="2401" spans="1:18" x14ac:dyDescent="0.25">
      <c r="A2401" s="170">
        <v>45540</v>
      </c>
      <c r="B2401" s="116">
        <v>1269.9749999999999</v>
      </c>
      <c r="C2401" s="116">
        <v>1254.7750000000001</v>
      </c>
      <c r="D2401" s="116">
        <v>1246.0250000000001</v>
      </c>
      <c r="E2401" s="116">
        <v>1269.9749999999999</v>
      </c>
      <c r="F2401" s="116">
        <v>2509.5500000000002</v>
      </c>
      <c r="G2401">
        <v>94470</v>
      </c>
      <c r="H2401" s="116"/>
      <c r="I2401" s="116"/>
      <c r="L2401" s="170">
        <v>45540</v>
      </c>
      <c r="M2401" s="116">
        <v>1252.45</v>
      </c>
      <c r="N2401" s="116">
        <v>1267.5</v>
      </c>
      <c r="O2401" s="116">
        <v>1246.075</v>
      </c>
      <c r="P2401" s="116">
        <v>1267.375</v>
      </c>
      <c r="Q2401" s="116">
        <v>2504.9</v>
      </c>
      <c r="R2401">
        <v>1119296</v>
      </c>
    </row>
    <row r="2402" spans="1:18" x14ac:dyDescent="0.25">
      <c r="A2402" s="170">
        <v>45541</v>
      </c>
      <c r="B2402" s="116">
        <v>1259.425</v>
      </c>
      <c r="C2402" s="116">
        <v>1252.125</v>
      </c>
      <c r="D2402" s="116">
        <v>1244.325</v>
      </c>
      <c r="E2402" s="116">
        <v>1256.95</v>
      </c>
      <c r="F2402" s="116">
        <v>2504.25</v>
      </c>
      <c r="G2402">
        <v>73439</v>
      </c>
      <c r="H2402" s="116"/>
      <c r="I2402" s="116"/>
      <c r="L2402" s="170">
        <v>45541</v>
      </c>
      <c r="M2402" s="116">
        <v>1251.5999999999999</v>
      </c>
      <c r="N2402" s="116">
        <v>1259.625</v>
      </c>
      <c r="O2402" s="116">
        <v>1244.0250000000001</v>
      </c>
      <c r="P2402" s="116">
        <v>1254.3</v>
      </c>
      <c r="Q2402" s="116">
        <v>2503.1999999999998</v>
      </c>
      <c r="R2402">
        <v>836700</v>
      </c>
    </row>
    <row r="2403" spans="1:18" x14ac:dyDescent="0.25">
      <c r="A2403" s="170">
        <v>45544</v>
      </c>
      <c r="B2403" s="116">
        <v>1259.55</v>
      </c>
      <c r="C2403" s="116">
        <v>1258.175</v>
      </c>
      <c r="D2403" s="116">
        <v>1240.5250000000001</v>
      </c>
      <c r="E2403" s="116">
        <v>1240.5250000000001</v>
      </c>
      <c r="F2403" s="116">
        <v>2516.35</v>
      </c>
      <c r="G2403">
        <v>32696</v>
      </c>
      <c r="H2403" s="116"/>
      <c r="I2403" s="116"/>
      <c r="L2403" s="170">
        <v>45544</v>
      </c>
      <c r="M2403" s="116">
        <v>1258.375</v>
      </c>
      <c r="N2403" s="116">
        <v>1260</v>
      </c>
      <c r="O2403" s="116">
        <v>1244.375</v>
      </c>
      <c r="P2403" s="116">
        <v>1247.575</v>
      </c>
      <c r="Q2403" s="116">
        <v>2516.75</v>
      </c>
      <c r="R2403">
        <v>583598</v>
      </c>
    </row>
    <row r="2404" spans="1:18" x14ac:dyDescent="0.25">
      <c r="A2404" s="170">
        <v>45545</v>
      </c>
      <c r="B2404" s="116">
        <v>1273.9749999999999</v>
      </c>
      <c r="C2404" s="116">
        <v>1269.125</v>
      </c>
      <c r="D2404" s="116">
        <v>1258</v>
      </c>
      <c r="E2404" s="116">
        <v>1262.9000000000001</v>
      </c>
      <c r="F2404" s="116">
        <v>2538.25</v>
      </c>
      <c r="G2404">
        <v>90150</v>
      </c>
      <c r="H2404" s="116"/>
      <c r="I2404" s="116"/>
      <c r="L2404" s="170">
        <v>45545</v>
      </c>
      <c r="M2404" s="116">
        <v>1267.75</v>
      </c>
      <c r="N2404" s="116">
        <v>1273.95</v>
      </c>
      <c r="O2404" s="116">
        <v>1257</v>
      </c>
      <c r="P2404" s="116">
        <v>1264.5</v>
      </c>
      <c r="Q2404" s="116">
        <v>2535.5</v>
      </c>
      <c r="R2404">
        <v>1522039</v>
      </c>
    </row>
    <row r="2405" spans="1:18" x14ac:dyDescent="0.25">
      <c r="A2405" s="170">
        <v>45546</v>
      </c>
      <c r="B2405" s="116">
        <v>1280.5</v>
      </c>
      <c r="C2405" s="116">
        <v>1263.25</v>
      </c>
      <c r="D2405" s="116">
        <v>1259.325</v>
      </c>
      <c r="E2405" s="116">
        <v>1274.925</v>
      </c>
      <c r="F2405" s="116">
        <v>2526.5</v>
      </c>
      <c r="G2405">
        <v>97068</v>
      </c>
      <c r="H2405" s="116"/>
      <c r="I2405" s="116"/>
      <c r="L2405" s="170">
        <v>45546</v>
      </c>
      <c r="M2405" s="116">
        <v>1263.425</v>
      </c>
      <c r="N2405" s="116">
        <v>1280.8</v>
      </c>
      <c r="O2405" s="116">
        <v>1259.7249999999999</v>
      </c>
      <c r="P2405" s="116">
        <v>1273.5</v>
      </c>
      <c r="Q2405" s="116">
        <v>2526.85</v>
      </c>
      <c r="R2405">
        <v>979938</v>
      </c>
    </row>
    <row r="2406" spans="1:18" x14ac:dyDescent="0.25">
      <c r="A2406" s="170">
        <v>45547</v>
      </c>
      <c r="B2406" s="116">
        <v>1269.8</v>
      </c>
      <c r="C2406" s="116">
        <v>1263.9000000000001</v>
      </c>
      <c r="D2406" s="116">
        <v>1244.2750000000001</v>
      </c>
      <c r="E2406" s="116">
        <v>1260.175</v>
      </c>
      <c r="F2406" s="116">
        <v>2527.8000000000002</v>
      </c>
      <c r="G2406">
        <v>180759</v>
      </c>
      <c r="H2406" s="116"/>
      <c r="I2406" s="116"/>
      <c r="L2406" s="170">
        <v>45547</v>
      </c>
      <c r="M2406" s="116">
        <v>1263.925</v>
      </c>
      <c r="N2406" s="116">
        <v>1270</v>
      </c>
      <c r="O2406" s="116">
        <v>1244</v>
      </c>
      <c r="P2406" s="116">
        <v>1264.95</v>
      </c>
      <c r="Q2406" s="116">
        <v>2527.85</v>
      </c>
      <c r="R2406">
        <v>1554879</v>
      </c>
    </row>
    <row r="2407" spans="1:18" x14ac:dyDescent="0.25">
      <c r="A2407" s="170">
        <v>45548</v>
      </c>
      <c r="B2407" s="116">
        <v>1280.4000000000001</v>
      </c>
      <c r="C2407" s="116">
        <v>1265.8499999999999</v>
      </c>
      <c r="D2407" s="116">
        <v>1263.9749999999999</v>
      </c>
      <c r="E2407" s="116">
        <v>1265</v>
      </c>
      <c r="F2407" s="116">
        <v>2531.6999999999998</v>
      </c>
      <c r="G2407">
        <v>13795</v>
      </c>
      <c r="H2407" s="116"/>
      <c r="I2407" s="116"/>
      <c r="L2407" s="170">
        <v>45548</v>
      </c>
      <c r="M2407" s="116">
        <v>1265.7</v>
      </c>
      <c r="N2407" s="116">
        <v>1280.5</v>
      </c>
      <c r="O2407" s="116">
        <v>1264.125</v>
      </c>
      <c r="P2407" s="116">
        <v>1265</v>
      </c>
      <c r="Q2407" s="116">
        <v>2531.4</v>
      </c>
      <c r="R2407">
        <v>732717</v>
      </c>
    </row>
    <row r="2408" spans="1:18" x14ac:dyDescent="0.25">
      <c r="A2408" s="170">
        <v>45551</v>
      </c>
      <c r="B2408" s="116">
        <v>1275</v>
      </c>
      <c r="C2408" s="116">
        <v>1274.45</v>
      </c>
      <c r="D2408" s="116">
        <v>1248.55</v>
      </c>
      <c r="E2408" s="116">
        <v>1265.8499999999999</v>
      </c>
      <c r="F2408" s="116">
        <v>2548.9</v>
      </c>
      <c r="G2408">
        <v>21238</v>
      </c>
      <c r="H2408" s="116"/>
      <c r="I2408" s="116"/>
      <c r="L2408" s="170">
        <v>45551</v>
      </c>
      <c r="M2408" s="116">
        <v>1274.8</v>
      </c>
      <c r="N2408" s="116">
        <v>1277.8</v>
      </c>
      <c r="O2408" s="116">
        <v>1250</v>
      </c>
      <c r="P2408" s="116">
        <v>1265</v>
      </c>
      <c r="Q2408" s="116">
        <v>2549.6</v>
      </c>
      <c r="R2408">
        <v>394397</v>
      </c>
    </row>
    <row r="2409" spans="1:18" x14ac:dyDescent="0.25">
      <c r="A2409" s="170">
        <v>45552</v>
      </c>
      <c r="B2409" s="116">
        <v>1292.5</v>
      </c>
      <c r="C2409" s="116">
        <v>1272.8499999999999</v>
      </c>
      <c r="D2409" s="116">
        <v>1269.75</v>
      </c>
      <c r="E2409" s="116">
        <v>1274.2</v>
      </c>
      <c r="F2409" s="116">
        <v>2545.6999999999998</v>
      </c>
      <c r="G2409">
        <v>17173</v>
      </c>
      <c r="H2409" s="116"/>
      <c r="I2409" s="116"/>
      <c r="L2409" s="170">
        <v>45552</v>
      </c>
      <c r="M2409" s="116">
        <v>1273.425</v>
      </c>
      <c r="N2409" s="116">
        <v>1292.6500000000001</v>
      </c>
      <c r="O2409" s="116">
        <v>1269.3499999999999</v>
      </c>
      <c r="P2409" s="116">
        <v>1275.575</v>
      </c>
      <c r="Q2409" s="116">
        <v>2546.85</v>
      </c>
      <c r="R2409">
        <v>695187</v>
      </c>
    </row>
    <row r="2410" spans="1:18" x14ac:dyDescent="0.25">
      <c r="A2410" s="170">
        <v>45553</v>
      </c>
      <c r="B2410" s="116">
        <v>1300.5</v>
      </c>
      <c r="C2410" s="116">
        <v>1297.375</v>
      </c>
      <c r="D2410" s="116">
        <v>1267.825</v>
      </c>
      <c r="E2410" s="116">
        <v>1267.825</v>
      </c>
      <c r="F2410" s="116">
        <v>2594.75</v>
      </c>
      <c r="G2410">
        <v>15199</v>
      </c>
      <c r="H2410" s="116"/>
      <c r="I2410" s="116"/>
      <c r="L2410" s="170">
        <v>45553</v>
      </c>
      <c r="M2410" s="116">
        <v>1298.575</v>
      </c>
      <c r="N2410" s="116">
        <v>1300.55</v>
      </c>
      <c r="O2410" s="116">
        <v>1273</v>
      </c>
      <c r="P2410" s="116">
        <v>1274.9749999999999</v>
      </c>
      <c r="Q2410" s="116">
        <v>2597.15</v>
      </c>
      <c r="R2410">
        <v>1177029</v>
      </c>
    </row>
    <row r="2411" spans="1:18" x14ac:dyDescent="0.25">
      <c r="A2411" s="170">
        <v>45554</v>
      </c>
      <c r="B2411" s="116">
        <v>1337.5</v>
      </c>
      <c r="C2411" s="116">
        <v>1317</v>
      </c>
      <c r="D2411" s="116">
        <v>1299</v>
      </c>
      <c r="E2411" s="116">
        <v>1300.175</v>
      </c>
      <c r="F2411" s="116">
        <v>2634</v>
      </c>
      <c r="G2411">
        <v>43029</v>
      </c>
      <c r="H2411" s="116"/>
      <c r="I2411" s="116"/>
      <c r="L2411" s="170">
        <v>45554</v>
      </c>
      <c r="M2411" s="116">
        <v>1317.1</v>
      </c>
      <c r="N2411" s="116">
        <v>1338.5</v>
      </c>
      <c r="O2411" s="116">
        <v>1298.575</v>
      </c>
      <c r="P2411" s="116">
        <v>1301.5</v>
      </c>
      <c r="Q2411" s="116">
        <v>2634.2</v>
      </c>
      <c r="R2411">
        <v>2534289</v>
      </c>
    </row>
    <row r="2412" spans="1:18" x14ac:dyDescent="0.25">
      <c r="A2412" s="170">
        <v>45555</v>
      </c>
      <c r="B2412" s="116">
        <v>1352.325</v>
      </c>
      <c r="C2412" s="116">
        <v>1349.8</v>
      </c>
      <c r="D2412" s="116">
        <v>1316.425</v>
      </c>
      <c r="E2412" s="116">
        <v>1321</v>
      </c>
      <c r="F2412" s="116">
        <v>2699.6</v>
      </c>
      <c r="G2412">
        <v>117085</v>
      </c>
      <c r="H2412" s="116"/>
      <c r="I2412" s="116"/>
      <c r="L2412" s="170">
        <v>45555</v>
      </c>
      <c r="M2412" s="116">
        <v>1349.7750000000001</v>
      </c>
      <c r="N2412" s="116">
        <v>1352.125</v>
      </c>
      <c r="O2412" s="116">
        <v>1315.575</v>
      </c>
      <c r="P2412" s="116">
        <v>1322</v>
      </c>
      <c r="Q2412" s="116">
        <v>2699.55</v>
      </c>
      <c r="R2412">
        <v>2322758</v>
      </c>
    </row>
    <row r="2413" spans="1:18" x14ac:dyDescent="0.25">
      <c r="A2413" s="170">
        <v>45558</v>
      </c>
      <c r="B2413" s="116">
        <v>1364.2750000000001</v>
      </c>
      <c r="C2413" s="116">
        <v>1362.2750000000001</v>
      </c>
      <c r="D2413" s="116">
        <v>1344.625</v>
      </c>
      <c r="E2413" s="116">
        <v>1350.0250000000001</v>
      </c>
      <c r="F2413" s="116">
        <v>2724.55</v>
      </c>
      <c r="G2413">
        <v>53201</v>
      </c>
      <c r="H2413" s="116"/>
      <c r="I2413" s="116"/>
      <c r="L2413" s="170">
        <v>45558</v>
      </c>
      <c r="M2413" s="116">
        <v>1362.575</v>
      </c>
      <c r="N2413" s="116">
        <v>1364.925</v>
      </c>
      <c r="O2413" s="116">
        <v>1345</v>
      </c>
      <c r="P2413" s="116">
        <v>1352.575</v>
      </c>
      <c r="Q2413" s="116">
        <v>2725.15</v>
      </c>
      <c r="R2413">
        <v>1072247</v>
      </c>
    </row>
    <row r="2414" spans="1:18" x14ac:dyDescent="0.25">
      <c r="A2414" s="170">
        <v>45559</v>
      </c>
      <c r="B2414" s="116">
        <v>1383.325</v>
      </c>
      <c r="C2414" s="116">
        <v>1347.85</v>
      </c>
      <c r="D2414" s="116">
        <v>1337.2</v>
      </c>
      <c r="E2414" s="116">
        <v>1362.5</v>
      </c>
      <c r="F2414" s="116">
        <v>2695.7</v>
      </c>
      <c r="G2414">
        <v>39007</v>
      </c>
      <c r="H2414" s="116"/>
      <c r="I2414" s="116"/>
      <c r="L2414" s="170">
        <v>45559</v>
      </c>
      <c r="M2414" s="116">
        <v>1348.2</v>
      </c>
      <c r="N2414" s="116">
        <v>1383.4</v>
      </c>
      <c r="O2414" s="116">
        <v>1337</v>
      </c>
      <c r="P2414" s="116">
        <v>1362.5</v>
      </c>
      <c r="Q2414" s="116">
        <v>2696.4</v>
      </c>
      <c r="R2414">
        <v>1540033</v>
      </c>
    </row>
    <row r="2415" spans="1:18" x14ac:dyDescent="0.25">
      <c r="A2415" s="170">
        <v>45560</v>
      </c>
      <c r="B2415" s="116">
        <v>1352.4749999999999</v>
      </c>
      <c r="C2415" s="116">
        <v>1347.875</v>
      </c>
      <c r="D2415" s="116">
        <v>1330</v>
      </c>
      <c r="E2415" s="116">
        <v>1347.85</v>
      </c>
      <c r="F2415" s="116">
        <v>2695.75</v>
      </c>
      <c r="G2415">
        <v>83111</v>
      </c>
      <c r="H2415" s="116"/>
      <c r="I2415" s="116"/>
      <c r="L2415" s="170">
        <v>45560</v>
      </c>
      <c r="M2415" s="116">
        <v>1348.675</v>
      </c>
      <c r="N2415" s="116">
        <v>1352.3</v>
      </c>
      <c r="O2415" s="116">
        <v>1329.5250000000001</v>
      </c>
      <c r="P2415" s="116">
        <v>1342.625</v>
      </c>
      <c r="Q2415" s="116">
        <v>2697.35</v>
      </c>
      <c r="R2415">
        <v>718957</v>
      </c>
    </row>
    <row r="2416" spans="1:18" x14ac:dyDescent="0.25">
      <c r="A2416" s="170">
        <v>45561</v>
      </c>
      <c r="B2416" s="116">
        <v>1381.45</v>
      </c>
      <c r="C2416" s="116">
        <v>1376.625</v>
      </c>
      <c r="D2416" s="116">
        <v>1350.625</v>
      </c>
      <c r="E2416" s="116">
        <v>1350.625</v>
      </c>
      <c r="F2416" s="116">
        <v>2753.25</v>
      </c>
      <c r="G2416">
        <v>50461</v>
      </c>
      <c r="H2416" s="116"/>
      <c r="I2416" s="116"/>
      <c r="L2416" s="170">
        <v>45561</v>
      </c>
      <c r="M2416" s="116">
        <v>1377.75</v>
      </c>
      <c r="N2416" s="116">
        <v>1381.2249999999999</v>
      </c>
      <c r="O2416" s="116">
        <v>1353.9749999999999</v>
      </c>
      <c r="P2416" s="116">
        <v>1353.9749999999999</v>
      </c>
      <c r="Q2416" s="116">
        <v>2755.5</v>
      </c>
      <c r="R2416">
        <v>1158606</v>
      </c>
    </row>
    <row r="2417" spans="1:18" x14ac:dyDescent="0.25">
      <c r="A2417" s="170">
        <v>45562</v>
      </c>
      <c r="B2417" s="116">
        <v>1388.5</v>
      </c>
      <c r="C2417" s="116">
        <v>1373.575</v>
      </c>
      <c r="D2417" s="116">
        <v>1366.625</v>
      </c>
      <c r="E2417" s="116">
        <v>1371</v>
      </c>
      <c r="F2417" s="116">
        <v>2747.15</v>
      </c>
      <c r="G2417">
        <v>37721</v>
      </c>
      <c r="H2417" s="116"/>
      <c r="I2417" s="116"/>
      <c r="L2417" s="170">
        <v>45562</v>
      </c>
      <c r="M2417" s="116">
        <v>1372.85</v>
      </c>
      <c r="N2417" s="116">
        <v>1389</v>
      </c>
      <c r="O2417" s="116">
        <v>1365.5</v>
      </c>
      <c r="P2417" s="116">
        <v>1375</v>
      </c>
      <c r="Q2417" s="116">
        <v>2745.7</v>
      </c>
      <c r="R2417">
        <v>1097167</v>
      </c>
    </row>
    <row r="2418" spans="1:18" x14ac:dyDescent="0.25">
      <c r="A2418" s="170">
        <v>45565</v>
      </c>
      <c r="B2418" s="116">
        <v>1367.25</v>
      </c>
      <c r="C2418" s="116">
        <v>1344.4749999999999</v>
      </c>
      <c r="D2418" s="116">
        <v>1342.35</v>
      </c>
      <c r="E2418" s="116">
        <v>1362.55</v>
      </c>
      <c r="F2418" s="116">
        <v>2688.95</v>
      </c>
      <c r="G2418">
        <v>108087</v>
      </c>
      <c r="H2418" s="116"/>
      <c r="I2418" s="116"/>
      <c r="L2418" s="170">
        <v>45565</v>
      </c>
      <c r="M2418" s="116">
        <v>1344.9749999999999</v>
      </c>
      <c r="N2418" s="116">
        <v>1370</v>
      </c>
      <c r="O2418" s="116">
        <v>1342.4</v>
      </c>
      <c r="P2418" s="116">
        <v>1360</v>
      </c>
      <c r="Q2418" s="116">
        <v>2689.95</v>
      </c>
      <c r="R2418">
        <v>883192</v>
      </c>
    </row>
    <row r="2419" spans="1:18" x14ac:dyDescent="0.25">
      <c r="A2419" s="170">
        <v>45566</v>
      </c>
      <c r="B2419" s="116">
        <v>1354.925</v>
      </c>
      <c r="C2419" s="116">
        <v>1353.4</v>
      </c>
      <c r="D2419" s="116">
        <v>1337.45</v>
      </c>
      <c r="E2419" s="116">
        <v>1345.5</v>
      </c>
      <c r="F2419" s="116">
        <v>2706.8</v>
      </c>
      <c r="G2419">
        <v>12001</v>
      </c>
      <c r="H2419" s="116"/>
      <c r="I2419" s="116"/>
      <c r="L2419" s="170">
        <v>45566</v>
      </c>
      <c r="M2419" s="116">
        <v>1353.5250000000001</v>
      </c>
      <c r="N2419" s="116">
        <v>1355</v>
      </c>
      <c r="O2419" s="116">
        <v>1336.45</v>
      </c>
      <c r="P2419" s="116">
        <v>1345</v>
      </c>
      <c r="Q2419" s="116">
        <v>2707.05</v>
      </c>
      <c r="R2419">
        <v>552759</v>
      </c>
    </row>
    <row r="2420" spans="1:18" x14ac:dyDescent="0.25">
      <c r="A2420" s="170">
        <v>45568</v>
      </c>
      <c r="B2420" s="116">
        <v>1349.9749999999999</v>
      </c>
      <c r="C2420" s="116">
        <v>1337.8</v>
      </c>
      <c r="D2420" s="116">
        <v>1325</v>
      </c>
      <c r="E2420" s="116">
        <v>1349.9749999999999</v>
      </c>
      <c r="F2420" s="116">
        <v>2675.6</v>
      </c>
      <c r="G2420">
        <v>33504</v>
      </c>
      <c r="H2420" s="116"/>
      <c r="I2420" s="116"/>
      <c r="L2420" s="170">
        <v>45568</v>
      </c>
      <c r="M2420" s="116">
        <v>1337.425</v>
      </c>
      <c r="N2420" s="116">
        <v>1347.5</v>
      </c>
      <c r="O2420" s="116">
        <v>1325.175</v>
      </c>
      <c r="P2420" s="116">
        <v>1342.5</v>
      </c>
      <c r="Q2420" s="116">
        <v>2674.85</v>
      </c>
      <c r="R2420">
        <v>812365</v>
      </c>
    </row>
    <row r="2421" spans="1:18" x14ac:dyDescent="0.25">
      <c r="A2421" s="170">
        <v>45569</v>
      </c>
      <c r="B2421" s="116">
        <v>1338.9749999999999</v>
      </c>
      <c r="C2421" s="116">
        <v>1299.6500000000001</v>
      </c>
      <c r="D2421" s="116">
        <v>1295.45</v>
      </c>
      <c r="E2421" s="116">
        <v>1337.425</v>
      </c>
      <c r="F2421" s="116">
        <v>2599.3000000000002</v>
      </c>
      <c r="G2421">
        <v>70668</v>
      </c>
      <c r="H2421" s="116"/>
      <c r="I2421" s="116"/>
      <c r="L2421" s="170">
        <v>45569</v>
      </c>
      <c r="M2421" s="116">
        <v>1299.075</v>
      </c>
      <c r="N2421" s="116">
        <v>1339.175</v>
      </c>
      <c r="O2421" s="116">
        <v>1295.1500000000001</v>
      </c>
      <c r="P2421" s="116">
        <v>1331.5</v>
      </c>
      <c r="Q2421" s="116">
        <v>2598.15</v>
      </c>
      <c r="R2421">
        <v>1033034</v>
      </c>
    </row>
    <row r="2422" spans="1:18" x14ac:dyDescent="0.25">
      <c r="A2422" s="170">
        <v>45572</v>
      </c>
      <c r="B2422" s="116">
        <v>1310</v>
      </c>
      <c r="C2422" s="116">
        <v>1285.75</v>
      </c>
      <c r="D2422" s="116">
        <v>1281</v>
      </c>
      <c r="E2422" s="116">
        <v>1299</v>
      </c>
      <c r="F2422" s="116">
        <v>2571.5</v>
      </c>
      <c r="G2422">
        <v>99439</v>
      </c>
      <c r="H2422" s="116"/>
      <c r="I2422" s="116"/>
      <c r="L2422" s="170">
        <v>45572</v>
      </c>
      <c r="M2422" s="116">
        <v>1286.925</v>
      </c>
      <c r="N2422" s="116">
        <v>1310</v>
      </c>
      <c r="O2422" s="116">
        <v>1283.45</v>
      </c>
      <c r="P2422" s="116">
        <v>1302.4749999999999</v>
      </c>
      <c r="Q2422" s="116">
        <v>2573.85</v>
      </c>
      <c r="R2422">
        <v>1102858</v>
      </c>
    </row>
    <row r="2423" spans="1:18" x14ac:dyDescent="0.25">
      <c r="A2423" s="170">
        <v>45573</v>
      </c>
      <c r="B2423" s="116">
        <v>1296.375</v>
      </c>
      <c r="C2423" s="116">
        <v>1290.75</v>
      </c>
      <c r="D2423" s="116">
        <v>1274.75</v>
      </c>
      <c r="E2423" s="116">
        <v>1285.0250000000001</v>
      </c>
      <c r="F2423" s="116">
        <v>2581.5</v>
      </c>
      <c r="G2423">
        <v>150708</v>
      </c>
      <c r="H2423" s="116"/>
      <c r="I2423" s="116"/>
      <c r="L2423" s="170">
        <v>45573</v>
      </c>
      <c r="M2423" s="116">
        <v>1290.875</v>
      </c>
      <c r="N2423" s="116">
        <v>1297</v>
      </c>
      <c r="O2423" s="116">
        <v>1275.8</v>
      </c>
      <c r="P2423" s="116">
        <v>1285.3</v>
      </c>
      <c r="Q2423" s="116">
        <v>2581.75</v>
      </c>
      <c r="R2423">
        <v>1202170</v>
      </c>
    </row>
    <row r="2424" spans="1:18" x14ac:dyDescent="0.25">
      <c r="A2424" s="170">
        <v>45574</v>
      </c>
      <c r="B2424" s="116">
        <v>1296</v>
      </c>
      <c r="C2424" s="116">
        <v>1258.3499999999999</v>
      </c>
      <c r="D2424" s="116">
        <v>1235.0250000000001</v>
      </c>
      <c r="E2424" s="116">
        <v>1296</v>
      </c>
      <c r="F2424" s="116">
        <v>2516.6999999999998</v>
      </c>
      <c r="G2424">
        <v>140975</v>
      </c>
      <c r="H2424" s="116"/>
      <c r="I2424" s="116"/>
      <c r="L2424" s="170">
        <v>45574</v>
      </c>
      <c r="M2424" s="116">
        <v>1258</v>
      </c>
      <c r="N2424" s="116">
        <v>1290</v>
      </c>
      <c r="O2424" s="116">
        <v>1234.4749999999999</v>
      </c>
      <c r="P2424" s="116">
        <v>1289.5</v>
      </c>
      <c r="Q2424" s="116">
        <v>2516</v>
      </c>
      <c r="R2424">
        <v>2366595</v>
      </c>
    </row>
    <row r="2425" spans="1:18" x14ac:dyDescent="0.25">
      <c r="A2425" s="170">
        <v>45575</v>
      </c>
      <c r="B2425" s="116">
        <v>1267.5</v>
      </c>
      <c r="C2425" s="116">
        <v>1256.125</v>
      </c>
      <c r="D2425" s="116">
        <v>1251.5</v>
      </c>
      <c r="E2425" s="116">
        <v>1267.5</v>
      </c>
      <c r="F2425" s="116">
        <v>2512.25</v>
      </c>
      <c r="G2425">
        <v>117659</v>
      </c>
      <c r="H2425" s="116"/>
      <c r="I2425" s="116"/>
      <c r="L2425" s="170">
        <v>45575</v>
      </c>
      <c r="M2425" s="116">
        <v>1256.2249999999999</v>
      </c>
      <c r="N2425" s="116">
        <v>1265.8499999999999</v>
      </c>
      <c r="O2425" s="116">
        <v>1253</v>
      </c>
      <c r="P2425" s="116">
        <v>1264.5</v>
      </c>
      <c r="Q2425" s="116">
        <v>2512.4499999999998</v>
      </c>
      <c r="R2425">
        <v>1030002</v>
      </c>
    </row>
    <row r="2426" spans="1:18" x14ac:dyDescent="0.25">
      <c r="A2426" s="170">
        <v>45576</v>
      </c>
      <c r="B2426" s="116">
        <v>1260.3499999999999</v>
      </c>
      <c r="C2426" s="116">
        <v>1256.2</v>
      </c>
      <c r="D2426" s="116">
        <v>1248.9749999999999</v>
      </c>
      <c r="E2426" s="116">
        <v>1260</v>
      </c>
      <c r="F2426" s="116">
        <v>2512.4</v>
      </c>
      <c r="G2426">
        <v>57027</v>
      </c>
      <c r="H2426" s="116"/>
      <c r="I2426" s="116"/>
      <c r="L2426" s="170">
        <v>45576</v>
      </c>
      <c r="M2426" s="116">
        <v>1255.9000000000001</v>
      </c>
      <c r="N2426" s="116">
        <v>1261</v>
      </c>
      <c r="O2426" s="116">
        <v>1248.05</v>
      </c>
      <c r="P2426" s="116">
        <v>1260</v>
      </c>
      <c r="Q2426" s="116">
        <v>2511.8000000000002</v>
      </c>
      <c r="R2426">
        <v>628464</v>
      </c>
    </row>
    <row r="2427" spans="1:18" x14ac:dyDescent="0.25">
      <c r="A2427" s="170">
        <v>45579</v>
      </c>
      <c r="B2427" s="116">
        <v>1261.0999999999999</v>
      </c>
      <c r="C2427" s="116">
        <v>1251.45</v>
      </c>
      <c r="D2427" s="116">
        <v>1246.3</v>
      </c>
      <c r="E2427" s="116">
        <v>1257.5250000000001</v>
      </c>
      <c r="F2427" s="116">
        <v>2502.9</v>
      </c>
      <c r="G2427">
        <v>42733</v>
      </c>
      <c r="H2427" s="116"/>
      <c r="I2427" s="116"/>
      <c r="L2427" s="170">
        <v>45579</v>
      </c>
      <c r="M2427" s="116">
        <v>1251.0250000000001</v>
      </c>
      <c r="N2427" s="116">
        <v>1259.8499999999999</v>
      </c>
      <c r="O2427" s="116">
        <v>1246.575</v>
      </c>
      <c r="P2427" s="116">
        <v>1259.8499999999999</v>
      </c>
      <c r="Q2427" s="116">
        <v>2502.0500000000002</v>
      </c>
      <c r="R2427">
        <v>670384</v>
      </c>
    </row>
    <row r="2428" spans="1:18" x14ac:dyDescent="0.25">
      <c r="A2428" s="170">
        <v>45580</v>
      </c>
      <c r="B2428" s="116">
        <v>1252.8</v>
      </c>
      <c r="C2428" s="116">
        <v>1242.4000000000001</v>
      </c>
      <c r="D2428" s="116">
        <v>1236.5</v>
      </c>
      <c r="E2428" s="116">
        <v>1249.0250000000001</v>
      </c>
      <c r="F2428" s="116">
        <v>2484.8000000000002</v>
      </c>
      <c r="G2428">
        <v>75144</v>
      </c>
      <c r="H2428" s="116"/>
      <c r="I2428" s="116"/>
      <c r="L2428" s="170">
        <v>45580</v>
      </c>
      <c r="M2428" s="116">
        <v>1242.125</v>
      </c>
      <c r="N2428" s="116">
        <v>1251.0250000000001</v>
      </c>
      <c r="O2428" s="116">
        <v>1236</v>
      </c>
      <c r="P2428" s="116">
        <v>1251.0250000000001</v>
      </c>
      <c r="Q2428" s="116">
        <v>2484.25</v>
      </c>
      <c r="R2428">
        <v>795154</v>
      </c>
    </row>
    <row r="2429" spans="1:18" x14ac:dyDescent="0.25">
      <c r="A2429" s="170">
        <v>45581</v>
      </c>
      <c r="B2429" s="116">
        <v>1248.9749999999999</v>
      </c>
      <c r="C2429" s="116">
        <v>1231.125</v>
      </c>
      <c r="D2429" s="116">
        <v>1216</v>
      </c>
      <c r="E2429" s="116">
        <v>1248.9749999999999</v>
      </c>
      <c r="F2429" s="116">
        <v>2462.25</v>
      </c>
      <c r="G2429">
        <v>49937</v>
      </c>
      <c r="H2429" s="116"/>
      <c r="I2429" s="116"/>
      <c r="L2429" s="170">
        <v>45581</v>
      </c>
      <c r="M2429" s="116">
        <v>1231.125</v>
      </c>
      <c r="N2429" s="116">
        <v>1246.5250000000001</v>
      </c>
      <c r="O2429" s="116">
        <v>1215.7249999999999</v>
      </c>
      <c r="P2429" s="116">
        <v>1245</v>
      </c>
      <c r="Q2429" s="116">
        <v>2462.25</v>
      </c>
      <c r="R2429">
        <v>1236643</v>
      </c>
    </row>
    <row r="2430" spans="1:18" x14ac:dyDescent="0.25">
      <c r="A2430" s="170">
        <v>45582</v>
      </c>
      <c r="B2430" s="116">
        <v>1241.25</v>
      </c>
      <c r="C2430" s="116">
        <v>1189.8499999999999</v>
      </c>
      <c r="D2430" s="116">
        <v>1182.4000000000001</v>
      </c>
      <c r="E2430" s="116">
        <v>1241.25</v>
      </c>
      <c r="F2430" s="116">
        <v>2379.6999999999998</v>
      </c>
      <c r="G2430">
        <v>117439</v>
      </c>
      <c r="H2430" s="116"/>
      <c r="I2430" s="116"/>
      <c r="L2430" s="170">
        <v>45582</v>
      </c>
      <c r="M2430" s="116">
        <v>1189.3499999999999</v>
      </c>
      <c r="N2430" s="116">
        <v>1237.4749999999999</v>
      </c>
      <c r="O2430" s="116">
        <v>1182.5</v>
      </c>
      <c r="P2430" s="116">
        <v>1237.4749999999999</v>
      </c>
      <c r="Q2430" s="116">
        <v>2378.6999999999998</v>
      </c>
      <c r="R2430">
        <v>2627754</v>
      </c>
    </row>
    <row r="2431" spans="1:18" x14ac:dyDescent="0.25">
      <c r="A2431" s="170">
        <v>45583</v>
      </c>
      <c r="B2431" s="116">
        <v>1191.9749999999999</v>
      </c>
      <c r="C2431" s="116">
        <v>1174.7750000000001</v>
      </c>
      <c r="D2431" s="116">
        <v>1163.5</v>
      </c>
      <c r="E2431" s="116">
        <v>1191.9749999999999</v>
      </c>
      <c r="F2431" s="116">
        <v>2349.5500000000002</v>
      </c>
      <c r="G2431">
        <v>171257</v>
      </c>
      <c r="H2431" s="116"/>
      <c r="I2431" s="116"/>
      <c r="L2431" s="170">
        <v>45583</v>
      </c>
      <c r="M2431" s="116">
        <v>1175.125</v>
      </c>
      <c r="N2431" s="116">
        <v>1191.825</v>
      </c>
      <c r="O2431" s="116">
        <v>1163.05</v>
      </c>
      <c r="P2431" s="116">
        <v>1190</v>
      </c>
      <c r="Q2431" s="116">
        <v>2350.25</v>
      </c>
      <c r="R2431">
        <v>1639185</v>
      </c>
    </row>
    <row r="2432" spans="1:18" x14ac:dyDescent="0.25">
      <c r="A2432" s="170">
        <v>45586</v>
      </c>
      <c r="B2432" s="116">
        <v>1186.6500000000001</v>
      </c>
      <c r="C2432" s="116">
        <v>1177.425</v>
      </c>
      <c r="D2432" s="116">
        <v>1166.6500000000001</v>
      </c>
      <c r="E2432" s="116">
        <v>1179.9749999999999</v>
      </c>
      <c r="F2432" s="116">
        <v>2354.85</v>
      </c>
      <c r="G2432">
        <v>33058</v>
      </c>
      <c r="H2432" s="116"/>
      <c r="I2432" s="116"/>
      <c r="L2432" s="170">
        <v>45586</v>
      </c>
      <c r="M2432" s="116">
        <v>1177.325</v>
      </c>
      <c r="N2432" s="116">
        <v>1187</v>
      </c>
      <c r="O2432" s="116">
        <v>1166.5</v>
      </c>
      <c r="P2432" s="116">
        <v>1180</v>
      </c>
      <c r="Q2432" s="116">
        <v>2354.65</v>
      </c>
      <c r="R2432">
        <v>748704</v>
      </c>
    </row>
    <row r="2433" spans="1:18" x14ac:dyDescent="0.25">
      <c r="A2433" s="170">
        <v>45587</v>
      </c>
      <c r="B2433" s="116">
        <v>1193</v>
      </c>
      <c r="C2433" s="116">
        <v>1175.5250000000001</v>
      </c>
      <c r="D2433" s="116">
        <v>1170.95</v>
      </c>
      <c r="E2433" s="116">
        <v>1177.325</v>
      </c>
      <c r="F2433" s="116">
        <v>2351.0500000000002</v>
      </c>
      <c r="G2433">
        <v>57360</v>
      </c>
      <c r="H2433" s="116"/>
      <c r="I2433" s="116"/>
      <c r="L2433" s="170">
        <v>45587</v>
      </c>
      <c r="M2433" s="116">
        <v>1175.125</v>
      </c>
      <c r="N2433" s="116">
        <v>1192.5</v>
      </c>
      <c r="O2433" s="116">
        <v>1170.0250000000001</v>
      </c>
      <c r="P2433" s="116">
        <v>1177.25</v>
      </c>
      <c r="Q2433" s="116">
        <v>2350.25</v>
      </c>
      <c r="R2433">
        <v>967131</v>
      </c>
    </row>
    <row r="2434" spans="1:18" x14ac:dyDescent="0.25">
      <c r="A2434" s="170">
        <v>45588</v>
      </c>
      <c r="B2434" s="116">
        <v>1187.575</v>
      </c>
      <c r="C2434" s="116">
        <v>1163.55</v>
      </c>
      <c r="D2434" s="116">
        <v>1160.3499999999999</v>
      </c>
      <c r="E2434" s="116">
        <v>1175.5250000000001</v>
      </c>
      <c r="F2434" s="116">
        <v>2327.1</v>
      </c>
      <c r="G2434">
        <v>47583</v>
      </c>
      <c r="H2434" s="116"/>
      <c r="I2434" s="116"/>
      <c r="L2434" s="170">
        <v>45588</v>
      </c>
      <c r="M2434" s="116">
        <v>1163.575</v>
      </c>
      <c r="N2434" s="116">
        <v>1187.45</v>
      </c>
      <c r="O2434" s="116">
        <v>1160.05</v>
      </c>
      <c r="P2434" s="116">
        <v>1175.0250000000001</v>
      </c>
      <c r="Q2434" s="116">
        <v>2327.15</v>
      </c>
      <c r="R2434">
        <v>707261</v>
      </c>
    </row>
    <row r="2435" spans="1:18" x14ac:dyDescent="0.25">
      <c r="A2435" s="170">
        <v>45589</v>
      </c>
      <c r="B2435" s="116">
        <v>1174.9749999999999</v>
      </c>
      <c r="C2435" s="116">
        <v>1130</v>
      </c>
      <c r="D2435" s="116">
        <v>1108.5250000000001</v>
      </c>
      <c r="E2435" s="116">
        <v>1174.9749999999999</v>
      </c>
      <c r="F2435" s="116">
        <v>2260</v>
      </c>
      <c r="G2435">
        <v>221040</v>
      </c>
      <c r="H2435" s="116"/>
      <c r="I2435" s="116"/>
      <c r="L2435" s="170">
        <v>45589</v>
      </c>
      <c r="M2435" s="116">
        <v>1129.325</v>
      </c>
      <c r="N2435" s="116">
        <v>1170</v>
      </c>
      <c r="O2435" s="116">
        <v>1108</v>
      </c>
      <c r="P2435" s="116">
        <v>1169.5</v>
      </c>
      <c r="Q2435" s="116">
        <v>2258.65</v>
      </c>
      <c r="R2435">
        <v>2955497</v>
      </c>
    </row>
    <row r="2436" spans="1:18" x14ac:dyDescent="0.25">
      <c r="A2436" s="170">
        <v>45590</v>
      </c>
      <c r="B2436" s="116">
        <v>1143.0250000000001</v>
      </c>
      <c r="C2436" s="116">
        <v>1130.625</v>
      </c>
      <c r="D2436" s="116">
        <v>1129</v>
      </c>
      <c r="E2436" s="116">
        <v>1139.9749999999999</v>
      </c>
      <c r="F2436" s="116">
        <v>2261.25</v>
      </c>
      <c r="G2436">
        <v>60541</v>
      </c>
      <c r="H2436" s="116"/>
      <c r="I2436" s="116"/>
      <c r="L2436" s="170">
        <v>45590</v>
      </c>
      <c r="M2436" s="116">
        <v>1130.3499999999999</v>
      </c>
      <c r="N2436" s="116">
        <v>1143.25</v>
      </c>
      <c r="O2436" s="116">
        <v>1128.5</v>
      </c>
      <c r="P2436" s="116">
        <v>1134.5</v>
      </c>
      <c r="Q2436" s="116">
        <v>2260.6999999999998</v>
      </c>
      <c r="R2436">
        <v>1341509</v>
      </c>
    </row>
    <row r="2437" spans="1:18" x14ac:dyDescent="0.25">
      <c r="A2437" s="170">
        <v>45593</v>
      </c>
      <c r="B2437" s="116">
        <v>1159.5</v>
      </c>
      <c r="C2437" s="116">
        <v>1136.3</v>
      </c>
      <c r="D2437" s="116">
        <v>1128.675</v>
      </c>
      <c r="E2437" s="116">
        <v>1130.6500000000001</v>
      </c>
      <c r="F2437" s="116">
        <v>2272.6</v>
      </c>
      <c r="G2437">
        <v>40657</v>
      </c>
      <c r="H2437" s="116"/>
      <c r="I2437" s="116"/>
      <c r="L2437" s="170">
        <v>45593</v>
      </c>
      <c r="M2437" s="116">
        <v>1136.0250000000001</v>
      </c>
      <c r="N2437" s="116">
        <v>1159.5</v>
      </c>
      <c r="O2437" s="116">
        <v>1128.0250000000001</v>
      </c>
      <c r="P2437" s="116">
        <v>1135.4749999999999</v>
      </c>
      <c r="Q2437" s="116">
        <v>2272.0500000000002</v>
      </c>
      <c r="R2437">
        <v>875565</v>
      </c>
    </row>
    <row r="2438" spans="1:18" x14ac:dyDescent="0.25">
      <c r="A2438" s="170">
        <v>45594</v>
      </c>
      <c r="B2438" s="116">
        <v>1142.9749999999999</v>
      </c>
      <c r="C2438" s="116">
        <v>1133.575</v>
      </c>
      <c r="D2438" s="116">
        <v>1130.25</v>
      </c>
      <c r="E2438" s="116">
        <v>1139</v>
      </c>
      <c r="F2438" s="116">
        <v>2267.15</v>
      </c>
      <c r="G2438">
        <v>80354</v>
      </c>
      <c r="H2438" s="116"/>
      <c r="I2438" s="116"/>
      <c r="L2438" s="170">
        <v>45594</v>
      </c>
      <c r="M2438" s="116">
        <v>1133.7</v>
      </c>
      <c r="N2438" s="116">
        <v>1142.9000000000001</v>
      </c>
      <c r="O2438" s="116">
        <v>1130.375</v>
      </c>
      <c r="P2438" s="116">
        <v>1140</v>
      </c>
      <c r="Q2438" s="116">
        <v>2267.4</v>
      </c>
      <c r="R2438">
        <v>929831</v>
      </c>
    </row>
    <row r="2439" spans="1:18" x14ac:dyDescent="0.25">
      <c r="A2439" s="170">
        <v>45595</v>
      </c>
      <c r="B2439" s="116">
        <v>1148.7249999999999</v>
      </c>
      <c r="C2439" s="116">
        <v>1137.9000000000001</v>
      </c>
      <c r="D2439" s="116">
        <v>1128.875</v>
      </c>
      <c r="E2439" s="116">
        <v>1144.325</v>
      </c>
      <c r="F2439" s="116">
        <v>2275.8000000000002</v>
      </c>
      <c r="G2439">
        <v>26601</v>
      </c>
      <c r="H2439" s="116"/>
      <c r="I2439" s="116"/>
      <c r="L2439" s="170">
        <v>45595</v>
      </c>
      <c r="M2439" s="116">
        <v>1138.1500000000001</v>
      </c>
      <c r="N2439" s="116">
        <v>1148.625</v>
      </c>
      <c r="O2439" s="116">
        <v>1130.0999999999999</v>
      </c>
      <c r="P2439" s="116">
        <v>1139.375</v>
      </c>
      <c r="Q2439" s="116">
        <v>2276.3000000000002</v>
      </c>
      <c r="R2439">
        <v>893773</v>
      </c>
    </row>
    <row r="2440" spans="1:18" x14ac:dyDescent="0.25">
      <c r="A2440" s="170">
        <v>45596</v>
      </c>
      <c r="B2440" s="116">
        <v>1146.7750000000001</v>
      </c>
      <c r="C2440" s="116">
        <v>1132.125</v>
      </c>
      <c r="D2440" s="116">
        <v>1130.0250000000001</v>
      </c>
      <c r="E2440" s="116">
        <v>1146.7750000000001</v>
      </c>
      <c r="F2440" s="116">
        <v>2264.25</v>
      </c>
      <c r="G2440">
        <v>23677</v>
      </c>
      <c r="H2440" s="116"/>
      <c r="I2440" s="116"/>
      <c r="L2440" s="170">
        <v>45596</v>
      </c>
      <c r="M2440" s="116">
        <v>1131.4749999999999</v>
      </c>
      <c r="N2440" s="116">
        <v>1143.5</v>
      </c>
      <c r="O2440" s="116">
        <v>1130</v>
      </c>
      <c r="P2440" s="116">
        <v>1143.5</v>
      </c>
      <c r="Q2440" s="116">
        <v>2262.9499999999998</v>
      </c>
      <c r="R2440">
        <v>659765</v>
      </c>
    </row>
    <row r="2441" spans="1:18" x14ac:dyDescent="0.25">
      <c r="A2441" s="170">
        <v>45597</v>
      </c>
      <c r="B2441" s="116">
        <v>1147.4749999999999</v>
      </c>
      <c r="C2441" s="116">
        <v>1140.75</v>
      </c>
      <c r="D2441" s="116">
        <v>1134.9749999999999</v>
      </c>
      <c r="E2441" s="116">
        <v>1147.4749999999999</v>
      </c>
      <c r="F2441" s="116">
        <v>2281.5</v>
      </c>
      <c r="G2441">
        <v>17140</v>
      </c>
      <c r="H2441" s="116"/>
      <c r="I2441" s="116"/>
      <c r="L2441" s="170">
        <v>45597</v>
      </c>
      <c r="M2441" s="116">
        <v>1141.1500000000001</v>
      </c>
      <c r="N2441" s="116">
        <v>1146.4749999999999</v>
      </c>
      <c r="O2441" s="116">
        <v>1134.175</v>
      </c>
      <c r="P2441" s="116">
        <v>1146.45</v>
      </c>
      <c r="Q2441" s="116">
        <v>2282.3000000000002</v>
      </c>
      <c r="R2441">
        <v>121614</v>
      </c>
    </row>
    <row r="2442" spans="1:18" x14ac:dyDescent="0.25">
      <c r="A2442" s="170">
        <v>45600</v>
      </c>
      <c r="B2442" s="116">
        <v>1149.125</v>
      </c>
      <c r="C2442" s="116">
        <v>1123.0999999999999</v>
      </c>
      <c r="D2442" s="116">
        <v>1115.5</v>
      </c>
      <c r="E2442" s="116">
        <v>1149.125</v>
      </c>
      <c r="F2442" s="116">
        <v>2246.1999999999998</v>
      </c>
      <c r="G2442">
        <v>95208</v>
      </c>
      <c r="H2442" s="116"/>
      <c r="I2442" s="116"/>
      <c r="L2442" s="170">
        <v>45600</v>
      </c>
      <c r="M2442" s="116">
        <v>1123.0999999999999</v>
      </c>
      <c r="N2442" s="116">
        <v>1143.5</v>
      </c>
      <c r="O2442" s="116">
        <v>1115.45</v>
      </c>
      <c r="P2442" s="116">
        <v>1141.5</v>
      </c>
      <c r="Q2442" s="116">
        <v>2246.1999999999998</v>
      </c>
      <c r="R2442">
        <v>963160</v>
      </c>
    </row>
    <row r="2443" spans="1:18" x14ac:dyDescent="0.25">
      <c r="A2443" s="170">
        <v>45601</v>
      </c>
      <c r="B2443" s="116">
        <v>1133.875</v>
      </c>
      <c r="C2443" s="116">
        <v>1131.5999999999999</v>
      </c>
      <c r="D2443" s="116">
        <v>1122</v>
      </c>
      <c r="E2443" s="116">
        <v>1123.5</v>
      </c>
      <c r="F2443" s="116">
        <v>2263.1999999999998</v>
      </c>
      <c r="G2443">
        <v>33361</v>
      </c>
      <c r="H2443" s="116"/>
      <c r="I2443" s="116"/>
      <c r="L2443" s="170">
        <v>45601</v>
      </c>
      <c r="M2443" s="116">
        <v>1131.2249999999999</v>
      </c>
      <c r="N2443" s="116">
        <v>1133.95</v>
      </c>
      <c r="O2443" s="116">
        <v>1118.1500000000001</v>
      </c>
      <c r="P2443" s="116">
        <v>1128</v>
      </c>
      <c r="Q2443" s="116">
        <v>2262.4499999999998</v>
      </c>
      <c r="R2443">
        <v>725930</v>
      </c>
    </row>
    <row r="2444" spans="1:18" x14ac:dyDescent="0.25">
      <c r="A2444" s="170">
        <v>45602</v>
      </c>
      <c r="B2444" s="116">
        <v>1139.8499999999999</v>
      </c>
      <c r="C2444" s="116">
        <v>1137.75</v>
      </c>
      <c r="D2444" s="116">
        <v>1129.25</v>
      </c>
      <c r="E2444" s="116">
        <v>1139.8499999999999</v>
      </c>
      <c r="F2444" s="116">
        <v>2275.5</v>
      </c>
      <c r="G2444">
        <v>57303</v>
      </c>
      <c r="H2444" s="116"/>
      <c r="I2444" s="116"/>
      <c r="L2444" s="170">
        <v>45602</v>
      </c>
      <c r="M2444" s="116">
        <v>1137.8</v>
      </c>
      <c r="N2444" s="116">
        <v>1139.8499999999999</v>
      </c>
      <c r="O2444" s="116">
        <v>1129.0250000000001</v>
      </c>
      <c r="P2444" s="116">
        <v>1134</v>
      </c>
      <c r="Q2444" s="116">
        <v>2275.6</v>
      </c>
      <c r="R2444">
        <v>806973</v>
      </c>
    </row>
    <row r="2445" spans="1:18" x14ac:dyDescent="0.25">
      <c r="A2445" s="170">
        <v>45603</v>
      </c>
      <c r="B2445" s="116">
        <v>1144.9749999999999</v>
      </c>
      <c r="C2445" s="116">
        <v>1131.7750000000001</v>
      </c>
      <c r="D2445" s="116">
        <v>1121.2249999999999</v>
      </c>
      <c r="E2445" s="116">
        <v>1144.9749999999999</v>
      </c>
      <c r="F2445" s="116">
        <v>2263.5500000000002</v>
      </c>
      <c r="G2445">
        <v>78045</v>
      </c>
      <c r="H2445" s="116"/>
      <c r="I2445" s="116"/>
      <c r="L2445" s="170">
        <v>45603</v>
      </c>
      <c r="M2445" s="116">
        <v>1131.425</v>
      </c>
      <c r="N2445" s="116">
        <v>1142.425</v>
      </c>
      <c r="O2445" s="116">
        <v>1120.8499999999999</v>
      </c>
      <c r="P2445" s="116">
        <v>1136.5</v>
      </c>
      <c r="Q2445" s="116">
        <v>2262.85</v>
      </c>
      <c r="R2445">
        <v>891957</v>
      </c>
    </row>
    <row r="2446" spans="1:18" x14ac:dyDescent="0.25">
      <c r="A2446" s="170">
        <v>45604</v>
      </c>
      <c r="B2446" s="116">
        <v>1149.05</v>
      </c>
      <c r="C2446" s="116">
        <v>1148.125</v>
      </c>
      <c r="D2446" s="116">
        <v>1129.5</v>
      </c>
      <c r="E2446" s="116">
        <v>1135</v>
      </c>
      <c r="F2446" s="116">
        <v>2296.25</v>
      </c>
      <c r="G2446">
        <v>34575</v>
      </c>
      <c r="H2446" s="116"/>
      <c r="I2446" s="116"/>
      <c r="L2446" s="170">
        <v>45604</v>
      </c>
      <c r="M2446" s="116">
        <v>1147.825</v>
      </c>
      <c r="N2446" s="116">
        <v>1149</v>
      </c>
      <c r="O2446" s="116">
        <v>1129.4000000000001</v>
      </c>
      <c r="P2446" s="116">
        <v>1135</v>
      </c>
      <c r="Q2446" s="116">
        <v>2295.65</v>
      </c>
      <c r="R2446">
        <v>834995</v>
      </c>
    </row>
    <row r="2447" spans="1:18" x14ac:dyDescent="0.25">
      <c r="A2447" s="170">
        <v>45607</v>
      </c>
      <c r="B2447" s="116">
        <v>1147.2</v>
      </c>
      <c r="C2447" s="116">
        <v>1139.5</v>
      </c>
      <c r="D2447" s="116">
        <v>1127.2</v>
      </c>
      <c r="E2447" s="116">
        <v>1144.9749999999999</v>
      </c>
      <c r="F2447" s="116">
        <v>2279</v>
      </c>
      <c r="G2447">
        <v>149889</v>
      </c>
      <c r="H2447" s="116"/>
      <c r="I2447" s="116"/>
      <c r="L2447" s="170">
        <v>45607</v>
      </c>
      <c r="M2447" s="116">
        <v>1139.5250000000001</v>
      </c>
      <c r="N2447" s="116">
        <v>1147.425</v>
      </c>
      <c r="O2447" s="116">
        <v>1127.0999999999999</v>
      </c>
      <c r="P2447" s="116">
        <v>1140</v>
      </c>
      <c r="Q2447" s="116">
        <v>2279.0500000000002</v>
      </c>
      <c r="R2447">
        <v>773595</v>
      </c>
    </row>
    <row r="2448" spans="1:18" x14ac:dyDescent="0.25">
      <c r="A2448" s="170">
        <v>45608</v>
      </c>
      <c r="B2448" s="116">
        <v>1149.625</v>
      </c>
      <c r="C2448" s="116">
        <v>1128.95</v>
      </c>
      <c r="D2448" s="116">
        <v>1119.7</v>
      </c>
      <c r="E2448" s="116">
        <v>1149.625</v>
      </c>
      <c r="F2448" s="116">
        <v>2257.9</v>
      </c>
      <c r="G2448">
        <v>152407</v>
      </c>
      <c r="H2448" s="116"/>
      <c r="I2448" s="116"/>
      <c r="L2448" s="170">
        <v>45608</v>
      </c>
      <c r="M2448" s="116">
        <v>1128.0999999999999</v>
      </c>
      <c r="N2448" s="116">
        <v>1145.2249999999999</v>
      </c>
      <c r="O2448" s="116">
        <v>1120.5</v>
      </c>
      <c r="P2448" s="116">
        <v>1145.2249999999999</v>
      </c>
      <c r="Q2448" s="116">
        <v>2256.1999999999998</v>
      </c>
      <c r="R2448">
        <v>1105339</v>
      </c>
    </row>
    <row r="2449" spans="1:18" x14ac:dyDescent="0.25">
      <c r="A2449" s="170">
        <v>45609</v>
      </c>
      <c r="B2449" s="116">
        <v>1127.3499999999999</v>
      </c>
      <c r="C2449" s="116">
        <v>1117.825</v>
      </c>
      <c r="D2449" s="116">
        <v>1111.0250000000001</v>
      </c>
      <c r="E2449" s="116">
        <v>1127.3499999999999</v>
      </c>
      <c r="F2449" s="116">
        <v>2235.65</v>
      </c>
      <c r="G2449">
        <v>78294</v>
      </c>
      <c r="H2449" s="116"/>
      <c r="I2449" s="116"/>
      <c r="L2449" s="170">
        <v>45609</v>
      </c>
      <c r="M2449" s="116">
        <v>1117.625</v>
      </c>
      <c r="N2449" s="116">
        <v>1125.9749999999999</v>
      </c>
      <c r="O2449" s="116">
        <v>1111</v>
      </c>
      <c r="P2449" s="116">
        <v>1120.625</v>
      </c>
      <c r="Q2449" s="116">
        <v>2235.25</v>
      </c>
      <c r="R2449">
        <v>763388</v>
      </c>
    </row>
    <row r="2450" spans="1:18" x14ac:dyDescent="0.25">
      <c r="A2450" s="170">
        <v>45610</v>
      </c>
      <c r="B2450" s="116">
        <v>1121.625</v>
      </c>
      <c r="C2450" s="116">
        <v>1091.8</v>
      </c>
      <c r="D2450" s="116">
        <v>1089.5999999999999</v>
      </c>
      <c r="E2450" s="116">
        <v>1115.2249999999999</v>
      </c>
      <c r="F2450" s="116">
        <v>2183.6</v>
      </c>
      <c r="G2450">
        <v>114484</v>
      </c>
      <c r="H2450" s="116"/>
      <c r="I2450" s="116"/>
      <c r="L2450" s="170">
        <v>45610</v>
      </c>
      <c r="M2450" s="116">
        <v>1091.4000000000001</v>
      </c>
      <c r="N2450" s="116">
        <v>1122.4749999999999</v>
      </c>
      <c r="O2450" s="116">
        <v>1089.2</v>
      </c>
      <c r="P2450" s="116">
        <v>1119.5250000000001</v>
      </c>
      <c r="Q2450" s="116">
        <v>2182.8000000000002</v>
      </c>
      <c r="R2450">
        <v>1159238</v>
      </c>
    </row>
    <row r="2451" spans="1:18" x14ac:dyDescent="0.25">
      <c r="A2451" s="170">
        <v>45614</v>
      </c>
      <c r="B2451" s="116">
        <v>1108.4749999999999</v>
      </c>
      <c r="C2451" s="116">
        <v>1106.5</v>
      </c>
      <c r="D2451" s="116">
        <v>1085</v>
      </c>
      <c r="E2451" s="116">
        <v>1095.4000000000001</v>
      </c>
      <c r="F2451" s="116">
        <v>2213</v>
      </c>
      <c r="G2451">
        <v>38688</v>
      </c>
      <c r="H2451" s="116"/>
      <c r="I2451" s="116"/>
      <c r="L2451" s="170">
        <v>45614</v>
      </c>
      <c r="M2451" s="116">
        <v>1106.5999999999999</v>
      </c>
      <c r="N2451" s="116">
        <v>1109.4749999999999</v>
      </c>
      <c r="O2451" s="116">
        <v>1084.3499999999999</v>
      </c>
      <c r="P2451" s="116">
        <v>1095.3499999999999</v>
      </c>
      <c r="Q2451" s="116">
        <v>2213.1999999999998</v>
      </c>
      <c r="R2451">
        <v>691665</v>
      </c>
    </row>
    <row r="2452" spans="1:18" x14ac:dyDescent="0.25">
      <c r="A2452" s="170">
        <v>45615</v>
      </c>
      <c r="B2452" s="116">
        <v>1128.6500000000001</v>
      </c>
      <c r="C2452" s="116">
        <v>1109.425</v>
      </c>
      <c r="D2452" s="116">
        <v>1101.5250000000001</v>
      </c>
      <c r="E2452" s="116">
        <v>1128.6500000000001</v>
      </c>
      <c r="F2452" s="116">
        <v>2218.85</v>
      </c>
      <c r="G2452">
        <v>85900</v>
      </c>
      <c r="H2452" s="116"/>
      <c r="I2452" s="116"/>
      <c r="L2452" s="170">
        <v>45615</v>
      </c>
      <c r="M2452" s="116">
        <v>1107.075</v>
      </c>
      <c r="N2452" s="116">
        <v>1121.825</v>
      </c>
      <c r="O2452" s="116">
        <v>1101.95</v>
      </c>
      <c r="P2452" s="116">
        <v>1112.5</v>
      </c>
      <c r="Q2452" s="116">
        <v>2214.15</v>
      </c>
      <c r="R2452">
        <v>806020</v>
      </c>
    </row>
    <row r="2453" spans="1:18" x14ac:dyDescent="0.25">
      <c r="A2453" s="170">
        <v>45617</v>
      </c>
      <c r="B2453" s="116">
        <v>1111.4749999999999</v>
      </c>
      <c r="C2453" s="116">
        <v>1105.2249999999999</v>
      </c>
      <c r="D2453" s="116">
        <v>1093.925</v>
      </c>
      <c r="E2453" s="116">
        <v>1107</v>
      </c>
      <c r="F2453" s="116">
        <v>2210.4499999999998</v>
      </c>
      <c r="G2453">
        <v>163725</v>
      </c>
      <c r="H2453" s="116"/>
      <c r="I2453" s="116"/>
      <c r="L2453" s="170">
        <v>45617</v>
      </c>
      <c r="M2453" s="116">
        <v>1105.5999999999999</v>
      </c>
      <c r="N2453" s="116">
        <v>1125</v>
      </c>
      <c r="O2453" s="116">
        <v>1093.5</v>
      </c>
      <c r="P2453" s="116">
        <v>1102.7750000000001</v>
      </c>
      <c r="Q2453" s="116">
        <v>2211.1999999999998</v>
      </c>
      <c r="R2453">
        <v>827884</v>
      </c>
    </row>
    <row r="2454" spans="1:18" x14ac:dyDescent="0.25">
      <c r="A2454" s="170">
        <v>45618</v>
      </c>
      <c r="B2454" s="116">
        <v>1126.0999999999999</v>
      </c>
      <c r="C2454" s="116">
        <v>1124.075</v>
      </c>
      <c r="D2454" s="116">
        <v>1102.55</v>
      </c>
      <c r="E2454" s="116">
        <v>1109.8</v>
      </c>
      <c r="F2454" s="116">
        <v>2248.15</v>
      </c>
      <c r="G2454">
        <v>54093</v>
      </c>
      <c r="H2454" s="116"/>
      <c r="I2454" s="116"/>
      <c r="L2454" s="170">
        <v>45618</v>
      </c>
      <c r="M2454" s="116">
        <v>1123.6500000000001</v>
      </c>
      <c r="N2454" s="116">
        <v>1126.425</v>
      </c>
      <c r="O2454" s="116">
        <v>1102.0999999999999</v>
      </c>
      <c r="P2454" s="116">
        <v>1107.0999999999999</v>
      </c>
      <c r="Q2454" s="116">
        <v>2247.3000000000002</v>
      </c>
      <c r="R2454">
        <v>771958</v>
      </c>
    </row>
    <row r="2455" spans="1:18" x14ac:dyDescent="0.25">
      <c r="A2455" s="170">
        <v>45621</v>
      </c>
      <c r="B2455" s="116">
        <v>1141.675</v>
      </c>
      <c r="C2455" s="116">
        <v>1130.375</v>
      </c>
      <c r="D2455" s="116">
        <v>1123.05</v>
      </c>
      <c r="E2455" s="116">
        <v>1129</v>
      </c>
      <c r="F2455" s="116">
        <v>2260.75</v>
      </c>
      <c r="G2455">
        <v>68386</v>
      </c>
      <c r="H2455" s="116"/>
      <c r="I2455" s="116"/>
      <c r="L2455" s="170">
        <v>45621</v>
      </c>
      <c r="M2455" s="116">
        <v>1128.4749999999999</v>
      </c>
      <c r="N2455" s="116">
        <v>1141.825</v>
      </c>
      <c r="O2455" s="116">
        <v>1123.125</v>
      </c>
      <c r="P2455" s="116">
        <v>1129.2750000000001</v>
      </c>
      <c r="Q2455" s="116">
        <v>2256.9499999999998</v>
      </c>
      <c r="R2455">
        <v>2029802</v>
      </c>
    </row>
    <row r="2456" spans="1:18" x14ac:dyDescent="0.25">
      <c r="A2456" s="170">
        <v>45622</v>
      </c>
      <c r="B2456" s="116">
        <v>1143.425</v>
      </c>
      <c r="C2456" s="116">
        <v>1132.825</v>
      </c>
      <c r="D2456" s="116">
        <v>1125.375</v>
      </c>
      <c r="E2456" s="116">
        <v>1137.4749999999999</v>
      </c>
      <c r="F2456" s="116">
        <v>2265.65</v>
      </c>
      <c r="G2456">
        <v>23747</v>
      </c>
      <c r="H2456" s="116"/>
      <c r="I2456" s="116"/>
      <c r="L2456" s="170">
        <v>45622</v>
      </c>
      <c r="M2456" s="116">
        <v>1132.625</v>
      </c>
      <c r="N2456" s="116">
        <v>1143.9749999999999</v>
      </c>
      <c r="O2456" s="116">
        <v>1125.25</v>
      </c>
      <c r="P2456" s="116">
        <v>1135</v>
      </c>
      <c r="Q2456" s="116">
        <v>2265.25</v>
      </c>
      <c r="R2456">
        <v>317122</v>
      </c>
    </row>
    <row r="2457" spans="1:18" x14ac:dyDescent="0.25">
      <c r="A2457" s="170">
        <v>45623</v>
      </c>
      <c r="B2457" s="116">
        <v>1139.925</v>
      </c>
      <c r="C2457" s="116">
        <v>1136.4749999999999</v>
      </c>
      <c r="D2457" s="116">
        <v>1125.3</v>
      </c>
      <c r="E2457" s="116">
        <v>1139.925</v>
      </c>
      <c r="F2457" s="116">
        <v>2272.9499999999998</v>
      </c>
      <c r="G2457">
        <v>20849</v>
      </c>
      <c r="H2457" s="116"/>
      <c r="I2457" s="116"/>
      <c r="L2457" s="170">
        <v>45623</v>
      </c>
      <c r="M2457" s="116">
        <v>1136.9749999999999</v>
      </c>
      <c r="N2457" s="116">
        <v>1138.4000000000001</v>
      </c>
      <c r="O2457" s="116">
        <v>1125.2249999999999</v>
      </c>
      <c r="P2457" s="116">
        <v>1138.3</v>
      </c>
      <c r="Q2457" s="116">
        <v>2273.9499999999998</v>
      </c>
      <c r="R2457">
        <v>437361</v>
      </c>
    </row>
    <row r="2458" spans="1:18" x14ac:dyDescent="0.25">
      <c r="A2458" s="170">
        <v>45624</v>
      </c>
      <c r="B2458" s="116">
        <v>1139.2750000000001</v>
      </c>
      <c r="C2458" s="116">
        <v>1119.325</v>
      </c>
      <c r="D2458" s="116">
        <v>1114.0250000000001</v>
      </c>
      <c r="E2458" s="116">
        <v>1139.2750000000001</v>
      </c>
      <c r="F2458" s="116">
        <v>2238.65</v>
      </c>
      <c r="G2458">
        <v>88700</v>
      </c>
      <c r="H2458" s="116"/>
      <c r="I2458" s="116"/>
      <c r="L2458" s="170">
        <v>45624</v>
      </c>
      <c r="M2458" s="116">
        <v>1118.125</v>
      </c>
      <c r="N2458" s="116">
        <v>1144.75</v>
      </c>
      <c r="O2458" s="116">
        <v>1114</v>
      </c>
      <c r="P2458" s="116">
        <v>1137.0250000000001</v>
      </c>
      <c r="Q2458" s="116">
        <v>2236.25</v>
      </c>
      <c r="R2458">
        <v>1246378</v>
      </c>
    </row>
    <row r="2459" spans="1:18" x14ac:dyDescent="0.25">
      <c r="A2459" s="170">
        <v>45625</v>
      </c>
      <c r="B2459" s="116">
        <v>1131.625</v>
      </c>
      <c r="C2459" s="116">
        <v>1117.3499999999999</v>
      </c>
      <c r="D2459" s="116">
        <v>1114</v>
      </c>
      <c r="E2459" s="116">
        <v>1114</v>
      </c>
      <c r="F2459" s="116">
        <v>2234.6999999999998</v>
      </c>
      <c r="G2459">
        <v>62683</v>
      </c>
      <c r="H2459" s="116"/>
      <c r="I2459" s="116"/>
      <c r="L2459" s="170">
        <v>45625</v>
      </c>
      <c r="M2459" s="116">
        <v>1117.325</v>
      </c>
      <c r="N2459" s="116">
        <v>1131.5</v>
      </c>
      <c r="O2459" s="116">
        <v>1113.5</v>
      </c>
      <c r="P2459" s="116">
        <v>1113.5</v>
      </c>
      <c r="Q2459" s="116">
        <v>2234.65</v>
      </c>
      <c r="R2459">
        <v>1349160</v>
      </c>
    </row>
    <row r="2460" spans="1:18" x14ac:dyDescent="0.25">
      <c r="A2460" s="170">
        <v>45628</v>
      </c>
      <c r="B2460" s="116">
        <v>1128.575</v>
      </c>
      <c r="C2460" s="116">
        <v>1127.45</v>
      </c>
      <c r="D2460" s="116">
        <v>1111.5250000000001</v>
      </c>
      <c r="E2460" s="116">
        <v>1124</v>
      </c>
      <c r="F2460" s="116">
        <v>2254.9</v>
      </c>
      <c r="G2460">
        <v>26193</v>
      </c>
      <c r="H2460" s="116"/>
      <c r="I2460" s="116"/>
      <c r="L2460" s="170">
        <v>45628</v>
      </c>
      <c r="M2460" s="116">
        <v>1125.925</v>
      </c>
      <c r="N2460" s="116">
        <v>1128.5</v>
      </c>
      <c r="O2460" s="116">
        <v>1111.55</v>
      </c>
      <c r="P2460" s="116">
        <v>1121.4000000000001</v>
      </c>
      <c r="Q2460" s="116">
        <v>2251.85</v>
      </c>
      <c r="R2460">
        <v>468272</v>
      </c>
    </row>
    <row r="2461" spans="1:18" x14ac:dyDescent="0.25">
      <c r="A2461" s="170">
        <v>45629</v>
      </c>
      <c r="B2461" s="116">
        <v>1132.9000000000001</v>
      </c>
      <c r="C2461" s="116">
        <v>1130.325</v>
      </c>
      <c r="D2461" s="116">
        <v>1125.0250000000001</v>
      </c>
      <c r="E2461" s="116">
        <v>1128.5</v>
      </c>
      <c r="F2461" s="116">
        <v>2260.65</v>
      </c>
      <c r="G2461">
        <v>106993</v>
      </c>
      <c r="H2461" s="116"/>
      <c r="I2461" s="116"/>
      <c r="L2461" s="170">
        <v>45629</v>
      </c>
      <c r="M2461" s="116">
        <v>1130.8499999999999</v>
      </c>
      <c r="N2461" s="116">
        <v>1133.425</v>
      </c>
      <c r="O2461" s="116">
        <v>1125</v>
      </c>
      <c r="P2461" s="116">
        <v>1131</v>
      </c>
      <c r="Q2461" s="116">
        <v>2261.6999999999998</v>
      </c>
      <c r="R2461">
        <v>766232</v>
      </c>
    </row>
    <row r="2462" spans="1:18" x14ac:dyDescent="0.25">
      <c r="A2462" s="170">
        <v>45630</v>
      </c>
      <c r="B2462" s="116">
        <v>1136.7750000000001</v>
      </c>
      <c r="C2462" s="116">
        <v>1128.2249999999999</v>
      </c>
      <c r="D2462" s="116">
        <v>1120.5250000000001</v>
      </c>
      <c r="E2462" s="116">
        <v>1132.5</v>
      </c>
      <c r="F2462" s="116">
        <v>2256.4499999999998</v>
      </c>
      <c r="G2462">
        <v>70381</v>
      </c>
      <c r="H2462" s="116"/>
      <c r="I2462" s="116"/>
      <c r="L2462" s="170">
        <v>45630</v>
      </c>
      <c r="M2462" s="116">
        <v>1128.9000000000001</v>
      </c>
      <c r="N2462" s="116">
        <v>1137.5</v>
      </c>
      <c r="O2462" s="116">
        <v>1120.7249999999999</v>
      </c>
      <c r="P2462" s="116">
        <v>1130.5</v>
      </c>
      <c r="Q2462" s="116">
        <v>2257.8000000000002</v>
      </c>
      <c r="R2462">
        <v>968869</v>
      </c>
    </row>
    <row r="2463" spans="1:18" x14ac:dyDescent="0.25">
      <c r="A2463" s="170">
        <v>45631</v>
      </c>
      <c r="B2463" s="116">
        <v>1137.9749999999999</v>
      </c>
      <c r="C2463" s="116">
        <v>1131.675</v>
      </c>
      <c r="D2463" s="116">
        <v>1110.45</v>
      </c>
      <c r="E2463" s="116">
        <v>1132.175</v>
      </c>
      <c r="F2463" s="116">
        <v>2263.35</v>
      </c>
      <c r="G2463">
        <v>31746</v>
      </c>
      <c r="H2463" s="116"/>
      <c r="I2463" s="116"/>
      <c r="L2463" s="170">
        <v>45631</v>
      </c>
      <c r="M2463" s="116">
        <v>1132.75</v>
      </c>
      <c r="N2463" s="116">
        <v>1138.5</v>
      </c>
      <c r="O2463" s="116">
        <v>1110.5</v>
      </c>
      <c r="P2463" s="116">
        <v>1128.9000000000001</v>
      </c>
      <c r="Q2463" s="116">
        <v>2265.5</v>
      </c>
      <c r="R2463">
        <v>1187784</v>
      </c>
    </row>
    <row r="2464" spans="1:18" x14ac:dyDescent="0.25">
      <c r="A2464" s="170">
        <v>45632</v>
      </c>
      <c r="B2464" s="116">
        <v>1137.4000000000001</v>
      </c>
      <c r="C2464" s="116">
        <v>1133.075</v>
      </c>
      <c r="D2464" s="116">
        <v>1127.8499999999999</v>
      </c>
      <c r="E2464" s="116">
        <v>1137.3499999999999</v>
      </c>
      <c r="F2464" s="116">
        <v>2266.15</v>
      </c>
      <c r="G2464">
        <v>103604</v>
      </c>
      <c r="H2464" s="116"/>
      <c r="I2464" s="116"/>
      <c r="L2464" s="170">
        <v>45632</v>
      </c>
      <c r="M2464" s="116">
        <v>1133.9000000000001</v>
      </c>
      <c r="N2464" s="116">
        <v>1145.9749999999999</v>
      </c>
      <c r="O2464" s="116">
        <v>1127.55</v>
      </c>
      <c r="P2464" s="116">
        <v>1133.2249999999999</v>
      </c>
      <c r="Q2464" s="116">
        <v>2267.8000000000002</v>
      </c>
      <c r="R2464">
        <v>645601</v>
      </c>
    </row>
    <row r="2465" spans="1:18" x14ac:dyDescent="0.25">
      <c r="A2465" s="170">
        <v>45635</v>
      </c>
      <c r="B2465" s="116">
        <v>1137.4749999999999</v>
      </c>
      <c r="C2465" s="116">
        <v>1114.7249999999999</v>
      </c>
      <c r="D2465" s="116">
        <v>1107.45</v>
      </c>
      <c r="E2465" s="116">
        <v>1137.4749999999999</v>
      </c>
      <c r="F2465" s="116">
        <v>2229.4499999999998</v>
      </c>
      <c r="G2465">
        <v>19632</v>
      </c>
      <c r="H2465" s="116"/>
      <c r="I2465" s="116"/>
      <c r="L2465" s="170">
        <v>45635</v>
      </c>
      <c r="M2465" s="116">
        <v>1114.425</v>
      </c>
      <c r="N2465" s="116">
        <v>1138.3</v>
      </c>
      <c r="O2465" s="116">
        <v>1106.825</v>
      </c>
      <c r="P2465" s="116">
        <v>1135</v>
      </c>
      <c r="Q2465" s="116">
        <v>2228.85</v>
      </c>
      <c r="R2465">
        <v>969851</v>
      </c>
    </row>
    <row r="2466" spans="1:18" x14ac:dyDescent="0.25">
      <c r="A2466" s="170">
        <v>45636</v>
      </c>
      <c r="B2466" s="116">
        <v>1120</v>
      </c>
      <c r="C2466" s="116">
        <v>1107.825</v>
      </c>
      <c r="D2466" s="116">
        <v>1105.0999999999999</v>
      </c>
      <c r="E2466" s="116">
        <v>1111.0250000000001</v>
      </c>
      <c r="F2466" s="116">
        <v>2215.65</v>
      </c>
      <c r="G2466">
        <v>128741</v>
      </c>
      <c r="H2466" s="116"/>
      <c r="I2466" s="116"/>
      <c r="L2466" s="170">
        <v>45636</v>
      </c>
      <c r="M2466" s="116">
        <v>1107.2249999999999</v>
      </c>
      <c r="N2466" s="116">
        <v>1120</v>
      </c>
      <c r="O2466" s="116">
        <v>1105</v>
      </c>
      <c r="P2466" s="116">
        <v>1114.5</v>
      </c>
      <c r="Q2466" s="116">
        <v>2214.4499999999998</v>
      </c>
      <c r="R2466">
        <v>915298</v>
      </c>
    </row>
    <row r="2467" spans="1:18" x14ac:dyDescent="0.25">
      <c r="A2467" s="170">
        <v>45637</v>
      </c>
      <c r="B2467" s="116">
        <v>1127.175</v>
      </c>
      <c r="C2467" s="116">
        <v>1121.45</v>
      </c>
      <c r="D2467" s="116">
        <v>1112.5</v>
      </c>
      <c r="E2467" s="116">
        <v>1114.6500000000001</v>
      </c>
      <c r="F2467" s="116">
        <v>2242.9</v>
      </c>
      <c r="G2467">
        <v>101547</v>
      </c>
      <c r="H2467" s="116"/>
      <c r="I2467" s="116"/>
      <c r="L2467" s="170">
        <v>45637</v>
      </c>
      <c r="M2467" s="116">
        <v>1120.5250000000001</v>
      </c>
      <c r="N2467" s="116">
        <v>1127</v>
      </c>
      <c r="O2467" s="116">
        <v>1111.5</v>
      </c>
      <c r="P2467" s="116">
        <v>1112.5</v>
      </c>
      <c r="Q2467" s="116">
        <v>2241.0500000000002</v>
      </c>
      <c r="R2467">
        <v>734861</v>
      </c>
    </row>
    <row r="2468" spans="1:18" x14ac:dyDescent="0.25">
      <c r="A2468" s="170">
        <v>45638</v>
      </c>
      <c r="B2468" s="116">
        <v>1126</v>
      </c>
      <c r="C2468" s="116">
        <v>1112.175</v>
      </c>
      <c r="D2468" s="116">
        <v>1108.0250000000001</v>
      </c>
      <c r="E2468" s="116">
        <v>1122.5250000000001</v>
      </c>
      <c r="F2468" s="116">
        <v>2224.35</v>
      </c>
      <c r="G2468">
        <v>50302</v>
      </c>
      <c r="H2468" s="116"/>
      <c r="I2468" s="116"/>
      <c r="L2468" s="170">
        <v>45638</v>
      </c>
      <c r="M2468" s="116">
        <v>1112.0250000000001</v>
      </c>
      <c r="N2468" s="116">
        <v>1127</v>
      </c>
      <c r="O2468" s="116">
        <v>1107.55</v>
      </c>
      <c r="P2468" s="116">
        <v>1124.9749999999999</v>
      </c>
      <c r="Q2468" s="116">
        <v>2224.0500000000002</v>
      </c>
      <c r="R2468">
        <v>965610</v>
      </c>
    </row>
    <row r="2469" spans="1:18" x14ac:dyDescent="0.25">
      <c r="A2469" s="170">
        <v>45639</v>
      </c>
      <c r="B2469" s="116">
        <v>1128.675</v>
      </c>
      <c r="C2469" s="116">
        <v>1126.9749999999999</v>
      </c>
      <c r="D2469" s="116">
        <v>1104.5250000000001</v>
      </c>
      <c r="E2469" s="116">
        <v>1111.75</v>
      </c>
      <c r="F2469" s="116">
        <v>2253.9499999999998</v>
      </c>
      <c r="G2469">
        <v>68901</v>
      </c>
      <c r="H2469" s="116"/>
      <c r="I2469" s="116"/>
      <c r="L2469" s="170">
        <v>45639</v>
      </c>
      <c r="M2469" s="116">
        <v>1126.75</v>
      </c>
      <c r="N2469" s="116">
        <v>1128.925</v>
      </c>
      <c r="O2469" s="116">
        <v>1104.125</v>
      </c>
      <c r="P2469" s="116">
        <v>1112.5</v>
      </c>
      <c r="Q2469" s="116">
        <v>2253.5</v>
      </c>
      <c r="R2469">
        <v>554661</v>
      </c>
    </row>
    <row r="2470" spans="1:18" x14ac:dyDescent="0.25">
      <c r="A2470" s="170">
        <v>45642</v>
      </c>
      <c r="B2470" s="116">
        <v>1128.7750000000001</v>
      </c>
      <c r="C2470" s="116">
        <v>1121.4749999999999</v>
      </c>
      <c r="D2470" s="116">
        <v>1114.0250000000001</v>
      </c>
      <c r="E2470" s="116">
        <v>1126.9749999999999</v>
      </c>
      <c r="F2470" s="116">
        <v>2242.9499999999998</v>
      </c>
      <c r="G2470">
        <v>104932</v>
      </c>
      <c r="H2470" s="116"/>
      <c r="I2470" s="116"/>
      <c r="L2470" s="170">
        <v>45642</v>
      </c>
      <c r="M2470" s="116">
        <v>1119.375</v>
      </c>
      <c r="N2470" s="116">
        <v>1128.75</v>
      </c>
      <c r="O2470" s="116">
        <v>1114.2750000000001</v>
      </c>
      <c r="P2470" s="116">
        <v>1126.75</v>
      </c>
      <c r="Q2470" s="116">
        <v>2238.75</v>
      </c>
      <c r="R2470">
        <v>665686</v>
      </c>
    </row>
    <row r="2471" spans="1:18" x14ac:dyDescent="0.25">
      <c r="A2471" s="170">
        <v>45643</v>
      </c>
      <c r="B2471" s="116">
        <v>1116.6500000000001</v>
      </c>
      <c r="C2471" s="116">
        <v>1101.45</v>
      </c>
      <c r="D2471" s="116">
        <v>1100</v>
      </c>
      <c r="E2471" s="116">
        <v>1114.425</v>
      </c>
      <c r="F2471" s="116">
        <v>2202.9</v>
      </c>
      <c r="G2471">
        <v>137845</v>
      </c>
      <c r="H2471" s="116"/>
      <c r="I2471" s="116"/>
      <c r="L2471" s="170">
        <v>45643</v>
      </c>
      <c r="M2471" s="116">
        <v>1101.4749999999999</v>
      </c>
      <c r="N2471" s="116">
        <v>1116.9749999999999</v>
      </c>
      <c r="O2471" s="116">
        <v>1100</v>
      </c>
      <c r="P2471" s="116">
        <v>1113</v>
      </c>
      <c r="Q2471" s="116">
        <v>2202.9499999999998</v>
      </c>
      <c r="R2471">
        <v>1498906</v>
      </c>
    </row>
    <row r="2472" spans="1:18" x14ac:dyDescent="0.25">
      <c r="A2472" s="170">
        <v>45644</v>
      </c>
      <c r="B2472" s="116">
        <v>1106.625</v>
      </c>
      <c r="C2472" s="116">
        <v>1093.9749999999999</v>
      </c>
      <c r="D2472" s="116">
        <v>1090.7</v>
      </c>
      <c r="E2472" s="116">
        <v>1102.5</v>
      </c>
      <c r="F2472" s="116">
        <v>2187.9499999999998</v>
      </c>
      <c r="G2472">
        <v>34485</v>
      </c>
      <c r="H2472" s="116"/>
      <c r="I2472" s="116"/>
      <c r="L2472" s="170">
        <v>45644</v>
      </c>
      <c r="M2472" s="116">
        <v>1094.0250000000001</v>
      </c>
      <c r="N2472" s="116">
        <v>1106.9749999999999</v>
      </c>
      <c r="O2472" s="116">
        <v>1090.25</v>
      </c>
      <c r="P2472" s="116">
        <v>1101.4749999999999</v>
      </c>
      <c r="Q2472" s="116">
        <v>2188.0500000000002</v>
      </c>
      <c r="R2472">
        <v>966166</v>
      </c>
    </row>
    <row r="2473" spans="1:18" x14ac:dyDescent="0.25">
      <c r="A2473" s="170">
        <v>45645</v>
      </c>
      <c r="B2473" s="116">
        <v>1095.25</v>
      </c>
      <c r="C2473" s="116">
        <v>1080.625</v>
      </c>
      <c r="D2473" s="116">
        <v>1074.45</v>
      </c>
      <c r="E2473" s="116">
        <v>1090.5250000000001</v>
      </c>
      <c r="F2473" s="116">
        <v>2161.25</v>
      </c>
      <c r="G2473">
        <v>93167</v>
      </c>
      <c r="H2473" s="116"/>
      <c r="I2473" s="116"/>
      <c r="L2473" s="170">
        <v>45645</v>
      </c>
      <c r="M2473" s="116">
        <v>1080.2</v>
      </c>
      <c r="N2473" s="116">
        <v>1097.125</v>
      </c>
      <c r="O2473" s="116">
        <v>1073.7</v>
      </c>
      <c r="P2473" s="116">
        <v>1092.5</v>
      </c>
      <c r="Q2473" s="116">
        <v>2160.4</v>
      </c>
      <c r="R2473">
        <v>1553990</v>
      </c>
    </row>
    <row r="2474" spans="1:18" x14ac:dyDescent="0.25">
      <c r="A2474" s="170">
        <v>45646</v>
      </c>
      <c r="B2474" s="116">
        <v>1087.7249999999999</v>
      </c>
      <c r="C2474" s="116">
        <v>1081.925</v>
      </c>
      <c r="D2474" s="116">
        <v>1073.5</v>
      </c>
      <c r="E2474" s="116">
        <v>1081</v>
      </c>
      <c r="F2474" s="116">
        <v>2163.85</v>
      </c>
      <c r="G2474">
        <v>136076</v>
      </c>
      <c r="H2474" s="116"/>
      <c r="I2474" s="116"/>
      <c r="L2474" s="170">
        <v>45646</v>
      </c>
      <c r="M2474" s="116">
        <v>1081.75</v>
      </c>
      <c r="N2474" s="116">
        <v>1087.5</v>
      </c>
      <c r="O2474" s="116">
        <v>1072.7</v>
      </c>
      <c r="P2474" s="116">
        <v>1080</v>
      </c>
      <c r="Q2474" s="116">
        <v>2163.5</v>
      </c>
      <c r="R2474">
        <v>1651762</v>
      </c>
    </row>
    <row r="2475" spans="1:18" x14ac:dyDescent="0.25">
      <c r="A2475" s="170">
        <v>45649</v>
      </c>
      <c r="B2475" s="116">
        <v>1090</v>
      </c>
      <c r="C2475" s="116">
        <v>1075.925</v>
      </c>
      <c r="D2475" s="116">
        <v>1073.2249999999999</v>
      </c>
      <c r="E2475" s="116">
        <v>1088.4749999999999</v>
      </c>
      <c r="F2475" s="116">
        <v>2151.85</v>
      </c>
      <c r="G2475">
        <v>45553</v>
      </c>
      <c r="H2475" s="116"/>
      <c r="I2475" s="116"/>
      <c r="L2475" s="170">
        <v>45649</v>
      </c>
      <c r="M2475" s="116">
        <v>1075.8</v>
      </c>
      <c r="N2475" s="116">
        <v>1090</v>
      </c>
      <c r="O2475" s="116">
        <v>1073.8499999999999</v>
      </c>
      <c r="P2475" s="116">
        <v>1085</v>
      </c>
      <c r="Q2475" s="116">
        <v>2151.6</v>
      </c>
      <c r="R2475">
        <v>438717</v>
      </c>
    </row>
    <row r="2476" spans="1:18" x14ac:dyDescent="0.25">
      <c r="A2476" s="170">
        <v>45650</v>
      </c>
      <c r="B2476" s="116">
        <v>1087.5</v>
      </c>
      <c r="C2476" s="116">
        <v>1083.4000000000001</v>
      </c>
      <c r="D2476" s="116">
        <v>1075.75</v>
      </c>
      <c r="E2476" s="116">
        <v>1078.9749999999999</v>
      </c>
      <c r="F2476" s="116">
        <v>2166.8000000000002</v>
      </c>
      <c r="G2476">
        <v>26754</v>
      </c>
      <c r="H2476" s="116"/>
      <c r="I2476" s="116"/>
      <c r="L2476" s="170">
        <v>45650</v>
      </c>
      <c r="M2476" s="116">
        <v>1083.3499999999999</v>
      </c>
      <c r="N2476" s="116">
        <v>1087.5</v>
      </c>
      <c r="O2476" s="116">
        <v>1075.8499999999999</v>
      </c>
      <c r="P2476" s="116">
        <v>1075.8499999999999</v>
      </c>
      <c r="Q2476" s="116">
        <v>2166.6999999999998</v>
      </c>
      <c r="R2476">
        <v>322566</v>
      </c>
    </row>
    <row r="2477" spans="1:18" x14ac:dyDescent="0.25">
      <c r="A2477" s="170">
        <v>45652</v>
      </c>
      <c r="B2477" s="116">
        <v>1087.5</v>
      </c>
      <c r="C2477" s="116">
        <v>1075.25</v>
      </c>
      <c r="D2477" s="116">
        <v>1073.5999999999999</v>
      </c>
      <c r="E2477" s="116">
        <v>1082.5</v>
      </c>
      <c r="F2477" s="116">
        <v>2150.5</v>
      </c>
      <c r="G2477">
        <v>83049</v>
      </c>
      <c r="H2477" s="116"/>
      <c r="I2477" s="116"/>
      <c r="L2477" s="170">
        <v>45652</v>
      </c>
      <c r="M2477" s="116">
        <v>1074.95</v>
      </c>
      <c r="N2477" s="116">
        <v>1088</v>
      </c>
      <c r="O2477" s="116">
        <v>1073.2</v>
      </c>
      <c r="P2477" s="116">
        <v>1079.0999999999999</v>
      </c>
      <c r="Q2477" s="116">
        <v>2149.9</v>
      </c>
      <c r="R2477">
        <v>523926</v>
      </c>
    </row>
    <row r="2478" spans="1:18" x14ac:dyDescent="0.25">
      <c r="A2478" s="170">
        <v>45653</v>
      </c>
      <c r="B2478" s="116">
        <v>1084.55</v>
      </c>
      <c r="C2478" s="116">
        <v>1082.7</v>
      </c>
      <c r="D2478" s="116">
        <v>1075.575</v>
      </c>
      <c r="E2478" s="116">
        <v>1079.5</v>
      </c>
      <c r="F2478" s="116">
        <v>2165.4</v>
      </c>
      <c r="G2478">
        <v>30962</v>
      </c>
      <c r="H2478" s="116"/>
      <c r="I2478" s="116"/>
      <c r="L2478" s="170">
        <v>45653</v>
      </c>
      <c r="M2478" s="116">
        <v>1082.8</v>
      </c>
      <c r="N2478" s="116">
        <v>1084.5250000000001</v>
      </c>
      <c r="O2478" s="116">
        <v>1075.5</v>
      </c>
      <c r="P2478" s="116">
        <v>1079.5</v>
      </c>
      <c r="Q2478" s="116">
        <v>2165.6</v>
      </c>
      <c r="R2478">
        <v>462667</v>
      </c>
    </row>
    <row r="2479" spans="1:18" x14ac:dyDescent="0.25">
      <c r="A2479" s="170">
        <v>45656</v>
      </c>
      <c r="B2479" s="116">
        <v>1089.95</v>
      </c>
      <c r="C2479" s="116">
        <v>1080.925</v>
      </c>
      <c r="D2479" s="116">
        <v>1075.1500000000001</v>
      </c>
      <c r="E2479" s="116">
        <v>1083.5</v>
      </c>
      <c r="F2479" s="116">
        <v>2161.85</v>
      </c>
      <c r="G2479">
        <v>64045</v>
      </c>
      <c r="H2479" s="116"/>
      <c r="I2479" s="116"/>
      <c r="L2479" s="170">
        <v>45656</v>
      </c>
      <c r="M2479" s="116">
        <v>1079.95</v>
      </c>
      <c r="N2479" s="116">
        <v>1088.5</v>
      </c>
      <c r="O2479" s="116">
        <v>1074.5</v>
      </c>
      <c r="P2479" s="116">
        <v>1087</v>
      </c>
      <c r="Q2479" s="116">
        <v>2159.9</v>
      </c>
      <c r="R2479">
        <v>1235490</v>
      </c>
    </row>
    <row r="2480" spans="1:18" x14ac:dyDescent="0.25">
      <c r="A2480" s="170">
        <v>45657</v>
      </c>
      <c r="B2480" s="116">
        <v>1086.5250000000001</v>
      </c>
      <c r="C2480" s="116">
        <v>1085.125</v>
      </c>
      <c r="D2480" s="116">
        <v>1074.5</v>
      </c>
      <c r="E2480" s="116">
        <v>1081.6500000000001</v>
      </c>
      <c r="F2480" s="116">
        <v>2170.25</v>
      </c>
      <c r="G2480">
        <v>18053</v>
      </c>
      <c r="H2480" s="116"/>
      <c r="I2480" s="116"/>
      <c r="L2480" s="170">
        <v>45657</v>
      </c>
      <c r="M2480" s="116">
        <v>1085.0250000000001</v>
      </c>
      <c r="N2480" s="116">
        <v>1087.2750000000001</v>
      </c>
      <c r="O2480" s="116">
        <v>1073.875</v>
      </c>
      <c r="P2480" s="116">
        <v>1077.5</v>
      </c>
      <c r="Q2480" s="116">
        <v>2170.0500000000002</v>
      </c>
      <c r="R2480">
        <v>635557</v>
      </c>
    </row>
    <row r="2481" spans="1:18" x14ac:dyDescent="0.25">
      <c r="A2481" s="170">
        <v>45658</v>
      </c>
      <c r="B2481" s="116">
        <v>1089</v>
      </c>
      <c r="C2481" s="116">
        <v>1084.7750000000001</v>
      </c>
      <c r="D2481" s="116">
        <v>1079</v>
      </c>
      <c r="E2481" s="116">
        <v>1085.125</v>
      </c>
      <c r="F2481" s="116">
        <v>2169.5500000000002</v>
      </c>
      <c r="G2481">
        <v>18817</v>
      </c>
      <c r="H2481" s="116"/>
      <c r="I2481" s="116"/>
      <c r="L2481" s="170">
        <v>45658</v>
      </c>
      <c r="M2481" s="116">
        <v>1084.625</v>
      </c>
      <c r="N2481" s="116">
        <v>1089.625</v>
      </c>
      <c r="O2481" s="116">
        <v>1078.6500000000001</v>
      </c>
      <c r="P2481" s="116">
        <v>1085</v>
      </c>
      <c r="Q2481" s="116">
        <v>2169.25</v>
      </c>
      <c r="R2481">
        <v>454290</v>
      </c>
    </row>
    <row r="2482" spans="1:18" x14ac:dyDescent="0.25">
      <c r="A2482" s="170">
        <v>45659</v>
      </c>
      <c r="B2482" s="116">
        <v>1103.5</v>
      </c>
      <c r="C2482" s="116">
        <v>1100.075</v>
      </c>
      <c r="D2482" s="116">
        <v>1082</v>
      </c>
      <c r="E2482" s="116">
        <v>1084.7750000000001</v>
      </c>
      <c r="F2482" s="116">
        <v>2200.15</v>
      </c>
      <c r="G2482">
        <v>27544</v>
      </c>
      <c r="H2482" s="116"/>
      <c r="I2482" s="116"/>
      <c r="L2482" s="170">
        <v>45659</v>
      </c>
      <c r="M2482" s="116">
        <v>1100.0999999999999</v>
      </c>
      <c r="N2482" s="116">
        <v>1103.875</v>
      </c>
      <c r="O2482" s="116">
        <v>1081.575</v>
      </c>
      <c r="P2482" s="116">
        <v>1084.5</v>
      </c>
      <c r="Q2482" s="116">
        <v>2200.1999999999998</v>
      </c>
      <c r="R2482">
        <v>629164</v>
      </c>
    </row>
    <row r="2483" spans="1:18" x14ac:dyDescent="0.25">
      <c r="A2483" s="170">
        <v>45660</v>
      </c>
      <c r="B2483" s="116">
        <v>1119.25</v>
      </c>
      <c r="C2483" s="116">
        <v>1116.2750000000001</v>
      </c>
      <c r="D2483" s="116">
        <v>1099.75</v>
      </c>
      <c r="E2483" s="116">
        <v>1102.9000000000001</v>
      </c>
      <c r="F2483" s="116">
        <v>2232.5500000000002</v>
      </c>
      <c r="G2483">
        <v>36936</v>
      </c>
      <c r="H2483" s="116"/>
      <c r="I2483" s="116"/>
      <c r="L2483" s="170">
        <v>45660</v>
      </c>
      <c r="M2483" s="116">
        <v>1116.3499999999999</v>
      </c>
      <c r="N2483" s="116">
        <v>1118.9749999999999</v>
      </c>
      <c r="O2483" s="116">
        <v>1099.0250000000001</v>
      </c>
      <c r="P2483" s="116">
        <v>1100.0999999999999</v>
      </c>
      <c r="Q2483" s="116">
        <v>2232.6999999999998</v>
      </c>
      <c r="R2483">
        <v>1011450</v>
      </c>
    </row>
    <row r="2484" spans="1:18" x14ac:dyDescent="0.25">
      <c r="A2484" s="170">
        <v>45663</v>
      </c>
      <c r="B2484" s="116">
        <v>1138.5999999999999</v>
      </c>
      <c r="C2484" s="116">
        <v>1092.4749999999999</v>
      </c>
      <c r="D2484" s="116">
        <v>1084.825</v>
      </c>
      <c r="E2484" s="116">
        <v>1138.5999999999999</v>
      </c>
      <c r="F2484" s="116">
        <v>2184.9499999999998</v>
      </c>
      <c r="G2484">
        <v>26408</v>
      </c>
      <c r="H2484" s="116"/>
      <c r="I2484" s="116"/>
      <c r="L2484" s="170">
        <v>45663</v>
      </c>
      <c r="M2484" s="116">
        <v>1092.5</v>
      </c>
      <c r="N2484" s="116">
        <v>1122.45</v>
      </c>
      <c r="O2484" s="116">
        <v>1085</v>
      </c>
      <c r="P2484" s="116">
        <v>1121.75</v>
      </c>
      <c r="Q2484" s="116">
        <v>2185</v>
      </c>
      <c r="R2484">
        <v>1138466</v>
      </c>
    </row>
    <row r="2485" spans="1:18" x14ac:dyDescent="0.25">
      <c r="A2485" s="170">
        <v>45664</v>
      </c>
      <c r="B2485" s="116">
        <v>1108.3</v>
      </c>
      <c r="C2485" s="116">
        <v>1107.125</v>
      </c>
      <c r="D2485" s="116">
        <v>1091</v>
      </c>
      <c r="E2485" s="116">
        <v>1095</v>
      </c>
      <c r="F2485" s="116">
        <v>2214.25</v>
      </c>
      <c r="G2485">
        <v>40261</v>
      </c>
      <c r="H2485" s="116"/>
      <c r="I2485" s="116"/>
      <c r="L2485" s="170">
        <v>45664</v>
      </c>
      <c r="M2485" s="116">
        <v>1106.325</v>
      </c>
      <c r="N2485" s="116">
        <v>1108.1500000000001</v>
      </c>
      <c r="O2485" s="116">
        <v>1089.95</v>
      </c>
      <c r="P2485" s="116">
        <v>1095.0999999999999</v>
      </c>
      <c r="Q2485" s="116">
        <v>2212.65</v>
      </c>
      <c r="R2485">
        <v>595819</v>
      </c>
    </row>
    <row r="2486" spans="1:18" x14ac:dyDescent="0.25">
      <c r="A2486" s="170">
        <v>45665</v>
      </c>
      <c r="B2486" s="116">
        <v>1114.95</v>
      </c>
      <c r="C2486" s="116">
        <v>1109.575</v>
      </c>
      <c r="D2486" s="116">
        <v>1097</v>
      </c>
      <c r="E2486" s="116">
        <v>1114.95</v>
      </c>
      <c r="F2486" s="116">
        <v>2219.15</v>
      </c>
      <c r="G2486">
        <v>37998</v>
      </c>
      <c r="H2486" s="116"/>
      <c r="I2486" s="116"/>
      <c r="L2486" s="170">
        <v>45665</v>
      </c>
      <c r="M2486" s="116">
        <v>1109.95</v>
      </c>
      <c r="N2486" s="116">
        <v>1112.4749999999999</v>
      </c>
      <c r="O2486" s="116">
        <v>1097.2750000000001</v>
      </c>
      <c r="P2486" s="116">
        <v>1111.5</v>
      </c>
      <c r="Q2486" s="116">
        <v>2219.9</v>
      </c>
      <c r="R2486">
        <v>449500</v>
      </c>
    </row>
    <row r="2487" spans="1:18" x14ac:dyDescent="0.25">
      <c r="A2487" s="170">
        <v>45666</v>
      </c>
      <c r="B2487" s="116">
        <v>1135.5</v>
      </c>
      <c r="C2487" s="116">
        <v>1128.3</v>
      </c>
      <c r="D2487" s="116">
        <v>1103.05</v>
      </c>
      <c r="E2487" s="116">
        <v>1108.5</v>
      </c>
      <c r="F2487" s="116">
        <v>2256.6</v>
      </c>
      <c r="G2487">
        <v>29930</v>
      </c>
      <c r="H2487" s="116"/>
      <c r="I2487" s="116"/>
      <c r="L2487" s="170">
        <v>45666</v>
      </c>
      <c r="M2487" s="116">
        <v>1128.0250000000001</v>
      </c>
      <c r="N2487" s="116">
        <v>1135.9000000000001</v>
      </c>
      <c r="O2487" s="116">
        <v>1102.0250000000001</v>
      </c>
      <c r="P2487" s="116">
        <v>1107.7249999999999</v>
      </c>
      <c r="Q2487" s="116">
        <v>2256.0500000000002</v>
      </c>
      <c r="R2487">
        <v>1147318</v>
      </c>
    </row>
    <row r="2488" spans="1:18" x14ac:dyDescent="0.25">
      <c r="A2488" s="170">
        <v>45667</v>
      </c>
      <c r="B2488" s="116">
        <v>1139.425</v>
      </c>
      <c r="C2488" s="116">
        <v>1122.95</v>
      </c>
      <c r="D2488" s="116">
        <v>1121</v>
      </c>
      <c r="E2488" s="116">
        <v>1134.5</v>
      </c>
      <c r="F2488" s="116">
        <v>2245.9</v>
      </c>
      <c r="G2488">
        <v>45165</v>
      </c>
      <c r="H2488" s="116"/>
      <c r="I2488" s="116"/>
      <c r="L2488" s="170">
        <v>45667</v>
      </c>
      <c r="M2488" s="116">
        <v>1123.95</v>
      </c>
      <c r="N2488" s="116">
        <v>1139</v>
      </c>
      <c r="O2488" s="116">
        <v>1120.625</v>
      </c>
      <c r="P2488" s="116">
        <v>1136.0250000000001</v>
      </c>
      <c r="Q2488" s="116">
        <v>2247.9</v>
      </c>
      <c r="R2488">
        <v>809854</v>
      </c>
    </row>
    <row r="2489" spans="1:18" x14ac:dyDescent="0.25">
      <c r="A2489" s="170">
        <v>45670</v>
      </c>
      <c r="B2489" s="116">
        <v>1130.7750000000001</v>
      </c>
      <c r="C2489" s="116">
        <v>1118.95</v>
      </c>
      <c r="D2489" s="116">
        <v>1111</v>
      </c>
      <c r="E2489" s="116">
        <v>1123.675</v>
      </c>
      <c r="F2489" s="116">
        <v>2237.9</v>
      </c>
      <c r="G2489">
        <v>19673</v>
      </c>
      <c r="H2489" s="116"/>
      <c r="I2489" s="116"/>
      <c r="L2489" s="170">
        <v>45670</v>
      </c>
      <c r="M2489" s="116">
        <v>1118.675</v>
      </c>
      <c r="N2489" s="116">
        <v>1130.575</v>
      </c>
      <c r="O2489" s="116">
        <v>1110.7750000000001</v>
      </c>
      <c r="P2489" s="116">
        <v>1122.5</v>
      </c>
      <c r="Q2489" s="116">
        <v>2237.35</v>
      </c>
      <c r="R2489">
        <v>804531</v>
      </c>
    </row>
    <row r="2490" spans="1:18" x14ac:dyDescent="0.25">
      <c r="A2490" s="170">
        <v>45671</v>
      </c>
      <c r="B2490" s="116">
        <v>1129.5</v>
      </c>
      <c r="C2490" s="116">
        <v>1109.4749999999999</v>
      </c>
      <c r="D2490" s="116">
        <v>1100</v>
      </c>
      <c r="E2490" s="116">
        <v>1120</v>
      </c>
      <c r="F2490" s="116">
        <v>2218.9499999999998</v>
      </c>
      <c r="G2490">
        <v>51228</v>
      </c>
      <c r="H2490" s="116"/>
      <c r="I2490" s="116"/>
      <c r="L2490" s="170">
        <v>45671</v>
      </c>
      <c r="M2490" s="116">
        <v>1109.5250000000001</v>
      </c>
      <c r="N2490" s="116">
        <v>1128.3</v>
      </c>
      <c r="O2490" s="116">
        <v>1099.625</v>
      </c>
      <c r="P2490" s="116">
        <v>1125.5999999999999</v>
      </c>
      <c r="Q2490" s="116">
        <v>2219.0500000000002</v>
      </c>
      <c r="R2490">
        <v>702549</v>
      </c>
    </row>
    <row r="2491" spans="1:18" x14ac:dyDescent="0.25">
      <c r="A2491" s="170">
        <v>45672</v>
      </c>
      <c r="B2491" s="116">
        <v>1114.9749999999999</v>
      </c>
      <c r="C2491" s="116">
        <v>1100.2750000000001</v>
      </c>
      <c r="D2491" s="116">
        <v>1086</v>
      </c>
      <c r="E2491" s="116">
        <v>1114.9749999999999</v>
      </c>
      <c r="F2491" s="116">
        <v>2200.5500000000002</v>
      </c>
      <c r="G2491">
        <v>36654</v>
      </c>
      <c r="H2491" s="116"/>
      <c r="I2491" s="116"/>
      <c r="L2491" s="170">
        <v>45672</v>
      </c>
      <c r="M2491" s="116">
        <v>1099.825</v>
      </c>
      <c r="N2491" s="116">
        <v>1110.05</v>
      </c>
      <c r="O2491" s="116">
        <v>1086.0999999999999</v>
      </c>
      <c r="P2491" s="116">
        <v>1109.5250000000001</v>
      </c>
      <c r="Q2491" s="116">
        <v>2199.65</v>
      </c>
      <c r="R2491">
        <v>723625</v>
      </c>
    </row>
    <row r="2492" spans="1:18" x14ac:dyDescent="0.25">
      <c r="A2492" s="170">
        <v>45673</v>
      </c>
      <c r="B2492" s="116">
        <v>1114.7750000000001</v>
      </c>
      <c r="C2492" s="116">
        <v>1085.0999999999999</v>
      </c>
      <c r="D2492" s="116">
        <v>1078.3499999999999</v>
      </c>
      <c r="E2492" s="116">
        <v>1114.7750000000001</v>
      </c>
      <c r="F2492" s="116">
        <v>2170.1999999999998</v>
      </c>
      <c r="G2492">
        <v>139685</v>
      </c>
      <c r="H2492" s="116"/>
      <c r="I2492" s="116"/>
      <c r="L2492" s="170">
        <v>45673</v>
      </c>
      <c r="M2492" s="116">
        <v>1084.6500000000001</v>
      </c>
      <c r="N2492" s="116">
        <v>1109.125</v>
      </c>
      <c r="O2492" s="116">
        <v>1078.25</v>
      </c>
      <c r="P2492" s="116">
        <v>1102.55</v>
      </c>
      <c r="Q2492" s="116">
        <v>2169.3000000000002</v>
      </c>
      <c r="R2492">
        <v>1325809</v>
      </c>
    </row>
    <row r="2493" spans="1:18" x14ac:dyDescent="0.25">
      <c r="A2493" s="170">
        <v>45674</v>
      </c>
      <c r="B2493" s="116">
        <v>1113.2</v>
      </c>
      <c r="C2493" s="116">
        <v>1109.6500000000001</v>
      </c>
      <c r="D2493" s="116">
        <v>1085.5999999999999</v>
      </c>
      <c r="E2493" s="116">
        <v>1092.3499999999999</v>
      </c>
      <c r="F2493" s="116">
        <v>2219.3000000000002</v>
      </c>
      <c r="G2493">
        <v>53890</v>
      </c>
      <c r="H2493" s="116"/>
      <c r="I2493" s="116"/>
      <c r="L2493" s="170">
        <v>45674</v>
      </c>
      <c r="M2493" s="116">
        <v>1108.5999999999999</v>
      </c>
      <c r="N2493" s="116">
        <v>1113.175</v>
      </c>
      <c r="O2493" s="116">
        <v>1086.2750000000001</v>
      </c>
      <c r="P2493" s="116">
        <v>1090.325</v>
      </c>
      <c r="Q2493" s="116">
        <v>2217.1999999999998</v>
      </c>
      <c r="R2493">
        <v>455901</v>
      </c>
    </row>
    <row r="2494" spans="1:18" x14ac:dyDescent="0.25">
      <c r="A2494" s="170">
        <v>45677</v>
      </c>
      <c r="B2494" s="116">
        <v>1112.925</v>
      </c>
      <c r="C2494" s="116">
        <v>1106.3</v>
      </c>
      <c r="D2494" s="116">
        <v>1101.0250000000001</v>
      </c>
      <c r="E2494" s="116">
        <v>1109.6500000000001</v>
      </c>
      <c r="F2494" s="116">
        <v>2212.6</v>
      </c>
      <c r="G2494">
        <v>15818</v>
      </c>
      <c r="H2494" s="116"/>
      <c r="I2494" s="116"/>
      <c r="L2494" s="170">
        <v>45677</v>
      </c>
      <c r="M2494" s="116">
        <v>1107</v>
      </c>
      <c r="N2494" s="116">
        <v>1112.5</v>
      </c>
      <c r="O2494" s="116">
        <v>1101.175</v>
      </c>
      <c r="P2494" s="116">
        <v>1109.5999999999999</v>
      </c>
      <c r="Q2494" s="116">
        <v>2214</v>
      </c>
      <c r="R2494">
        <v>401108</v>
      </c>
    </row>
    <row r="2495" spans="1:18" x14ac:dyDescent="0.25">
      <c r="A2495" s="170">
        <v>45678</v>
      </c>
      <c r="B2495" s="116">
        <v>1120.925</v>
      </c>
      <c r="C2495" s="116">
        <v>1097.95</v>
      </c>
      <c r="D2495" s="116">
        <v>1095.5999999999999</v>
      </c>
      <c r="E2495" s="116">
        <v>1111.8</v>
      </c>
      <c r="F2495" s="116">
        <v>2195.9</v>
      </c>
      <c r="G2495">
        <v>94764</v>
      </c>
      <c r="H2495" s="116"/>
      <c r="I2495" s="116"/>
      <c r="L2495" s="170">
        <v>45678</v>
      </c>
      <c r="M2495" s="116">
        <v>1098.2249999999999</v>
      </c>
      <c r="N2495" s="116">
        <v>1120</v>
      </c>
      <c r="O2495" s="116">
        <v>1095.7750000000001</v>
      </c>
      <c r="P2495" s="116">
        <v>1112.5</v>
      </c>
      <c r="Q2495" s="116">
        <v>2196.4499999999998</v>
      </c>
      <c r="R2495">
        <v>764414</v>
      </c>
    </row>
    <row r="2496" spans="1:18" x14ac:dyDescent="0.25">
      <c r="A2496" s="170">
        <v>45679</v>
      </c>
      <c r="B2496" s="116">
        <v>1106.1500000000001</v>
      </c>
      <c r="C2496" s="116">
        <v>1103.9000000000001</v>
      </c>
      <c r="D2496" s="116">
        <v>1097.125</v>
      </c>
      <c r="E2496" s="116">
        <v>1100.425</v>
      </c>
      <c r="F2496" s="116">
        <v>2207.8000000000002</v>
      </c>
      <c r="G2496">
        <v>8855</v>
      </c>
      <c r="H2496" s="116"/>
      <c r="I2496" s="116"/>
      <c r="L2496" s="170">
        <v>45679</v>
      </c>
      <c r="M2496" s="116">
        <v>1103.9000000000001</v>
      </c>
      <c r="N2496" s="116">
        <v>1106.4749999999999</v>
      </c>
      <c r="O2496" s="116">
        <v>1097.075</v>
      </c>
      <c r="P2496" s="116">
        <v>1098.2249999999999</v>
      </c>
      <c r="Q2496" s="116">
        <v>2207.8000000000002</v>
      </c>
      <c r="R2496">
        <v>448036</v>
      </c>
    </row>
    <row r="2497" spans="1:18" x14ac:dyDescent="0.25">
      <c r="A2497" s="170">
        <v>45680</v>
      </c>
      <c r="B2497" s="116">
        <v>1104.925</v>
      </c>
      <c r="C2497" s="116">
        <v>1097.8</v>
      </c>
      <c r="D2497" s="116">
        <v>1083.825</v>
      </c>
      <c r="E2497" s="116">
        <v>1104.925</v>
      </c>
      <c r="F2497" s="116">
        <v>2195.6</v>
      </c>
      <c r="G2497">
        <v>26663</v>
      </c>
      <c r="H2497" s="116"/>
      <c r="I2497" s="116"/>
      <c r="L2497" s="170">
        <v>45680</v>
      </c>
      <c r="M2497" s="116">
        <v>1099.4749999999999</v>
      </c>
      <c r="N2497" s="116">
        <v>1104.8</v>
      </c>
      <c r="O2497" s="116">
        <v>1082.5</v>
      </c>
      <c r="P2497" s="116">
        <v>1097.075</v>
      </c>
      <c r="Q2497" s="116">
        <v>2198.9499999999998</v>
      </c>
      <c r="R2497">
        <v>496007</v>
      </c>
    </row>
    <row r="2498" spans="1:18" x14ac:dyDescent="0.25">
      <c r="A2498" s="170">
        <v>45681</v>
      </c>
      <c r="B2498" s="116">
        <v>1111.25</v>
      </c>
      <c r="C2498" s="116">
        <v>1104.675</v>
      </c>
      <c r="D2498" s="116">
        <v>1095.2750000000001</v>
      </c>
      <c r="E2498" s="116">
        <v>1104.175</v>
      </c>
      <c r="F2498" s="116">
        <v>2209.35</v>
      </c>
      <c r="G2498">
        <v>6494</v>
      </c>
      <c r="H2498" s="116"/>
      <c r="I2498" s="116"/>
      <c r="L2498" s="170">
        <v>45681</v>
      </c>
      <c r="M2498" s="116">
        <v>1103.95</v>
      </c>
      <c r="N2498" s="116">
        <v>1111.375</v>
      </c>
      <c r="O2498" s="116">
        <v>1095.05</v>
      </c>
      <c r="P2498" s="116">
        <v>1101</v>
      </c>
      <c r="Q2498" s="116">
        <v>2207.9</v>
      </c>
      <c r="R2498">
        <v>663600</v>
      </c>
    </row>
    <row r="2499" spans="1:18" x14ac:dyDescent="0.25">
      <c r="A2499" s="170">
        <v>45684</v>
      </c>
      <c r="B2499" s="116">
        <v>1115.7</v>
      </c>
      <c r="C2499" s="116">
        <v>1087.425</v>
      </c>
      <c r="D2499" s="116">
        <v>1084.3499999999999</v>
      </c>
      <c r="E2499" s="116">
        <v>1094.5</v>
      </c>
      <c r="F2499" s="116">
        <v>2174.85</v>
      </c>
      <c r="G2499">
        <v>31944</v>
      </c>
      <c r="H2499" s="116"/>
      <c r="I2499" s="116"/>
      <c r="L2499" s="170">
        <v>45684</v>
      </c>
      <c r="M2499" s="116">
        <v>1087.375</v>
      </c>
      <c r="N2499" s="116">
        <v>1115.95</v>
      </c>
      <c r="O2499" s="116">
        <v>1084.3</v>
      </c>
      <c r="P2499" s="116">
        <v>1091.0250000000001</v>
      </c>
      <c r="Q2499" s="116">
        <v>2174.75</v>
      </c>
      <c r="R2499">
        <v>549986</v>
      </c>
    </row>
    <row r="2500" spans="1:18" x14ac:dyDescent="0.25">
      <c r="A2500" s="170">
        <v>45685</v>
      </c>
      <c r="B2500" s="116">
        <v>1091.825</v>
      </c>
      <c r="C2500" s="116">
        <v>1078.0250000000001</v>
      </c>
      <c r="D2500" s="116">
        <v>1071.45</v>
      </c>
      <c r="E2500" s="116">
        <v>1087.425</v>
      </c>
      <c r="F2500" s="116">
        <v>2156.0500000000002</v>
      </c>
      <c r="G2500">
        <v>88024</v>
      </c>
      <c r="H2500" s="116"/>
      <c r="I2500" s="116"/>
      <c r="L2500" s="170">
        <v>45685</v>
      </c>
      <c r="M2500" s="116">
        <v>1078.1500000000001</v>
      </c>
      <c r="N2500" s="116">
        <v>1090.925</v>
      </c>
      <c r="O2500" s="116">
        <v>1071.3</v>
      </c>
      <c r="P2500" s="116">
        <v>1087.375</v>
      </c>
      <c r="Q2500" s="116">
        <v>2156.3000000000002</v>
      </c>
      <c r="R2500">
        <v>721033</v>
      </c>
    </row>
    <row r="2501" spans="1:18" x14ac:dyDescent="0.25">
      <c r="A2501" s="170">
        <v>45686</v>
      </c>
      <c r="B2501" s="116">
        <v>1092.2750000000001</v>
      </c>
      <c r="C2501" s="116">
        <v>1090.55</v>
      </c>
      <c r="D2501" s="116">
        <v>1065.75</v>
      </c>
      <c r="E2501" s="116">
        <v>1080</v>
      </c>
      <c r="F2501" s="116">
        <v>2181.1</v>
      </c>
      <c r="G2501">
        <v>15609</v>
      </c>
      <c r="H2501" s="116"/>
      <c r="I2501" s="116"/>
      <c r="L2501" s="170">
        <v>45686</v>
      </c>
      <c r="M2501" s="116">
        <v>1090.3499999999999</v>
      </c>
      <c r="N2501" s="116">
        <v>1092.45</v>
      </c>
      <c r="O2501" s="116">
        <v>1065.625</v>
      </c>
      <c r="P2501" s="116">
        <v>1078.1500000000001</v>
      </c>
      <c r="Q2501" s="116">
        <v>2180.6999999999998</v>
      </c>
      <c r="R2501">
        <v>397145</v>
      </c>
    </row>
    <row r="2502" spans="1:18" x14ac:dyDescent="0.25">
      <c r="A2502" s="170">
        <v>45687</v>
      </c>
      <c r="B2502" s="116">
        <v>1115</v>
      </c>
      <c r="C2502" s="116">
        <v>1109.375</v>
      </c>
      <c r="D2502" s="116">
        <v>1090</v>
      </c>
      <c r="E2502" s="116">
        <v>1097.9749999999999</v>
      </c>
      <c r="F2502" s="116">
        <v>2218.75</v>
      </c>
      <c r="G2502">
        <v>38486</v>
      </c>
      <c r="H2502" s="116"/>
      <c r="I2502" s="116"/>
      <c r="L2502" s="170">
        <v>45687</v>
      </c>
      <c r="M2502" s="116">
        <v>1108.675</v>
      </c>
      <c r="N2502" s="116">
        <v>1116.3499999999999</v>
      </c>
      <c r="O2502" s="116">
        <v>1090.3499999999999</v>
      </c>
      <c r="P2502" s="116">
        <v>1094.5</v>
      </c>
      <c r="Q2502" s="116">
        <v>2217.35</v>
      </c>
      <c r="R2502">
        <v>574560</v>
      </c>
    </row>
    <row r="2503" spans="1:18" x14ac:dyDescent="0.25">
      <c r="A2503" s="170">
        <v>45688</v>
      </c>
      <c r="B2503" s="116">
        <v>1193.7249999999999</v>
      </c>
      <c r="C2503" s="116">
        <v>1156.5250000000001</v>
      </c>
      <c r="D2503" s="116">
        <v>1106.95</v>
      </c>
      <c r="E2503" s="116">
        <v>1113.75</v>
      </c>
      <c r="F2503" s="116">
        <v>2313.0500000000002</v>
      </c>
      <c r="G2503">
        <v>173810</v>
      </c>
      <c r="H2503" s="116"/>
      <c r="I2503" s="116"/>
      <c r="L2503" s="170">
        <v>45688</v>
      </c>
      <c r="M2503" s="116">
        <v>1156.5999999999999</v>
      </c>
      <c r="N2503" s="116">
        <v>1193.5</v>
      </c>
      <c r="O2503" s="116">
        <v>1104.75</v>
      </c>
      <c r="P2503" s="116">
        <v>1108.675</v>
      </c>
      <c r="Q2503" s="116">
        <v>2313.1999999999998</v>
      </c>
      <c r="R2503">
        <v>3139887</v>
      </c>
    </row>
    <row r="2504" spans="1:18" x14ac:dyDescent="0.25">
      <c r="A2504" s="170">
        <v>45689</v>
      </c>
      <c r="B2504" s="116">
        <v>1186.9749999999999</v>
      </c>
      <c r="C2504" s="116">
        <v>1163.675</v>
      </c>
      <c r="D2504" s="116">
        <v>1129.5</v>
      </c>
      <c r="E2504" s="116">
        <v>1158.925</v>
      </c>
      <c r="F2504" s="116">
        <v>2327.35</v>
      </c>
      <c r="G2504">
        <v>38079</v>
      </c>
      <c r="H2504" s="116"/>
      <c r="I2504" s="116"/>
      <c r="L2504" s="170">
        <v>45689</v>
      </c>
      <c r="M2504" s="116">
        <v>1163.5999999999999</v>
      </c>
      <c r="N2504" s="116">
        <v>1187</v>
      </c>
      <c r="O2504" s="116">
        <v>1128.625</v>
      </c>
      <c r="P2504" s="116">
        <v>1156.5</v>
      </c>
      <c r="Q2504" s="116">
        <v>2327.1999999999998</v>
      </c>
      <c r="R2504">
        <v>1246565</v>
      </c>
    </row>
    <row r="2505" spans="1:18" x14ac:dyDescent="0.25">
      <c r="A2505" s="170">
        <v>45691</v>
      </c>
      <c r="B2505" s="116">
        <v>1186.9000000000001</v>
      </c>
      <c r="C2505" s="116">
        <v>1158.45</v>
      </c>
      <c r="D2505" s="116">
        <v>1156.1500000000001</v>
      </c>
      <c r="E2505" s="116">
        <v>1164.9000000000001</v>
      </c>
      <c r="F2505" s="116">
        <v>2316.9</v>
      </c>
      <c r="G2505">
        <v>58322</v>
      </c>
      <c r="H2505" s="116"/>
      <c r="I2505" s="116"/>
      <c r="L2505" s="170">
        <v>45691</v>
      </c>
      <c r="M2505" s="116">
        <v>1158.55</v>
      </c>
      <c r="N2505" s="116">
        <v>1187</v>
      </c>
      <c r="O2505" s="116">
        <v>1155.8499999999999</v>
      </c>
      <c r="P2505" s="116">
        <v>1163.5999999999999</v>
      </c>
      <c r="Q2505" s="116">
        <v>2317.1</v>
      </c>
      <c r="R2505">
        <v>1140871</v>
      </c>
    </row>
    <row r="2506" spans="1:18" x14ac:dyDescent="0.25">
      <c r="A2506" s="170">
        <v>45692</v>
      </c>
      <c r="B2506" s="116">
        <v>1162.175</v>
      </c>
      <c r="C2506" s="116">
        <v>1150.175</v>
      </c>
      <c r="D2506" s="116">
        <v>1141.625</v>
      </c>
      <c r="E2506" s="116">
        <v>1158.9000000000001</v>
      </c>
      <c r="F2506" s="116">
        <v>2300.35</v>
      </c>
      <c r="G2506">
        <v>30888</v>
      </c>
      <c r="H2506" s="116"/>
      <c r="I2506" s="116"/>
      <c r="L2506" s="170">
        <v>45692</v>
      </c>
      <c r="M2506" s="116">
        <v>1149.7249999999999</v>
      </c>
      <c r="N2506" s="116">
        <v>1161.4000000000001</v>
      </c>
      <c r="O2506" s="116">
        <v>1141.8499999999999</v>
      </c>
      <c r="P2506" s="116">
        <v>1161.2</v>
      </c>
      <c r="Q2506" s="116">
        <v>2299.4499999999998</v>
      </c>
      <c r="R2506">
        <v>1243517</v>
      </c>
    </row>
    <row r="2507" spans="1:18" x14ac:dyDescent="0.25">
      <c r="A2507" s="170">
        <v>45693</v>
      </c>
      <c r="B2507" s="116">
        <v>1149.075</v>
      </c>
      <c r="C2507" s="116">
        <v>1124.5250000000001</v>
      </c>
      <c r="D2507" s="116">
        <v>1112.55</v>
      </c>
      <c r="E2507" s="116">
        <v>1149.075</v>
      </c>
      <c r="F2507" s="116">
        <v>2249.0500000000002</v>
      </c>
      <c r="G2507">
        <v>61619</v>
      </c>
      <c r="H2507" s="116"/>
      <c r="I2507" s="116"/>
      <c r="L2507" s="170">
        <v>45693</v>
      </c>
      <c r="M2507" s="116">
        <v>1124.4749999999999</v>
      </c>
      <c r="N2507" s="116">
        <v>1148.95</v>
      </c>
      <c r="O2507" s="116">
        <v>1112.625</v>
      </c>
      <c r="P2507" s="116">
        <v>1141.9000000000001</v>
      </c>
      <c r="Q2507" s="116">
        <v>2248.9499999999998</v>
      </c>
      <c r="R2507">
        <v>1475295</v>
      </c>
    </row>
    <row r="2508" spans="1:18" x14ac:dyDescent="0.25">
      <c r="A2508" s="170">
        <v>45694</v>
      </c>
      <c r="B2508" s="116">
        <v>1138.9749999999999</v>
      </c>
      <c r="C2508" s="116">
        <v>1121.75</v>
      </c>
      <c r="D2508" s="116">
        <v>1113.875</v>
      </c>
      <c r="E2508" s="116">
        <v>1138.9749999999999</v>
      </c>
      <c r="F2508" s="116">
        <v>2243.5</v>
      </c>
      <c r="G2508">
        <v>158057</v>
      </c>
      <c r="H2508" s="116"/>
      <c r="I2508" s="116"/>
      <c r="L2508" s="170">
        <v>45694</v>
      </c>
      <c r="M2508" s="116">
        <v>1119.7249999999999</v>
      </c>
      <c r="N2508" s="116">
        <v>1134.5</v>
      </c>
      <c r="O2508" s="116">
        <v>1113.5</v>
      </c>
      <c r="P2508" s="116">
        <v>1134.5</v>
      </c>
      <c r="Q2508" s="116">
        <v>2239.4499999999998</v>
      </c>
      <c r="R2508">
        <v>986957</v>
      </c>
    </row>
    <row r="2509" spans="1:18" x14ac:dyDescent="0.25">
      <c r="A2509" s="170">
        <v>45695</v>
      </c>
      <c r="B2509" s="116">
        <v>1118.9749999999999</v>
      </c>
      <c r="C2509" s="116">
        <v>1112.675</v>
      </c>
      <c r="D2509" s="116">
        <v>1103.675</v>
      </c>
      <c r="E2509" s="116">
        <v>1118.9749999999999</v>
      </c>
      <c r="F2509" s="116">
        <v>2225.35</v>
      </c>
      <c r="G2509">
        <v>18643</v>
      </c>
      <c r="H2509" s="116"/>
      <c r="I2509" s="116"/>
      <c r="L2509" s="170">
        <v>45695</v>
      </c>
      <c r="M2509" s="116">
        <v>1112.55</v>
      </c>
      <c r="N2509" s="116">
        <v>1119</v>
      </c>
      <c r="O2509" s="116">
        <v>1103.7750000000001</v>
      </c>
      <c r="P2509" s="116">
        <v>1117</v>
      </c>
      <c r="Q2509" s="116">
        <v>2225.1</v>
      </c>
      <c r="R2509">
        <v>792558</v>
      </c>
    </row>
    <row r="2510" spans="1:18" x14ac:dyDescent="0.25">
      <c r="A2510" s="170">
        <v>45698</v>
      </c>
      <c r="B2510" s="116">
        <v>1125.5250000000001</v>
      </c>
      <c r="C2510" s="116">
        <v>1110.375</v>
      </c>
      <c r="D2510" s="116">
        <v>1103.75</v>
      </c>
      <c r="E2510" s="116">
        <v>1115.0250000000001</v>
      </c>
      <c r="F2510" s="116">
        <v>2220.75</v>
      </c>
      <c r="G2510">
        <v>73418</v>
      </c>
      <c r="H2510" s="116"/>
      <c r="I2510" s="116"/>
      <c r="L2510" s="170">
        <v>45698</v>
      </c>
      <c r="M2510" s="116">
        <v>1110.5250000000001</v>
      </c>
      <c r="N2510" s="116">
        <v>1126.25</v>
      </c>
      <c r="O2510" s="116">
        <v>1103.0999999999999</v>
      </c>
      <c r="P2510" s="116">
        <v>1117.5</v>
      </c>
      <c r="Q2510" s="116">
        <v>2221.0500000000002</v>
      </c>
      <c r="R2510">
        <v>760181</v>
      </c>
    </row>
    <row r="2511" spans="1:18" x14ac:dyDescent="0.25">
      <c r="A2511" s="170">
        <v>45699</v>
      </c>
      <c r="B2511" s="116">
        <v>1115.4000000000001</v>
      </c>
      <c r="C2511" s="116">
        <v>1097.325</v>
      </c>
      <c r="D2511" s="116">
        <v>1089.3</v>
      </c>
      <c r="E2511" s="116">
        <v>1110.5250000000001</v>
      </c>
      <c r="F2511" s="116">
        <v>2194.65</v>
      </c>
      <c r="G2511">
        <v>34002</v>
      </c>
      <c r="H2511" s="116"/>
      <c r="I2511" s="116"/>
      <c r="L2511" s="170">
        <v>45699</v>
      </c>
      <c r="M2511" s="116">
        <v>1097.75</v>
      </c>
      <c r="N2511" s="116">
        <v>1116.05</v>
      </c>
      <c r="O2511" s="116">
        <v>1088.9749999999999</v>
      </c>
      <c r="P2511" s="116">
        <v>1110.5250000000001</v>
      </c>
      <c r="Q2511" s="116">
        <v>2195.5</v>
      </c>
      <c r="R2511">
        <v>476837</v>
      </c>
    </row>
    <row r="2512" spans="1:18" x14ac:dyDescent="0.25">
      <c r="A2512" s="170">
        <v>45700</v>
      </c>
      <c r="B2512" s="116">
        <v>1105.0999999999999</v>
      </c>
      <c r="C2512" s="116">
        <v>1096.4749999999999</v>
      </c>
      <c r="D2512" s="116">
        <v>1085.925</v>
      </c>
      <c r="E2512" s="116">
        <v>1105</v>
      </c>
      <c r="F2512" s="116">
        <v>2192.9499999999998</v>
      </c>
      <c r="G2512">
        <v>8300</v>
      </c>
      <c r="H2512" s="116"/>
      <c r="I2512" s="116"/>
      <c r="L2512" s="170">
        <v>45700</v>
      </c>
      <c r="M2512" s="116">
        <v>1096.875</v>
      </c>
      <c r="N2512" s="116">
        <v>1107</v>
      </c>
      <c r="O2512" s="116">
        <v>1085.8499999999999</v>
      </c>
      <c r="P2512" s="116">
        <v>1107</v>
      </c>
      <c r="Q2512" s="116">
        <v>2193.75</v>
      </c>
      <c r="R2512">
        <v>503258</v>
      </c>
    </row>
    <row r="2513" spans="1:18" x14ac:dyDescent="0.25">
      <c r="A2513" s="170">
        <v>45701</v>
      </c>
      <c r="B2513" s="116">
        <v>1102.95</v>
      </c>
      <c r="C2513" s="116">
        <v>1088.7</v>
      </c>
      <c r="D2513" s="116">
        <v>1086.175</v>
      </c>
      <c r="E2513" s="116">
        <v>1096.5</v>
      </c>
      <c r="F2513" s="116">
        <v>2177.4</v>
      </c>
      <c r="G2513">
        <v>72180</v>
      </c>
      <c r="H2513" s="116"/>
      <c r="I2513" s="116"/>
      <c r="L2513" s="170">
        <v>45701</v>
      </c>
      <c r="M2513" s="116">
        <v>1088.7750000000001</v>
      </c>
      <c r="N2513" s="116">
        <v>1105.0999999999999</v>
      </c>
      <c r="O2513" s="116">
        <v>1086.325</v>
      </c>
      <c r="P2513" s="116">
        <v>1096.875</v>
      </c>
      <c r="Q2513" s="116">
        <v>2177.5500000000002</v>
      </c>
      <c r="R2513">
        <v>511147</v>
      </c>
    </row>
    <row r="2514" spans="1:18" x14ac:dyDescent="0.25">
      <c r="A2514" s="170">
        <v>45702</v>
      </c>
      <c r="B2514" s="116">
        <v>1111.5</v>
      </c>
      <c r="C2514" s="116">
        <v>1097.05</v>
      </c>
      <c r="D2514" s="116">
        <v>1085.3</v>
      </c>
      <c r="E2514" s="116">
        <v>1089</v>
      </c>
      <c r="F2514" s="116">
        <v>2194.1</v>
      </c>
      <c r="G2514">
        <v>29085</v>
      </c>
      <c r="H2514" s="116"/>
      <c r="I2514" s="116"/>
      <c r="L2514" s="170">
        <v>45702</v>
      </c>
      <c r="M2514" s="116">
        <v>1097.925</v>
      </c>
      <c r="N2514" s="116">
        <v>1112.5</v>
      </c>
      <c r="O2514" s="116">
        <v>1085.0250000000001</v>
      </c>
      <c r="P2514" s="116">
        <v>1088.7750000000001</v>
      </c>
      <c r="Q2514" s="116">
        <v>2195.85</v>
      </c>
      <c r="R2514">
        <v>960861</v>
      </c>
    </row>
    <row r="2515" spans="1:18" x14ac:dyDescent="0.25">
      <c r="A2515" s="170">
        <v>45705</v>
      </c>
      <c r="B2515" s="116">
        <v>1109.75</v>
      </c>
      <c r="C2515" s="116">
        <v>1107.7</v>
      </c>
      <c r="D2515" s="116">
        <v>1085.5</v>
      </c>
      <c r="E2515" s="116">
        <v>1104.9749999999999</v>
      </c>
      <c r="F2515" s="116">
        <v>2215.4</v>
      </c>
      <c r="G2515">
        <v>75620</v>
      </c>
      <c r="H2515" s="116"/>
      <c r="I2515" s="116"/>
      <c r="L2515" s="170">
        <v>45705</v>
      </c>
      <c r="M2515" s="116">
        <v>1108.25</v>
      </c>
      <c r="N2515" s="116">
        <v>1110</v>
      </c>
      <c r="O2515" s="116">
        <v>1085</v>
      </c>
      <c r="P2515" s="116">
        <v>1097.925</v>
      </c>
      <c r="Q2515" s="116">
        <v>2216.5</v>
      </c>
      <c r="R2515">
        <v>801515</v>
      </c>
    </row>
    <row r="2516" spans="1:18" x14ac:dyDescent="0.25">
      <c r="A2516" s="170">
        <v>45706</v>
      </c>
      <c r="B2516" s="116">
        <v>1113.75</v>
      </c>
      <c r="C2516" s="116">
        <v>1111.9749999999999</v>
      </c>
      <c r="D2516" s="116">
        <v>1100.1500000000001</v>
      </c>
      <c r="E2516" s="116">
        <v>1112.4749999999999</v>
      </c>
      <c r="F2516" s="116">
        <v>2223.9499999999998</v>
      </c>
      <c r="G2516">
        <v>18055</v>
      </c>
      <c r="H2516" s="116"/>
      <c r="I2516" s="116"/>
      <c r="L2516" s="170">
        <v>45706</v>
      </c>
      <c r="M2516" s="116">
        <v>1111.2</v>
      </c>
      <c r="N2516" s="116">
        <v>1114.75</v>
      </c>
      <c r="O2516" s="116">
        <v>1099.9749999999999</v>
      </c>
      <c r="P2516" s="116">
        <v>1108.25</v>
      </c>
      <c r="Q2516" s="116">
        <v>2222.4</v>
      </c>
      <c r="R2516">
        <v>453059</v>
      </c>
    </row>
    <row r="2517" spans="1:18" x14ac:dyDescent="0.25">
      <c r="A2517" s="170">
        <v>45707</v>
      </c>
      <c r="B2517" s="116">
        <v>1111.2</v>
      </c>
      <c r="C2517" s="116">
        <v>1101.5</v>
      </c>
      <c r="D2517" s="116">
        <v>1097.6500000000001</v>
      </c>
      <c r="E2517" s="116">
        <v>1097.6500000000001</v>
      </c>
      <c r="F2517" s="116">
        <v>2203</v>
      </c>
      <c r="G2517">
        <v>18356</v>
      </c>
      <c r="H2517" s="116"/>
      <c r="I2517" s="116"/>
      <c r="L2517" s="170">
        <v>45707</v>
      </c>
      <c r="M2517" s="116">
        <v>1102.4749999999999</v>
      </c>
      <c r="N2517" s="116">
        <v>1112</v>
      </c>
      <c r="O2517" s="116">
        <v>1098.7750000000001</v>
      </c>
      <c r="P2517" s="116">
        <v>1103</v>
      </c>
      <c r="Q2517" s="116">
        <v>2204.9499999999998</v>
      </c>
      <c r="R2517">
        <v>426479</v>
      </c>
    </row>
    <row r="2518" spans="1:18" x14ac:dyDescent="0.25">
      <c r="A2518" s="170">
        <v>45708</v>
      </c>
      <c r="B2518" s="116">
        <v>1105.625</v>
      </c>
      <c r="C2518" s="116">
        <v>1103</v>
      </c>
      <c r="D2518" s="116">
        <v>1094.8</v>
      </c>
      <c r="E2518" s="116">
        <v>1101.5</v>
      </c>
      <c r="F2518" s="116">
        <v>2206</v>
      </c>
      <c r="G2518">
        <v>55393</v>
      </c>
      <c r="H2518" s="116"/>
      <c r="I2518" s="116"/>
      <c r="L2518" s="170">
        <v>45708</v>
      </c>
      <c r="M2518" s="116">
        <v>1103.375</v>
      </c>
      <c r="N2518" s="116">
        <v>1107.4749999999999</v>
      </c>
      <c r="O2518" s="116">
        <v>1093.4000000000001</v>
      </c>
      <c r="P2518" s="116">
        <v>1102.4749999999999</v>
      </c>
      <c r="Q2518" s="116">
        <v>2206.75</v>
      </c>
      <c r="R2518">
        <v>658467</v>
      </c>
    </row>
    <row r="2519" spans="1:18" x14ac:dyDescent="0.25">
      <c r="A2519" s="170">
        <v>45709</v>
      </c>
      <c r="B2519" s="116">
        <v>1109</v>
      </c>
      <c r="C2519" s="116">
        <v>1107.5250000000001</v>
      </c>
      <c r="D2519" s="116">
        <v>1095</v>
      </c>
      <c r="E2519" s="116">
        <v>1107.5250000000001</v>
      </c>
      <c r="F2519" s="116">
        <v>2215.0500000000002</v>
      </c>
      <c r="G2519">
        <v>10298</v>
      </c>
      <c r="H2519" s="116"/>
      <c r="I2519" s="116"/>
      <c r="L2519" s="170">
        <v>45709</v>
      </c>
      <c r="M2519" s="116">
        <v>1107.4749999999999</v>
      </c>
      <c r="N2519" s="116">
        <v>1109.05</v>
      </c>
      <c r="O2519" s="116">
        <v>1094.6500000000001</v>
      </c>
      <c r="P2519" s="116">
        <v>1108.4749999999999</v>
      </c>
      <c r="Q2519" s="116">
        <v>2214.9499999999998</v>
      </c>
      <c r="R2519">
        <v>594245</v>
      </c>
    </row>
    <row r="2520" spans="1:18" x14ac:dyDescent="0.25">
      <c r="A2520" s="170">
        <v>45712</v>
      </c>
      <c r="B2520" s="116">
        <v>1118.5</v>
      </c>
      <c r="C2520" s="116">
        <v>1110.1500000000001</v>
      </c>
      <c r="D2520" s="116">
        <v>1099</v>
      </c>
      <c r="E2520" s="116">
        <v>1099.875</v>
      </c>
      <c r="F2520" s="116">
        <v>2220.3000000000002</v>
      </c>
      <c r="G2520">
        <v>24613</v>
      </c>
      <c r="H2520" s="116"/>
      <c r="I2520" s="116"/>
      <c r="L2520" s="170">
        <v>45712</v>
      </c>
      <c r="M2520" s="116">
        <v>1110.2</v>
      </c>
      <c r="N2520" s="116">
        <v>1118.925</v>
      </c>
      <c r="O2520" s="116">
        <v>1098.0250000000001</v>
      </c>
      <c r="P2520" s="116">
        <v>1099.5</v>
      </c>
      <c r="Q2520" s="116">
        <v>2220.4</v>
      </c>
      <c r="R2520">
        <v>484042</v>
      </c>
    </row>
    <row r="2521" spans="1:18" x14ac:dyDescent="0.25">
      <c r="A2521" s="170">
        <v>45713</v>
      </c>
      <c r="B2521" s="116">
        <v>1127.9749999999999</v>
      </c>
      <c r="C2521" s="116">
        <v>1125.175</v>
      </c>
      <c r="D2521" s="116">
        <v>1109.5999999999999</v>
      </c>
      <c r="E2521" s="116">
        <v>1114.925</v>
      </c>
      <c r="F2521" s="116">
        <v>2250.35</v>
      </c>
      <c r="G2521">
        <v>37296</v>
      </c>
      <c r="H2521" s="116"/>
      <c r="I2521" s="116"/>
      <c r="L2521" s="170">
        <v>45713</v>
      </c>
      <c r="M2521" s="116">
        <v>1125.2</v>
      </c>
      <c r="N2521" s="116">
        <v>1128.2</v>
      </c>
      <c r="O2521" s="116">
        <v>1106.925</v>
      </c>
      <c r="P2521" s="116">
        <v>1111.2249999999999</v>
      </c>
      <c r="Q2521" s="116">
        <v>2250.4</v>
      </c>
      <c r="R2521">
        <v>642834</v>
      </c>
    </row>
    <row r="2522" spans="1:18" x14ac:dyDescent="0.25">
      <c r="A2522" s="170">
        <v>45715</v>
      </c>
      <c r="B2522" s="116">
        <v>1140.5</v>
      </c>
      <c r="C2522" s="116">
        <v>1139.1500000000001</v>
      </c>
      <c r="D2522" s="116">
        <v>1125.325</v>
      </c>
      <c r="E2522" s="116">
        <v>1125.325</v>
      </c>
      <c r="F2522" s="116">
        <v>2278.3000000000002</v>
      </c>
      <c r="G2522">
        <v>13967</v>
      </c>
      <c r="H2522" s="116"/>
      <c r="I2522" s="116"/>
      <c r="L2522" s="170">
        <v>45715</v>
      </c>
      <c r="M2522" s="116">
        <v>1139.0999999999999</v>
      </c>
      <c r="N2522" s="116">
        <v>1140.9000000000001</v>
      </c>
      <c r="O2522" s="116">
        <v>1125</v>
      </c>
      <c r="P2522" s="116">
        <v>1130.0999999999999</v>
      </c>
      <c r="Q2522" s="116">
        <v>2278.1999999999998</v>
      </c>
      <c r="R2522">
        <v>751003</v>
      </c>
    </row>
    <row r="2523" spans="1:18" x14ac:dyDescent="0.25">
      <c r="A2523" s="170">
        <v>45716</v>
      </c>
      <c r="B2523" s="116">
        <v>1134.925</v>
      </c>
      <c r="C2523" s="116">
        <v>1094.9000000000001</v>
      </c>
      <c r="D2523" s="116">
        <v>1092.5</v>
      </c>
      <c r="E2523" s="116">
        <v>1134.925</v>
      </c>
      <c r="F2523" s="116">
        <v>2189.8000000000002</v>
      </c>
      <c r="G2523">
        <v>43174</v>
      </c>
      <c r="H2523" s="116"/>
      <c r="I2523" s="116"/>
      <c r="L2523" s="170">
        <v>45716</v>
      </c>
      <c r="M2523" s="116">
        <v>1094.825</v>
      </c>
      <c r="N2523" s="116">
        <v>1135</v>
      </c>
      <c r="O2523" s="116">
        <v>1092.5</v>
      </c>
      <c r="P2523" s="116">
        <v>1130.5</v>
      </c>
      <c r="Q2523" s="116">
        <v>2189.65</v>
      </c>
      <c r="R2523">
        <v>1843566</v>
      </c>
    </row>
    <row r="2524" spans="1:18" x14ac:dyDescent="0.25">
      <c r="A2524" s="170">
        <v>45719</v>
      </c>
      <c r="B2524" s="116">
        <v>1100.2</v>
      </c>
      <c r="C2524" s="116">
        <v>1092.9000000000001</v>
      </c>
      <c r="D2524" s="116">
        <v>1075.6500000000001</v>
      </c>
      <c r="E2524" s="116">
        <v>1094.825</v>
      </c>
      <c r="F2524" s="116">
        <v>2185.8000000000002</v>
      </c>
      <c r="G2524">
        <v>66294</v>
      </c>
      <c r="H2524" s="116"/>
      <c r="I2524" s="116"/>
      <c r="L2524" s="170">
        <v>45719</v>
      </c>
      <c r="M2524" s="116">
        <v>1092.7750000000001</v>
      </c>
      <c r="N2524" s="116">
        <v>1100</v>
      </c>
      <c r="O2524" s="116">
        <v>1075.4000000000001</v>
      </c>
      <c r="P2524" s="116">
        <v>1094.125</v>
      </c>
      <c r="Q2524" s="116">
        <v>2185.5500000000002</v>
      </c>
      <c r="R2524">
        <v>521775</v>
      </c>
    </row>
    <row r="2525" spans="1:18" x14ac:dyDescent="0.25">
      <c r="A2525" s="170">
        <v>45720</v>
      </c>
      <c r="B2525" s="116">
        <v>1084.9749999999999</v>
      </c>
      <c r="C2525" s="116">
        <v>1074.175</v>
      </c>
      <c r="D2525" s="116">
        <v>1058.925</v>
      </c>
      <c r="E2525" s="116">
        <v>1084.9749999999999</v>
      </c>
      <c r="F2525" s="116">
        <v>2148.35</v>
      </c>
      <c r="G2525">
        <v>51970</v>
      </c>
      <c r="H2525" s="116"/>
      <c r="I2525" s="116"/>
      <c r="L2525" s="170">
        <v>45720</v>
      </c>
      <c r="M2525" s="116">
        <v>1073.25</v>
      </c>
      <c r="N2525" s="116">
        <v>1082.05</v>
      </c>
      <c r="O2525" s="116">
        <v>1059</v>
      </c>
      <c r="P2525" s="116">
        <v>1080</v>
      </c>
      <c r="Q2525" s="116">
        <v>2146.5</v>
      </c>
      <c r="R2525">
        <v>1042522</v>
      </c>
    </row>
    <row r="2526" spans="1:18" x14ac:dyDescent="0.25">
      <c r="A2526" s="170">
        <v>45721</v>
      </c>
      <c r="B2526" s="116">
        <v>1104.175</v>
      </c>
      <c r="C2526" s="116">
        <v>1098.5250000000001</v>
      </c>
      <c r="D2526" s="116">
        <v>1057.5</v>
      </c>
      <c r="E2526" s="116">
        <v>1060.0250000000001</v>
      </c>
      <c r="F2526" s="116">
        <v>2197.0500000000002</v>
      </c>
      <c r="G2526">
        <v>27046</v>
      </c>
      <c r="H2526" s="116"/>
      <c r="I2526" s="116"/>
      <c r="L2526" s="170">
        <v>45721</v>
      </c>
      <c r="M2526" s="116">
        <v>1098.5</v>
      </c>
      <c r="N2526" s="116">
        <v>1104.675</v>
      </c>
      <c r="O2526" s="116">
        <v>1055</v>
      </c>
      <c r="P2526" s="116">
        <v>1055</v>
      </c>
      <c r="Q2526" s="116">
        <v>2197</v>
      </c>
      <c r="R2526">
        <v>846664</v>
      </c>
    </row>
    <row r="2527" spans="1:18" x14ac:dyDescent="0.25">
      <c r="A2527" s="170">
        <v>45722</v>
      </c>
      <c r="B2527" s="116">
        <v>1106.075</v>
      </c>
      <c r="C2527" s="116">
        <v>1100.825</v>
      </c>
      <c r="D2527" s="116">
        <v>1085.55</v>
      </c>
      <c r="E2527" s="116">
        <v>1098.5250000000001</v>
      </c>
      <c r="F2527" s="116">
        <v>2201.65</v>
      </c>
      <c r="G2527">
        <v>40889</v>
      </c>
      <c r="H2527" s="116"/>
      <c r="I2527" s="116"/>
      <c r="L2527" s="170">
        <v>45722</v>
      </c>
      <c r="M2527" s="116">
        <v>1100.5999999999999</v>
      </c>
      <c r="N2527" s="116">
        <v>1108.2</v>
      </c>
      <c r="O2527" s="116">
        <v>1085.1500000000001</v>
      </c>
      <c r="P2527" s="116">
        <v>1093.5</v>
      </c>
      <c r="Q2527" s="116">
        <v>2201.1999999999998</v>
      </c>
      <c r="R2527">
        <v>1257461</v>
      </c>
    </row>
    <row r="2528" spans="1:18" x14ac:dyDescent="0.25">
      <c r="A2528" s="170">
        <v>45723</v>
      </c>
      <c r="B2528" s="116">
        <v>1122.95</v>
      </c>
      <c r="C2528" s="116">
        <v>1118.6500000000001</v>
      </c>
      <c r="D2528" s="116">
        <v>1098</v>
      </c>
      <c r="E2528" s="116">
        <v>1107.4749999999999</v>
      </c>
      <c r="F2528" s="116">
        <v>2237.3000000000002</v>
      </c>
      <c r="G2528">
        <v>23079</v>
      </c>
      <c r="H2528" s="116"/>
      <c r="I2528" s="116"/>
      <c r="L2528" s="170">
        <v>45723</v>
      </c>
      <c r="M2528" s="116">
        <v>1119.2249999999999</v>
      </c>
      <c r="N2528" s="116">
        <v>1123</v>
      </c>
      <c r="O2528" s="116">
        <v>1095.625</v>
      </c>
      <c r="P2528" s="116">
        <v>1100.5</v>
      </c>
      <c r="Q2528" s="116">
        <v>2238.4499999999998</v>
      </c>
      <c r="R2528">
        <v>525606</v>
      </c>
    </row>
    <row r="2529" spans="1:18" x14ac:dyDescent="0.25">
      <c r="A2529" s="170">
        <v>45726</v>
      </c>
      <c r="B2529" s="116">
        <v>1137.2750000000001</v>
      </c>
      <c r="C2529" s="116">
        <v>1124</v>
      </c>
      <c r="D2529" s="116">
        <v>1083.125</v>
      </c>
      <c r="E2529" s="116">
        <v>1123.7249999999999</v>
      </c>
      <c r="F2529" s="116">
        <v>2248</v>
      </c>
      <c r="G2529">
        <v>23541</v>
      </c>
      <c r="H2529" s="116"/>
      <c r="I2529" s="116"/>
      <c r="L2529" s="170">
        <v>45726</v>
      </c>
      <c r="M2529" s="116">
        <v>1124.2</v>
      </c>
      <c r="N2529" s="116">
        <v>1137</v>
      </c>
      <c r="O2529" s="116">
        <v>1077.55</v>
      </c>
      <c r="P2529" s="116">
        <v>1119.5999999999999</v>
      </c>
      <c r="Q2529" s="116">
        <v>2248.4</v>
      </c>
      <c r="R2529">
        <v>506580</v>
      </c>
    </row>
    <row r="2530" spans="1:18" x14ac:dyDescent="0.25">
      <c r="A2530" s="170">
        <v>45727</v>
      </c>
      <c r="B2530" s="116">
        <v>1136.45</v>
      </c>
      <c r="C2530" s="116">
        <v>1125.625</v>
      </c>
      <c r="D2530" s="116">
        <v>1119.925</v>
      </c>
      <c r="E2530" s="116">
        <v>1123.5250000000001</v>
      </c>
      <c r="F2530" s="116">
        <v>2251.25</v>
      </c>
      <c r="G2530">
        <v>19092</v>
      </c>
      <c r="H2530" s="116"/>
      <c r="I2530" s="116"/>
      <c r="L2530" s="170">
        <v>45727</v>
      </c>
      <c r="M2530" s="116">
        <v>1125.7</v>
      </c>
      <c r="N2530" s="116">
        <v>1136.2249999999999</v>
      </c>
      <c r="O2530" s="116">
        <v>1116.875</v>
      </c>
      <c r="P2530" s="116">
        <v>1120.4000000000001</v>
      </c>
      <c r="Q2530" s="116">
        <v>2251.4</v>
      </c>
      <c r="R2530">
        <v>478555</v>
      </c>
    </row>
    <row r="2531" spans="1:18" x14ac:dyDescent="0.25">
      <c r="A2531" s="170">
        <v>45728</v>
      </c>
      <c r="B2531" s="116">
        <v>1128.1500000000001</v>
      </c>
      <c r="C2531" s="116">
        <v>1097.625</v>
      </c>
      <c r="D2531" s="116">
        <v>1096</v>
      </c>
      <c r="E2531" s="116">
        <v>1127.9749999999999</v>
      </c>
      <c r="F2531" s="116">
        <v>2195.25</v>
      </c>
      <c r="G2531">
        <v>9983</v>
      </c>
      <c r="H2531" s="116"/>
      <c r="I2531" s="116"/>
      <c r="L2531" s="170">
        <v>45728</v>
      </c>
      <c r="M2531" s="116">
        <v>1097.75</v>
      </c>
      <c r="N2531" s="116">
        <v>1127.05</v>
      </c>
      <c r="O2531" s="116">
        <v>1095.825</v>
      </c>
      <c r="P2531" s="116">
        <v>1124.5</v>
      </c>
      <c r="Q2531" s="116">
        <v>2195.5</v>
      </c>
      <c r="R2531">
        <v>358589</v>
      </c>
    </row>
    <row r="2532" spans="1:18" x14ac:dyDescent="0.25">
      <c r="A2532" s="170">
        <v>45729</v>
      </c>
      <c r="B2532" s="116">
        <v>1103.825</v>
      </c>
      <c r="C2532" s="116">
        <v>1095.925</v>
      </c>
      <c r="D2532" s="116">
        <v>1091.825</v>
      </c>
      <c r="E2532" s="116">
        <v>1102.5</v>
      </c>
      <c r="F2532" s="116">
        <v>2191.85</v>
      </c>
      <c r="G2532">
        <v>5226</v>
      </c>
      <c r="H2532" s="116"/>
      <c r="I2532" s="116"/>
      <c r="L2532" s="170">
        <v>45729</v>
      </c>
      <c r="M2532" s="116">
        <v>1095.9749999999999</v>
      </c>
      <c r="N2532" s="116">
        <v>1105.875</v>
      </c>
      <c r="O2532" s="116">
        <v>1092.05</v>
      </c>
      <c r="P2532" s="116">
        <v>1101.05</v>
      </c>
      <c r="Q2532" s="116">
        <v>2191.9499999999998</v>
      </c>
      <c r="R2532">
        <v>292170</v>
      </c>
    </row>
    <row r="2533" spans="1:18" x14ac:dyDescent="0.25">
      <c r="A2533" s="170">
        <v>45733</v>
      </c>
      <c r="B2533" s="116">
        <v>1102.0999999999999</v>
      </c>
      <c r="C2533" s="116">
        <v>1086.95</v>
      </c>
      <c r="D2533" s="116">
        <v>1078.5</v>
      </c>
      <c r="E2533" s="116">
        <v>1089.9749999999999</v>
      </c>
      <c r="F2533" s="116">
        <v>2173.9</v>
      </c>
      <c r="G2533">
        <v>9389</v>
      </c>
      <c r="H2533" s="116"/>
      <c r="I2533" s="116"/>
      <c r="L2533" s="170">
        <v>45733</v>
      </c>
      <c r="M2533" s="116">
        <v>1087.175</v>
      </c>
      <c r="N2533" s="116">
        <v>1101.675</v>
      </c>
      <c r="O2533" s="116">
        <v>1078</v>
      </c>
      <c r="P2533" s="116">
        <v>1087.7750000000001</v>
      </c>
      <c r="Q2533" s="116">
        <v>2174.35</v>
      </c>
      <c r="R2533">
        <v>410005</v>
      </c>
    </row>
    <row r="2534" spans="1:18" x14ac:dyDescent="0.25">
      <c r="A2534" s="170">
        <v>45734</v>
      </c>
      <c r="B2534" s="116">
        <v>1102.575</v>
      </c>
      <c r="C2534" s="116">
        <v>1101.2249999999999</v>
      </c>
      <c r="D2534" s="116">
        <v>1085</v>
      </c>
      <c r="E2534" s="116">
        <v>1086.95</v>
      </c>
      <c r="F2534" s="116">
        <v>2202.4499999999998</v>
      </c>
      <c r="G2534">
        <v>12783</v>
      </c>
      <c r="H2534" s="116"/>
      <c r="I2534" s="116"/>
      <c r="L2534" s="170">
        <v>45734</v>
      </c>
      <c r="M2534" s="116">
        <v>1101.0250000000001</v>
      </c>
      <c r="N2534" s="116">
        <v>1103.05</v>
      </c>
      <c r="O2534" s="116">
        <v>1085</v>
      </c>
      <c r="P2534" s="116">
        <v>1089</v>
      </c>
      <c r="Q2534" s="116">
        <v>2202.0500000000002</v>
      </c>
      <c r="R2534">
        <v>423776</v>
      </c>
    </row>
    <row r="2535" spans="1:18" x14ac:dyDescent="0.25">
      <c r="A2535" s="170">
        <v>45735</v>
      </c>
      <c r="B2535" s="116">
        <v>1105.4000000000001</v>
      </c>
      <c r="C2535" s="116">
        <v>1092.375</v>
      </c>
      <c r="D2535" s="116">
        <v>1091</v>
      </c>
      <c r="E2535" s="116">
        <v>1100.175</v>
      </c>
      <c r="F2535" s="116">
        <v>2184.75</v>
      </c>
      <c r="G2535">
        <v>20088</v>
      </c>
      <c r="H2535" s="116"/>
      <c r="I2535" s="116"/>
      <c r="L2535" s="170">
        <v>45735</v>
      </c>
      <c r="M2535" s="116">
        <v>1092</v>
      </c>
      <c r="N2535" s="116">
        <v>1106.7</v>
      </c>
      <c r="O2535" s="116">
        <v>1090.075</v>
      </c>
      <c r="P2535" s="116">
        <v>1103.25</v>
      </c>
      <c r="Q2535" s="116">
        <v>2184</v>
      </c>
      <c r="R2535">
        <v>422543</v>
      </c>
    </row>
    <row r="2536" spans="1:18" x14ac:dyDescent="0.25">
      <c r="A2536" s="170">
        <v>45736</v>
      </c>
      <c r="B2536" s="116">
        <v>1113.7</v>
      </c>
      <c r="C2536" s="116">
        <v>1110.7</v>
      </c>
      <c r="D2536" s="116">
        <v>1090.8</v>
      </c>
      <c r="E2536" s="116">
        <v>1098.2750000000001</v>
      </c>
      <c r="F2536" s="116">
        <v>2221.4</v>
      </c>
      <c r="G2536">
        <v>27566</v>
      </c>
      <c r="H2536" s="116"/>
      <c r="I2536" s="116"/>
      <c r="L2536" s="170">
        <v>45736</v>
      </c>
      <c r="M2536" s="116">
        <v>1110.7750000000001</v>
      </c>
      <c r="N2536" s="116">
        <v>1114.375</v>
      </c>
      <c r="O2536" s="116">
        <v>1090.575</v>
      </c>
      <c r="P2536" s="116">
        <v>1102</v>
      </c>
      <c r="Q2536" s="116">
        <v>2221.5500000000002</v>
      </c>
      <c r="R2536">
        <v>476874</v>
      </c>
    </row>
    <row r="2537" spans="1:18" x14ac:dyDescent="0.25">
      <c r="A2537" s="170">
        <v>45737</v>
      </c>
      <c r="B2537" s="116">
        <v>1137.5</v>
      </c>
      <c r="C2537" s="116">
        <v>1132.7249999999999</v>
      </c>
      <c r="D2537" s="116">
        <v>1116</v>
      </c>
      <c r="E2537" s="116">
        <v>1116</v>
      </c>
      <c r="F2537" s="116">
        <v>2265.4499999999998</v>
      </c>
      <c r="G2537">
        <v>27857</v>
      </c>
      <c r="H2537" s="116"/>
      <c r="I2537" s="116"/>
      <c r="L2537" s="170">
        <v>45737</v>
      </c>
      <c r="M2537" s="116">
        <v>1134.425</v>
      </c>
      <c r="N2537" s="116">
        <v>1137.5</v>
      </c>
      <c r="O2537" s="116">
        <v>1115.9749999999999</v>
      </c>
      <c r="P2537" s="116">
        <v>1120.45</v>
      </c>
      <c r="Q2537" s="116">
        <v>2268.85</v>
      </c>
      <c r="R2537">
        <v>792637</v>
      </c>
    </row>
    <row r="2538" spans="1:18" x14ac:dyDescent="0.25">
      <c r="A2538" s="170">
        <v>45740</v>
      </c>
      <c r="B2538" s="116">
        <v>1143.825</v>
      </c>
      <c r="C2538" s="116">
        <v>1131.675</v>
      </c>
      <c r="D2538" s="116">
        <v>1130.5</v>
      </c>
      <c r="E2538" s="116">
        <v>1142.9749999999999</v>
      </c>
      <c r="F2538" s="116">
        <v>2263.35</v>
      </c>
      <c r="G2538">
        <v>16208</v>
      </c>
      <c r="H2538" s="116"/>
      <c r="I2538" s="116"/>
      <c r="L2538" s="170">
        <v>45740</v>
      </c>
      <c r="M2538" s="116">
        <v>1131.7750000000001</v>
      </c>
      <c r="N2538" s="116">
        <v>1144.3</v>
      </c>
      <c r="O2538" s="116">
        <v>1130.0250000000001</v>
      </c>
      <c r="P2538" s="116">
        <v>1136.55</v>
      </c>
      <c r="Q2538" s="116">
        <v>2263.5500000000002</v>
      </c>
      <c r="R2538">
        <v>430951</v>
      </c>
    </row>
    <row r="2539" spans="1:18" x14ac:dyDescent="0.25">
      <c r="A2539" s="170">
        <v>45741</v>
      </c>
      <c r="B2539" s="116">
        <v>1139.625</v>
      </c>
      <c r="C2539" s="116">
        <v>1127.7750000000001</v>
      </c>
      <c r="D2539" s="116">
        <v>1115.55</v>
      </c>
      <c r="E2539" s="116">
        <v>1130</v>
      </c>
      <c r="F2539" s="116">
        <v>2255.5500000000002</v>
      </c>
      <c r="G2539">
        <v>29865</v>
      </c>
      <c r="H2539" s="116"/>
      <c r="I2539" s="116"/>
      <c r="L2539" s="170">
        <v>45741</v>
      </c>
      <c r="M2539" s="116">
        <v>1127.425</v>
      </c>
      <c r="N2539" s="116">
        <v>1140</v>
      </c>
      <c r="O2539" s="116">
        <v>1115.0999999999999</v>
      </c>
      <c r="P2539" s="116">
        <v>1130</v>
      </c>
      <c r="Q2539" s="116">
        <v>2254.85</v>
      </c>
      <c r="R2539">
        <v>742142</v>
      </c>
    </row>
    <row r="2540" spans="1:18" x14ac:dyDescent="0.25">
      <c r="A2540" s="170">
        <v>45742</v>
      </c>
      <c r="B2540" s="116">
        <v>1134.925</v>
      </c>
      <c r="C2540" s="116">
        <v>1121.675</v>
      </c>
      <c r="D2540" s="116">
        <v>1120</v>
      </c>
      <c r="E2540" s="116">
        <v>1127.125</v>
      </c>
      <c r="F2540" s="116">
        <v>2243.35</v>
      </c>
      <c r="G2540">
        <v>20531</v>
      </c>
      <c r="H2540" s="116"/>
      <c r="I2540" s="116"/>
      <c r="L2540" s="170">
        <v>45742</v>
      </c>
      <c r="M2540" s="116">
        <v>1121.7249999999999</v>
      </c>
      <c r="N2540" s="116">
        <v>1134.925</v>
      </c>
      <c r="O2540" s="116">
        <v>1120.05</v>
      </c>
      <c r="P2540" s="116">
        <v>1127.45</v>
      </c>
      <c r="Q2540" s="116">
        <v>2243.4499999999998</v>
      </c>
      <c r="R2540">
        <v>533469</v>
      </c>
    </row>
    <row r="2541" spans="1:18" x14ac:dyDescent="0.25">
      <c r="A2541" s="170">
        <v>45743</v>
      </c>
      <c r="B2541" s="116">
        <v>1133.3</v>
      </c>
      <c r="C2541" s="116">
        <v>1120.075</v>
      </c>
      <c r="D2541" s="116">
        <v>1113</v>
      </c>
      <c r="E2541" s="116">
        <v>1115.2</v>
      </c>
      <c r="F2541" s="116">
        <v>2240.15</v>
      </c>
      <c r="G2541">
        <v>13755</v>
      </c>
      <c r="H2541" s="116"/>
      <c r="I2541" s="116"/>
      <c r="L2541" s="170">
        <v>45743</v>
      </c>
      <c r="M2541" s="116">
        <v>1121.0250000000001</v>
      </c>
      <c r="N2541" s="116">
        <v>1134</v>
      </c>
      <c r="O2541" s="116">
        <v>1112.625</v>
      </c>
      <c r="P2541" s="116">
        <v>1120.0999999999999</v>
      </c>
      <c r="Q2541" s="116">
        <v>2242.0500000000002</v>
      </c>
      <c r="R2541">
        <v>865586</v>
      </c>
    </row>
    <row r="2542" spans="1:18" x14ac:dyDescent="0.25">
      <c r="A2542" s="170">
        <v>45744</v>
      </c>
      <c r="B2542" s="116">
        <v>1143.8499999999999</v>
      </c>
      <c r="C2542" s="116">
        <v>1125.5250000000001</v>
      </c>
      <c r="D2542" s="116">
        <v>1122.7</v>
      </c>
      <c r="E2542" s="116">
        <v>1124.55</v>
      </c>
      <c r="F2542" s="116">
        <v>2251.0500000000002</v>
      </c>
      <c r="G2542">
        <v>22763</v>
      </c>
      <c r="H2542" s="116"/>
      <c r="I2542" s="116"/>
      <c r="L2542" s="170">
        <v>45744</v>
      </c>
      <c r="M2542" s="116">
        <v>1125.375</v>
      </c>
      <c r="N2542" s="116">
        <v>1143.9749999999999</v>
      </c>
      <c r="O2542" s="116">
        <v>1121.5250000000001</v>
      </c>
      <c r="P2542" s="116">
        <v>1121.5250000000001</v>
      </c>
      <c r="Q2542" s="116">
        <v>2250.75</v>
      </c>
      <c r="R2542">
        <v>716151</v>
      </c>
    </row>
    <row r="2543" spans="1:18" x14ac:dyDescent="0.25">
      <c r="A2543" s="170">
        <v>45748</v>
      </c>
      <c r="B2543" s="116">
        <v>1143.175</v>
      </c>
      <c r="C2543" s="116">
        <v>1116.05</v>
      </c>
      <c r="D2543" s="116">
        <v>1109.0250000000001</v>
      </c>
      <c r="E2543" s="116">
        <v>1128.3</v>
      </c>
      <c r="F2543" s="116">
        <v>2232.1</v>
      </c>
      <c r="G2543">
        <v>40041</v>
      </c>
      <c r="H2543" s="116"/>
      <c r="I2543" s="116"/>
      <c r="L2543" s="170">
        <v>45748</v>
      </c>
      <c r="M2543" s="116">
        <v>1117</v>
      </c>
      <c r="N2543" s="116">
        <v>1143.925</v>
      </c>
      <c r="O2543" s="116">
        <v>1109.05</v>
      </c>
      <c r="P2543" s="116">
        <v>1130.95</v>
      </c>
      <c r="Q2543" s="116">
        <v>2234</v>
      </c>
      <c r="R2543">
        <v>1020055</v>
      </c>
    </row>
    <row r="2544" spans="1:18" x14ac:dyDescent="0.25">
      <c r="A2544" s="170">
        <v>45749</v>
      </c>
      <c r="B2544" s="116">
        <v>1119.7</v>
      </c>
      <c r="C2544" s="116">
        <v>1105.3</v>
      </c>
      <c r="D2544" s="116">
        <v>1075</v>
      </c>
      <c r="E2544" s="116">
        <v>1119.7</v>
      </c>
      <c r="F2544" s="116">
        <v>2210.6</v>
      </c>
      <c r="G2544">
        <v>18437</v>
      </c>
      <c r="H2544" s="116"/>
      <c r="I2544" s="116"/>
      <c r="L2544" s="170">
        <v>45749</v>
      </c>
      <c r="M2544" s="116">
        <v>1105.3499999999999</v>
      </c>
      <c r="N2544" s="116">
        <v>1115</v>
      </c>
      <c r="O2544" s="116">
        <v>1074</v>
      </c>
      <c r="P2544" s="116">
        <v>1115</v>
      </c>
      <c r="Q2544" s="116">
        <v>2210.6999999999998</v>
      </c>
      <c r="R2544">
        <v>1300852</v>
      </c>
    </row>
    <row r="2545" spans="1:18" x14ac:dyDescent="0.25">
      <c r="A2545" s="170">
        <v>45750</v>
      </c>
      <c r="B2545" s="116">
        <v>1125</v>
      </c>
      <c r="C2545" s="116">
        <v>1123.575</v>
      </c>
      <c r="D2545" s="116">
        <v>1092.9749999999999</v>
      </c>
      <c r="E2545" s="116">
        <v>1092.9749999999999</v>
      </c>
      <c r="F2545" s="116">
        <v>2247.15</v>
      </c>
      <c r="G2545">
        <v>18245</v>
      </c>
      <c r="H2545" s="116"/>
      <c r="I2545" s="116"/>
      <c r="L2545" s="170">
        <v>45750</v>
      </c>
      <c r="M2545" s="116">
        <v>1122.825</v>
      </c>
      <c r="N2545" s="116">
        <v>1124.5250000000001</v>
      </c>
      <c r="O2545" s="116">
        <v>1097.5</v>
      </c>
      <c r="P2545" s="116">
        <v>1099.0250000000001</v>
      </c>
      <c r="Q2545" s="116">
        <v>2245.65</v>
      </c>
      <c r="R2545">
        <v>317858</v>
      </c>
    </row>
    <row r="2546" spans="1:18" x14ac:dyDescent="0.25">
      <c r="A2546" s="170">
        <v>45751</v>
      </c>
      <c r="B2546" s="116">
        <v>1141.2</v>
      </c>
      <c r="C2546" s="116">
        <v>1130.7249999999999</v>
      </c>
      <c r="D2546" s="116">
        <v>1108.7</v>
      </c>
      <c r="E2546" s="116">
        <v>1116.55</v>
      </c>
      <c r="F2546" s="116">
        <v>2261.4499999999998</v>
      </c>
      <c r="G2546">
        <v>34015</v>
      </c>
      <c r="H2546" s="116"/>
      <c r="I2546" s="116"/>
      <c r="L2546" s="170">
        <v>45751</v>
      </c>
      <c r="M2546" s="116">
        <v>1131.075</v>
      </c>
      <c r="N2546" s="116">
        <v>1141.4000000000001</v>
      </c>
      <c r="O2546" s="116">
        <v>1108.625</v>
      </c>
      <c r="P2546" s="116">
        <v>1117</v>
      </c>
      <c r="Q2546" s="116">
        <v>2262.15</v>
      </c>
      <c r="R2546">
        <v>591735</v>
      </c>
    </row>
    <row r="2547" spans="1:18" x14ac:dyDescent="0.25">
      <c r="A2547" s="170">
        <v>45754</v>
      </c>
      <c r="B2547" s="116">
        <v>1128</v>
      </c>
      <c r="C2547" s="116">
        <v>1123.8499999999999</v>
      </c>
      <c r="D2547" s="116">
        <v>1082</v>
      </c>
      <c r="E2547" s="116">
        <v>1093</v>
      </c>
      <c r="F2547" s="116">
        <v>2247.6999999999998</v>
      </c>
      <c r="G2547">
        <v>29362</v>
      </c>
      <c r="H2547" s="116"/>
      <c r="I2547" s="116"/>
      <c r="L2547" s="170">
        <v>45754</v>
      </c>
      <c r="M2547" s="116">
        <v>1124.5</v>
      </c>
      <c r="N2547" s="116">
        <v>1128.675</v>
      </c>
      <c r="O2547" s="116">
        <v>1080</v>
      </c>
      <c r="P2547" s="116">
        <v>1080</v>
      </c>
      <c r="Q2547" s="116">
        <v>2249</v>
      </c>
      <c r="R2547">
        <v>737285</v>
      </c>
    </row>
    <row r="2548" spans="1:18" x14ac:dyDescent="0.25">
      <c r="A2548" s="170">
        <v>45755</v>
      </c>
      <c r="B2548" s="116">
        <v>1144.4749999999999</v>
      </c>
      <c r="C2548" s="116">
        <v>1137.625</v>
      </c>
      <c r="D2548" s="116">
        <v>1115.8</v>
      </c>
      <c r="E2548" s="116">
        <v>1144.4749999999999</v>
      </c>
      <c r="F2548" s="116">
        <v>2275.25</v>
      </c>
      <c r="G2548">
        <v>35524</v>
      </c>
      <c r="H2548" s="116"/>
      <c r="I2548" s="116"/>
      <c r="L2548" s="170">
        <v>45755</v>
      </c>
      <c r="M2548" s="116">
        <v>1137.7</v>
      </c>
      <c r="N2548" s="116">
        <v>1141.4749999999999</v>
      </c>
      <c r="O2548" s="116">
        <v>1115.625</v>
      </c>
      <c r="P2548" s="116">
        <v>1127.5</v>
      </c>
      <c r="Q2548" s="116">
        <v>2275.4</v>
      </c>
      <c r="R2548">
        <v>873508</v>
      </c>
    </row>
    <row r="2549" spans="1:18" x14ac:dyDescent="0.25">
      <c r="A2549" s="170">
        <v>45756</v>
      </c>
      <c r="B2549" s="116">
        <v>1181.2750000000001</v>
      </c>
      <c r="C2549" s="116">
        <v>1172.25</v>
      </c>
      <c r="D2549" s="116">
        <v>1135.3499999999999</v>
      </c>
      <c r="E2549" s="116">
        <v>1135.3499999999999</v>
      </c>
      <c r="F2549" s="116">
        <v>2344.5</v>
      </c>
      <c r="G2549">
        <v>33099</v>
      </c>
      <c r="H2549" s="116"/>
      <c r="I2549" s="116"/>
      <c r="L2549" s="170">
        <v>45756</v>
      </c>
      <c r="M2549" s="116">
        <v>1172.425</v>
      </c>
      <c r="N2549" s="116">
        <v>1181.3</v>
      </c>
      <c r="O2549" s="116">
        <v>1136.0999999999999</v>
      </c>
      <c r="P2549" s="116">
        <v>1141.5999999999999</v>
      </c>
      <c r="Q2549" s="116">
        <v>2344.85</v>
      </c>
      <c r="R2549">
        <v>1853374</v>
      </c>
    </row>
    <row r="2550" spans="1:18" x14ac:dyDescent="0.25">
      <c r="A2550" s="170">
        <v>45758</v>
      </c>
      <c r="B2550" s="116">
        <v>1185.9749999999999</v>
      </c>
      <c r="C2550" s="116">
        <v>1180.425</v>
      </c>
      <c r="D2550" s="116">
        <v>1161.2249999999999</v>
      </c>
      <c r="E2550" s="116">
        <v>1176.9749999999999</v>
      </c>
      <c r="F2550" s="116">
        <v>2360.85</v>
      </c>
      <c r="G2550">
        <v>47982</v>
      </c>
      <c r="H2550" s="116"/>
      <c r="I2550" s="116"/>
      <c r="L2550" s="170">
        <v>45758</v>
      </c>
      <c r="M2550" s="116">
        <v>1180.7</v>
      </c>
      <c r="N2550" s="116">
        <v>1186</v>
      </c>
      <c r="O2550" s="116">
        <v>1161.0250000000001</v>
      </c>
      <c r="P2550" s="116">
        <v>1172.8499999999999</v>
      </c>
      <c r="Q2550" s="116">
        <v>2361.4</v>
      </c>
      <c r="R2550">
        <v>1118317</v>
      </c>
    </row>
    <row r="2551" spans="1:18" x14ac:dyDescent="0.25">
      <c r="A2551" s="170">
        <v>45762</v>
      </c>
      <c r="B2551" s="116">
        <v>1189.25</v>
      </c>
      <c r="C2551" s="116">
        <v>1182.825</v>
      </c>
      <c r="D2551" s="116">
        <v>1174</v>
      </c>
      <c r="E2551" s="116">
        <v>1186.325</v>
      </c>
      <c r="F2551" s="116">
        <v>2365.65</v>
      </c>
      <c r="G2551">
        <v>16783</v>
      </c>
      <c r="H2551" s="116"/>
      <c r="I2551" s="116"/>
      <c r="L2551" s="170">
        <v>45762</v>
      </c>
      <c r="M2551" s="116">
        <v>1183.95</v>
      </c>
      <c r="N2551" s="116">
        <v>1190.7</v>
      </c>
      <c r="O2551" s="116">
        <v>1172.8</v>
      </c>
      <c r="P2551" s="116">
        <v>1190.7</v>
      </c>
      <c r="Q2551" s="116">
        <v>2367.9</v>
      </c>
      <c r="R2551">
        <v>780874</v>
      </c>
    </row>
    <row r="2552" spans="1:18" x14ac:dyDescent="0.25">
      <c r="A2552" s="170">
        <v>45763</v>
      </c>
      <c r="B2552" s="116">
        <v>1194.575</v>
      </c>
      <c r="C2552" s="116">
        <v>1191.8</v>
      </c>
      <c r="D2552" s="116">
        <v>1175.4000000000001</v>
      </c>
      <c r="E2552" s="116">
        <v>1188.7249999999999</v>
      </c>
      <c r="F2552" s="116">
        <v>2383.6</v>
      </c>
      <c r="G2552">
        <v>5089</v>
      </c>
      <c r="H2552" s="116"/>
      <c r="I2552" s="116"/>
      <c r="L2552" s="170">
        <v>45763</v>
      </c>
      <c r="M2552" s="116">
        <v>1191.6500000000001</v>
      </c>
      <c r="N2552" s="116">
        <v>1195.05</v>
      </c>
      <c r="O2552" s="116">
        <v>1173.5</v>
      </c>
      <c r="P2552" s="116">
        <v>1173.5</v>
      </c>
      <c r="Q2552" s="116">
        <v>2383.3000000000002</v>
      </c>
      <c r="R2552">
        <v>677212</v>
      </c>
    </row>
    <row r="2553" spans="1:18" x14ac:dyDescent="0.25">
      <c r="A2553" s="170">
        <v>45764</v>
      </c>
      <c r="B2553" s="116">
        <v>1211.5999999999999</v>
      </c>
      <c r="C2553" s="116">
        <v>1207.8</v>
      </c>
      <c r="D2553" s="116">
        <v>1179.75</v>
      </c>
      <c r="E2553" s="116">
        <v>1187.5</v>
      </c>
      <c r="F2553" s="116">
        <v>2415.6</v>
      </c>
      <c r="G2553">
        <v>40400</v>
      </c>
      <c r="H2553" s="116"/>
      <c r="I2553" s="116"/>
      <c r="L2553" s="170">
        <v>45764</v>
      </c>
      <c r="M2553" s="116">
        <v>1208.3</v>
      </c>
      <c r="N2553" s="116">
        <v>1211.5999999999999</v>
      </c>
      <c r="O2553" s="116">
        <v>1179.3</v>
      </c>
      <c r="P2553" s="116">
        <v>1186</v>
      </c>
      <c r="Q2553" s="116">
        <v>2416.6</v>
      </c>
      <c r="R2553">
        <v>907921</v>
      </c>
    </row>
    <row r="2554" spans="1:18" x14ac:dyDescent="0.25">
      <c r="A2554" s="170">
        <v>45768</v>
      </c>
      <c r="B2554" s="116">
        <v>1210.5</v>
      </c>
      <c r="C2554" s="116">
        <v>1199.7249999999999</v>
      </c>
      <c r="D2554" s="116">
        <v>1195.5999999999999</v>
      </c>
      <c r="E2554" s="116">
        <v>1201.5</v>
      </c>
      <c r="F2554" s="116">
        <v>2399.4499999999998</v>
      </c>
      <c r="G2554">
        <v>18270</v>
      </c>
      <c r="H2554" s="116"/>
      <c r="I2554" s="116"/>
      <c r="L2554" s="170">
        <v>45768</v>
      </c>
      <c r="M2554" s="116">
        <v>1199.7</v>
      </c>
      <c r="N2554" s="116">
        <v>1210.5</v>
      </c>
      <c r="O2554" s="116">
        <v>1195.25</v>
      </c>
      <c r="P2554" s="116">
        <v>1200.5</v>
      </c>
      <c r="Q2554" s="116">
        <v>2399.4</v>
      </c>
      <c r="R2554">
        <v>476565</v>
      </c>
    </row>
    <row r="2555" spans="1:18" x14ac:dyDescent="0.25">
      <c r="A2555" s="170">
        <v>45769</v>
      </c>
      <c r="B2555" s="116">
        <v>1209.55</v>
      </c>
      <c r="C2555" s="116">
        <v>1203.3499999999999</v>
      </c>
      <c r="D2555" s="116">
        <v>1194.425</v>
      </c>
      <c r="E2555" s="116">
        <v>1204.9749999999999</v>
      </c>
      <c r="F2555" s="116">
        <v>2406.6999999999998</v>
      </c>
      <c r="G2555">
        <v>27245</v>
      </c>
      <c r="H2555" s="116"/>
      <c r="I2555" s="116"/>
      <c r="L2555" s="170">
        <v>45769</v>
      </c>
      <c r="M2555" s="116">
        <v>1203.6500000000001</v>
      </c>
      <c r="N2555" s="116">
        <v>1210</v>
      </c>
      <c r="O2555" s="116">
        <v>1195</v>
      </c>
      <c r="P2555" s="116">
        <v>1202.5</v>
      </c>
      <c r="Q2555" s="116">
        <v>2407.3000000000002</v>
      </c>
      <c r="R2555">
        <v>487954</v>
      </c>
    </row>
    <row r="2556" spans="1:18" x14ac:dyDescent="0.25">
      <c r="A2556" s="170">
        <v>45770</v>
      </c>
      <c r="B2556" s="116">
        <v>1220.2249999999999</v>
      </c>
      <c r="C2556" s="116">
        <v>1217.075</v>
      </c>
      <c r="D2556" s="116">
        <v>1201.6500000000001</v>
      </c>
      <c r="E2556" s="116">
        <v>1205.1500000000001</v>
      </c>
      <c r="F2556" s="116">
        <v>2434.15</v>
      </c>
      <c r="G2556">
        <v>18578</v>
      </c>
      <c r="H2556" s="116"/>
      <c r="I2556" s="116"/>
      <c r="L2556" s="170">
        <v>45770</v>
      </c>
      <c r="M2556" s="116">
        <v>1216.7</v>
      </c>
      <c r="N2556" s="116">
        <v>1220.95</v>
      </c>
      <c r="O2556" s="116">
        <v>1200</v>
      </c>
      <c r="P2556" s="116">
        <v>1209.6500000000001</v>
      </c>
      <c r="Q2556" s="116">
        <v>2433.4</v>
      </c>
      <c r="R2556">
        <v>582556</v>
      </c>
    </row>
    <row r="2557" spans="1:18" x14ac:dyDescent="0.25">
      <c r="A2557" s="170">
        <v>45771</v>
      </c>
      <c r="B2557" s="116">
        <v>1257.125</v>
      </c>
      <c r="C2557" s="116">
        <v>1217.4000000000001</v>
      </c>
      <c r="D2557" s="116">
        <v>1189.4000000000001</v>
      </c>
      <c r="E2557" s="116">
        <v>1217.5</v>
      </c>
      <c r="F2557" s="116">
        <v>2434.8000000000002</v>
      </c>
      <c r="G2557">
        <v>132062</v>
      </c>
      <c r="H2557" s="116"/>
      <c r="I2557" s="116"/>
      <c r="L2557" s="170">
        <v>45771</v>
      </c>
      <c r="M2557" s="116">
        <v>1216.5999999999999</v>
      </c>
      <c r="N2557" s="116">
        <v>1257.5</v>
      </c>
      <c r="O2557" s="116">
        <v>1189.5</v>
      </c>
      <c r="P2557" s="116">
        <v>1217.5</v>
      </c>
      <c r="Q2557" s="116">
        <v>2433.1999999999998</v>
      </c>
      <c r="R2557">
        <v>2337238</v>
      </c>
    </row>
    <row r="2558" spans="1:18" x14ac:dyDescent="0.25">
      <c r="A2558" s="170">
        <v>45772</v>
      </c>
      <c r="B2558" s="116">
        <v>1216.5</v>
      </c>
      <c r="C2558" s="116">
        <v>1207.0999999999999</v>
      </c>
      <c r="D2558" s="116">
        <v>1193.9000000000001</v>
      </c>
      <c r="E2558" s="116">
        <v>1205.0250000000001</v>
      </c>
      <c r="F2558" s="116">
        <v>2414.1999999999998</v>
      </c>
      <c r="G2558">
        <v>44210</v>
      </c>
      <c r="H2558" s="116"/>
      <c r="I2558" s="116"/>
      <c r="L2558" s="170">
        <v>45772</v>
      </c>
      <c r="M2558" s="116">
        <v>1206.75</v>
      </c>
      <c r="N2558" s="116">
        <v>1217.5999999999999</v>
      </c>
      <c r="O2558" s="116">
        <v>1193.6500000000001</v>
      </c>
      <c r="P2558" s="116">
        <v>1213.45</v>
      </c>
      <c r="Q2558" s="116">
        <v>2413.5</v>
      </c>
      <c r="R2558">
        <v>1128284</v>
      </c>
    </row>
    <row r="2559" spans="1:18" x14ac:dyDescent="0.25">
      <c r="A2559" s="170">
        <v>45775</v>
      </c>
      <c r="B2559" s="116">
        <v>1209.05</v>
      </c>
      <c r="C2559" s="116">
        <v>1202.075</v>
      </c>
      <c r="D2559" s="116">
        <v>1193.5</v>
      </c>
      <c r="E2559" s="116">
        <v>1196.7750000000001</v>
      </c>
      <c r="F2559" s="116">
        <v>2404.15</v>
      </c>
      <c r="G2559">
        <v>51154</v>
      </c>
      <c r="H2559" s="116"/>
      <c r="I2559" s="116"/>
      <c r="L2559" s="170">
        <v>45775</v>
      </c>
      <c r="M2559" s="116">
        <v>1203</v>
      </c>
      <c r="N2559" s="116">
        <v>1209.2</v>
      </c>
      <c r="O2559" s="116">
        <v>1193</v>
      </c>
      <c r="P2559" s="116">
        <v>1200</v>
      </c>
      <c r="Q2559" s="116">
        <v>2406</v>
      </c>
      <c r="R2559">
        <v>980526</v>
      </c>
    </row>
    <row r="2560" spans="1:18" x14ac:dyDescent="0.25">
      <c r="A2560" s="170">
        <v>45776</v>
      </c>
      <c r="B2560" s="116">
        <v>1201.125</v>
      </c>
      <c r="C2560" s="116">
        <v>1193.7249999999999</v>
      </c>
      <c r="D2560" s="116">
        <v>1180</v>
      </c>
      <c r="E2560" s="116">
        <v>1200.3</v>
      </c>
      <c r="F2560" s="116">
        <v>2387.4499999999998</v>
      </c>
      <c r="G2560">
        <v>148667</v>
      </c>
      <c r="H2560" s="116"/>
      <c r="I2560" s="116"/>
      <c r="L2560" s="170">
        <v>45776</v>
      </c>
      <c r="M2560" s="116">
        <v>1193.75</v>
      </c>
      <c r="N2560" s="116">
        <v>1203</v>
      </c>
      <c r="O2560" s="116">
        <v>1179.5999999999999</v>
      </c>
      <c r="P2560" s="116">
        <v>1203</v>
      </c>
      <c r="Q2560" s="116">
        <v>2387.5</v>
      </c>
      <c r="R2560">
        <v>976060</v>
      </c>
    </row>
    <row r="2561" spans="1:18" x14ac:dyDescent="0.25">
      <c r="A2561" s="170">
        <v>45777</v>
      </c>
      <c r="B2561" s="116">
        <v>1202.7249999999999</v>
      </c>
      <c r="C2561" s="116">
        <v>1192.7249999999999</v>
      </c>
      <c r="D2561" s="116">
        <v>1183.1500000000001</v>
      </c>
      <c r="E2561" s="116">
        <v>1183.1500000000001</v>
      </c>
      <c r="F2561" s="116">
        <v>2385.4499999999998</v>
      </c>
      <c r="G2561">
        <v>7302</v>
      </c>
      <c r="H2561" s="116"/>
      <c r="I2561" s="116"/>
      <c r="L2561" s="170">
        <v>45777</v>
      </c>
      <c r="M2561" s="116">
        <v>1194.0999999999999</v>
      </c>
      <c r="N2561" s="116">
        <v>1203.2</v>
      </c>
      <c r="O2561" s="116">
        <v>1182.1500000000001</v>
      </c>
      <c r="P2561" s="116">
        <v>1187.5</v>
      </c>
      <c r="Q2561" s="116">
        <v>2388.1999999999998</v>
      </c>
      <c r="R2561">
        <v>1020431</v>
      </c>
    </row>
    <row r="2562" spans="1:18" x14ac:dyDescent="0.25">
      <c r="A2562" s="170">
        <v>45779</v>
      </c>
      <c r="B2562" s="116">
        <v>1192.7</v>
      </c>
      <c r="C2562" s="116">
        <v>1168.4000000000001</v>
      </c>
      <c r="D2562" s="116">
        <v>1163.95</v>
      </c>
      <c r="E2562" s="116">
        <v>1180.4000000000001</v>
      </c>
      <c r="F2562" s="116">
        <v>2336.8000000000002</v>
      </c>
      <c r="G2562">
        <v>82853</v>
      </c>
      <c r="H2562" s="116"/>
      <c r="I2562" s="116"/>
      <c r="L2562" s="170">
        <v>45779</v>
      </c>
      <c r="M2562" s="116">
        <v>1168.8499999999999</v>
      </c>
      <c r="N2562" s="116">
        <v>1192.4000000000001</v>
      </c>
      <c r="O2562" s="116">
        <v>1163.5</v>
      </c>
      <c r="P2562" s="116">
        <v>1187.5</v>
      </c>
      <c r="Q2562" s="116">
        <v>2337.6999999999998</v>
      </c>
      <c r="R2562">
        <v>859177</v>
      </c>
    </row>
    <row r="2563" spans="1:18" x14ac:dyDescent="0.25">
      <c r="A2563" s="170">
        <v>45782</v>
      </c>
      <c r="B2563" s="116">
        <v>1179.825</v>
      </c>
      <c r="C2563" s="116">
        <v>1165.2</v>
      </c>
      <c r="D2563" s="116">
        <v>1162</v>
      </c>
      <c r="E2563" s="116">
        <v>1179.825</v>
      </c>
      <c r="F2563" s="116">
        <v>2330.4</v>
      </c>
      <c r="G2563">
        <v>41807</v>
      </c>
      <c r="H2563" s="116"/>
      <c r="I2563" s="116"/>
      <c r="L2563" s="170">
        <v>45782</v>
      </c>
      <c r="M2563" s="116">
        <v>1164.0999999999999</v>
      </c>
      <c r="N2563" s="116">
        <v>1176</v>
      </c>
      <c r="O2563" s="116">
        <v>1161.8499999999999</v>
      </c>
      <c r="P2563" s="116">
        <v>1174.45</v>
      </c>
      <c r="Q2563" s="116">
        <v>2328.1999999999998</v>
      </c>
      <c r="R2563">
        <v>913797</v>
      </c>
    </row>
    <row r="2564" spans="1:18" x14ac:dyDescent="0.25">
      <c r="A2564" s="170">
        <v>45783</v>
      </c>
      <c r="B2564" s="116">
        <v>1187.325</v>
      </c>
      <c r="C2564" s="116">
        <v>1177.5</v>
      </c>
      <c r="D2564" s="116">
        <v>1165.0250000000001</v>
      </c>
      <c r="E2564" s="116">
        <v>1165.0250000000001</v>
      </c>
      <c r="F2564" s="116">
        <v>2355</v>
      </c>
      <c r="G2564">
        <v>32884</v>
      </c>
      <c r="H2564" s="116"/>
      <c r="I2564" s="116"/>
      <c r="L2564" s="170">
        <v>45783</v>
      </c>
      <c r="M2564" s="116">
        <v>1178.25</v>
      </c>
      <c r="N2564" s="116">
        <v>1187.0999999999999</v>
      </c>
      <c r="O2564" s="116">
        <v>1165</v>
      </c>
      <c r="P2564" s="116">
        <v>1168.5</v>
      </c>
      <c r="Q2564" s="116">
        <v>2356.5</v>
      </c>
      <c r="R2564">
        <v>871013</v>
      </c>
    </row>
    <row r="2565" spans="1:18" x14ac:dyDescent="0.25">
      <c r="A2565" s="170">
        <v>45784</v>
      </c>
      <c r="B2565" s="116">
        <v>1174.2750000000001</v>
      </c>
      <c r="C2565" s="116">
        <v>1168.425</v>
      </c>
      <c r="D2565" s="116">
        <v>1157.875</v>
      </c>
      <c r="E2565" s="116">
        <v>1157.875</v>
      </c>
      <c r="F2565" s="116">
        <v>2336.85</v>
      </c>
      <c r="G2565">
        <v>71468</v>
      </c>
      <c r="H2565" s="116"/>
      <c r="I2565" s="116"/>
      <c r="L2565" s="170">
        <v>45784</v>
      </c>
      <c r="M2565" s="116">
        <v>1169.2</v>
      </c>
      <c r="N2565" s="116">
        <v>1178</v>
      </c>
      <c r="O2565" s="116">
        <v>1163.6500000000001</v>
      </c>
      <c r="P2565" s="116">
        <v>1165.5</v>
      </c>
      <c r="Q2565" s="116">
        <v>2338.4</v>
      </c>
      <c r="R2565">
        <v>676652</v>
      </c>
    </row>
    <row r="2566" spans="1:18" x14ac:dyDescent="0.25">
      <c r="A2566" s="170">
        <v>45785</v>
      </c>
      <c r="B2566" s="116">
        <v>1173.125</v>
      </c>
      <c r="C2566" s="116">
        <v>1170.55</v>
      </c>
      <c r="D2566" s="116">
        <v>1158</v>
      </c>
      <c r="E2566" s="116">
        <v>1168</v>
      </c>
      <c r="F2566" s="116">
        <v>2341.1</v>
      </c>
      <c r="G2566">
        <v>111811</v>
      </c>
      <c r="H2566" s="116"/>
      <c r="I2566" s="116"/>
      <c r="L2566" s="170">
        <v>45785</v>
      </c>
      <c r="M2566" s="116">
        <v>1170.3499999999999</v>
      </c>
      <c r="N2566" s="116">
        <v>1175.05</v>
      </c>
      <c r="O2566" s="116">
        <v>1157.55</v>
      </c>
      <c r="P2566" s="116">
        <v>1164</v>
      </c>
      <c r="Q2566" s="116">
        <v>2340.6999999999998</v>
      </c>
      <c r="R2566">
        <v>1346546</v>
      </c>
    </row>
    <row r="2567" spans="1:18" x14ac:dyDescent="0.25">
      <c r="A2567" s="170">
        <v>45786</v>
      </c>
      <c r="B2567" s="116">
        <v>1169.125</v>
      </c>
      <c r="C2567" s="116">
        <v>1161.9000000000001</v>
      </c>
      <c r="D2567" s="116">
        <v>1140.375</v>
      </c>
      <c r="E2567" s="116">
        <v>1140.375</v>
      </c>
      <c r="F2567" s="116">
        <v>2323.8000000000002</v>
      </c>
      <c r="G2567">
        <v>149224</v>
      </c>
      <c r="H2567" s="116"/>
      <c r="I2567" s="116"/>
      <c r="L2567" s="170">
        <v>45786</v>
      </c>
      <c r="M2567" s="116">
        <v>1162.7</v>
      </c>
      <c r="N2567" s="116">
        <v>1174.5</v>
      </c>
      <c r="O2567" s="116">
        <v>1145.8499999999999</v>
      </c>
      <c r="P2567" s="116">
        <v>1151</v>
      </c>
      <c r="Q2567" s="116">
        <v>2325.4</v>
      </c>
      <c r="R2567">
        <v>908229</v>
      </c>
    </row>
    <row r="2568" spans="1:18" x14ac:dyDescent="0.25">
      <c r="A2568" s="170">
        <v>45789</v>
      </c>
      <c r="B2568" s="116">
        <v>1193.4749999999999</v>
      </c>
      <c r="C2568" s="116">
        <v>1191.2249999999999</v>
      </c>
      <c r="D2568" s="116">
        <v>1173.2249999999999</v>
      </c>
      <c r="E2568" s="116">
        <v>1187.4749999999999</v>
      </c>
      <c r="F2568" s="116">
        <v>2382.4499999999998</v>
      </c>
      <c r="G2568">
        <v>9998</v>
      </c>
      <c r="H2568" s="116"/>
      <c r="I2568" s="116"/>
      <c r="L2568" s="170">
        <v>45789</v>
      </c>
      <c r="M2568" s="116">
        <v>1191.9000000000001</v>
      </c>
      <c r="N2568" s="116">
        <v>1194.5</v>
      </c>
      <c r="O2568" s="116">
        <v>1173</v>
      </c>
      <c r="P2568" s="116">
        <v>1179.9000000000001</v>
      </c>
      <c r="Q2568" s="116">
        <v>2383.8000000000002</v>
      </c>
      <c r="R2568">
        <v>400750</v>
      </c>
    </row>
    <row r="2569" spans="1:18" x14ac:dyDescent="0.25">
      <c r="A2569" s="170">
        <v>45790</v>
      </c>
      <c r="B2569" s="116">
        <v>1194.8</v>
      </c>
      <c r="C2569" s="116">
        <v>1185.0250000000001</v>
      </c>
      <c r="D2569" s="116">
        <v>1171</v>
      </c>
      <c r="E2569" s="116">
        <v>1190</v>
      </c>
      <c r="F2569" s="116">
        <v>2370.0500000000002</v>
      </c>
      <c r="G2569">
        <v>72551</v>
      </c>
      <c r="H2569" s="116"/>
      <c r="I2569" s="116"/>
      <c r="L2569" s="170">
        <v>45790</v>
      </c>
      <c r="M2569" s="116">
        <v>1185.0999999999999</v>
      </c>
      <c r="N2569" s="116">
        <v>1194.9000000000001</v>
      </c>
      <c r="O2569" s="116">
        <v>1171</v>
      </c>
      <c r="P2569" s="116">
        <v>1190</v>
      </c>
      <c r="Q2569" s="116">
        <v>2370.1999999999998</v>
      </c>
      <c r="R2569">
        <v>1166776</v>
      </c>
    </row>
    <row r="2570" spans="1:18" x14ac:dyDescent="0.25">
      <c r="A2570" s="170">
        <v>45791</v>
      </c>
      <c r="B2570" s="116">
        <v>1187.5</v>
      </c>
      <c r="C2570" s="116">
        <v>1185.5250000000001</v>
      </c>
      <c r="D2570" s="116">
        <v>1177.375</v>
      </c>
      <c r="E2570" s="116">
        <v>1186.0250000000001</v>
      </c>
      <c r="F2570" s="116">
        <v>2371.0500000000002</v>
      </c>
      <c r="G2570">
        <v>54251</v>
      </c>
      <c r="H2570" s="116"/>
      <c r="I2570" s="116"/>
      <c r="L2570" s="170">
        <v>45791</v>
      </c>
      <c r="M2570" s="116">
        <v>1185.2</v>
      </c>
      <c r="N2570" s="116">
        <v>1189.5999999999999</v>
      </c>
      <c r="O2570" s="116">
        <v>1176.6500000000001</v>
      </c>
      <c r="P2570" s="116">
        <v>1182.5</v>
      </c>
      <c r="Q2570" s="116">
        <v>2370.4</v>
      </c>
      <c r="R2570">
        <v>601533</v>
      </c>
    </row>
    <row r="2571" spans="1:18" x14ac:dyDescent="0.25">
      <c r="A2571" s="170">
        <v>45792</v>
      </c>
      <c r="B2571" s="116">
        <v>1207.3499999999999</v>
      </c>
      <c r="C2571" s="116">
        <v>1199</v>
      </c>
      <c r="D2571" s="116">
        <v>1171.5</v>
      </c>
      <c r="E2571" s="116">
        <v>1185.5250000000001</v>
      </c>
      <c r="F2571" s="116">
        <v>2398</v>
      </c>
      <c r="G2571">
        <v>21314</v>
      </c>
      <c r="H2571" s="116"/>
      <c r="I2571" s="116"/>
      <c r="L2571" s="170">
        <v>45792</v>
      </c>
      <c r="M2571" s="116">
        <v>1199.05</v>
      </c>
      <c r="N2571" s="116">
        <v>1207.45</v>
      </c>
      <c r="O2571" s="116">
        <v>1170.75</v>
      </c>
      <c r="P2571" s="116">
        <v>1185</v>
      </c>
      <c r="Q2571" s="116">
        <v>2398.1</v>
      </c>
      <c r="R2571">
        <v>964112</v>
      </c>
    </row>
    <row r="2572" spans="1:18" x14ac:dyDescent="0.25">
      <c r="A2572" s="170">
        <v>45793</v>
      </c>
      <c r="B2572" s="116">
        <v>1207.925</v>
      </c>
      <c r="C2572" s="116">
        <v>1205.2750000000001</v>
      </c>
      <c r="D2572" s="116">
        <v>1189</v>
      </c>
      <c r="E2572" s="116">
        <v>1195.625</v>
      </c>
      <c r="F2572" s="116">
        <v>2410.5500000000002</v>
      </c>
      <c r="G2572">
        <v>6759</v>
      </c>
      <c r="H2572" s="116"/>
      <c r="I2572" s="116"/>
      <c r="L2572" s="170">
        <v>45793</v>
      </c>
      <c r="M2572" s="116">
        <v>1204.4000000000001</v>
      </c>
      <c r="N2572" s="116">
        <v>1207.3</v>
      </c>
      <c r="O2572" s="116">
        <v>1188.3499999999999</v>
      </c>
      <c r="P2572" s="116">
        <v>1207.3</v>
      </c>
      <c r="Q2572" s="116">
        <v>2408.8000000000002</v>
      </c>
      <c r="R2572">
        <v>684551</v>
      </c>
    </row>
    <row r="2573" spans="1:18" x14ac:dyDescent="0.25">
      <c r="A2573" s="170">
        <v>45796</v>
      </c>
      <c r="B2573" s="116">
        <v>1211.0999999999999</v>
      </c>
      <c r="C2573" s="116">
        <v>1203.55</v>
      </c>
      <c r="D2573" s="116">
        <v>1197.825</v>
      </c>
      <c r="E2573" s="116">
        <v>1197.825</v>
      </c>
      <c r="F2573" s="116">
        <v>2407.1</v>
      </c>
      <c r="G2573">
        <v>14864</v>
      </c>
      <c r="H2573" s="116"/>
      <c r="I2573" s="116"/>
      <c r="L2573" s="170">
        <v>45796</v>
      </c>
      <c r="M2573" s="116">
        <v>1203.9000000000001</v>
      </c>
      <c r="N2573" s="116">
        <v>1211.05</v>
      </c>
      <c r="O2573" s="116">
        <v>1198.0999999999999</v>
      </c>
      <c r="P2573" s="116">
        <v>1202</v>
      </c>
      <c r="Q2573" s="116">
        <v>2407.8000000000002</v>
      </c>
      <c r="R2573">
        <v>422931</v>
      </c>
    </row>
    <row r="2574" spans="1:18" x14ac:dyDescent="0.25">
      <c r="A2574" s="170">
        <v>45797</v>
      </c>
      <c r="B2574" s="116">
        <v>1207.3499999999999</v>
      </c>
      <c r="C2574" s="116">
        <v>1179.0999999999999</v>
      </c>
      <c r="D2574" s="116">
        <v>1177.575</v>
      </c>
      <c r="E2574" s="116">
        <v>1201.925</v>
      </c>
      <c r="F2574" s="116">
        <v>2358.1999999999998</v>
      </c>
      <c r="G2574">
        <v>14055</v>
      </c>
      <c r="H2574" s="116"/>
      <c r="I2574" s="116"/>
      <c r="L2574" s="170">
        <v>45797</v>
      </c>
      <c r="M2574" s="116">
        <v>1179.25</v>
      </c>
      <c r="N2574" s="116">
        <v>1209.9000000000001</v>
      </c>
      <c r="O2574" s="116">
        <v>1177.1500000000001</v>
      </c>
      <c r="P2574" s="116">
        <v>1209.9000000000001</v>
      </c>
      <c r="Q2574" s="116">
        <v>2358.5</v>
      </c>
      <c r="R2574">
        <v>777675</v>
      </c>
    </row>
    <row r="2575" spans="1:18" x14ac:dyDescent="0.25">
      <c r="A2575" s="170">
        <v>45798</v>
      </c>
      <c r="B2575" s="116">
        <v>1198.2249999999999</v>
      </c>
      <c r="C2575" s="116">
        <v>1195.95</v>
      </c>
      <c r="D2575" s="116">
        <v>1179.0999999999999</v>
      </c>
      <c r="E2575" s="116">
        <v>1182.5999999999999</v>
      </c>
      <c r="F2575" s="116">
        <v>2391.9</v>
      </c>
      <c r="G2575">
        <v>5073</v>
      </c>
      <c r="H2575" s="116"/>
      <c r="I2575" s="116"/>
      <c r="L2575" s="170">
        <v>45798</v>
      </c>
      <c r="M2575" s="116">
        <v>1196.3</v>
      </c>
      <c r="N2575" s="116">
        <v>1199</v>
      </c>
      <c r="O2575" s="116">
        <v>1179.25</v>
      </c>
      <c r="P2575" s="116">
        <v>1179.25</v>
      </c>
      <c r="Q2575" s="116">
        <v>2392.6</v>
      </c>
      <c r="R2575">
        <v>675148</v>
      </c>
    </row>
    <row r="2576" spans="1:18" x14ac:dyDescent="0.25">
      <c r="A2576" s="170">
        <v>45799</v>
      </c>
      <c r="B2576" s="116">
        <v>1195.875</v>
      </c>
      <c r="C2576" s="116">
        <v>1181.425</v>
      </c>
      <c r="D2576" s="116">
        <v>1170.4000000000001</v>
      </c>
      <c r="E2576" s="116">
        <v>1195.875</v>
      </c>
      <c r="F2576" s="116">
        <v>2362.85</v>
      </c>
      <c r="G2576">
        <v>26830</v>
      </c>
      <c r="H2576" s="116"/>
      <c r="I2576" s="116"/>
      <c r="L2576" s="170">
        <v>45799</v>
      </c>
      <c r="M2576" s="116">
        <v>1180.8499999999999</v>
      </c>
      <c r="N2576" s="116">
        <v>1192.5</v>
      </c>
      <c r="O2576" s="116">
        <v>1170</v>
      </c>
      <c r="P2576" s="116">
        <v>1192.5</v>
      </c>
      <c r="Q2576" s="116">
        <v>2361.6999999999998</v>
      </c>
      <c r="R2576">
        <v>1080806</v>
      </c>
    </row>
    <row r="2577" spans="1:18" x14ac:dyDescent="0.25">
      <c r="A2577" s="170">
        <v>45800</v>
      </c>
      <c r="B2577" s="116">
        <v>1209.5</v>
      </c>
      <c r="C2577" s="116">
        <v>1206.75</v>
      </c>
      <c r="D2577" s="116">
        <v>1175.2249999999999</v>
      </c>
      <c r="E2577" s="116">
        <v>1175.2249999999999</v>
      </c>
      <c r="F2577" s="116">
        <v>2413.5</v>
      </c>
      <c r="G2577">
        <v>81329</v>
      </c>
      <c r="H2577" s="116"/>
      <c r="I2577" s="116"/>
      <c r="L2577" s="170">
        <v>45800</v>
      </c>
      <c r="M2577" s="116">
        <v>1207.2</v>
      </c>
      <c r="N2577" s="116">
        <v>1212</v>
      </c>
      <c r="O2577" s="116">
        <v>1176.05</v>
      </c>
      <c r="P2577" s="116">
        <v>1178</v>
      </c>
      <c r="Q2577" s="116">
        <v>2414.4</v>
      </c>
      <c r="R2577">
        <v>577230</v>
      </c>
    </row>
    <row r="2578" spans="1:18" x14ac:dyDescent="0.25">
      <c r="A2578" s="170">
        <v>45803</v>
      </c>
      <c r="B2578" s="116">
        <v>1232.25</v>
      </c>
      <c r="C2578" s="116">
        <v>1226.675</v>
      </c>
      <c r="D2578" s="116">
        <v>1202.875</v>
      </c>
      <c r="E2578" s="116">
        <v>1202.875</v>
      </c>
      <c r="F2578" s="116">
        <v>2453.35</v>
      </c>
      <c r="G2578">
        <v>121999</v>
      </c>
      <c r="H2578" s="116"/>
      <c r="I2578" s="116"/>
      <c r="L2578" s="170">
        <v>45803</v>
      </c>
      <c r="M2578" s="116">
        <v>1227</v>
      </c>
      <c r="N2578" s="116">
        <v>1232.45</v>
      </c>
      <c r="O2578" s="116">
        <v>1202.7</v>
      </c>
      <c r="P2578" s="116">
        <v>1207.2</v>
      </c>
      <c r="Q2578" s="116">
        <v>2454</v>
      </c>
      <c r="R2578">
        <v>624354</v>
      </c>
    </row>
    <row r="2579" spans="1:18" x14ac:dyDescent="0.25">
      <c r="A2579" s="170">
        <v>45804</v>
      </c>
      <c r="B2579" s="116">
        <v>1240.8</v>
      </c>
      <c r="C2579" s="116">
        <v>1231.0999999999999</v>
      </c>
      <c r="D2579" s="116">
        <v>1215.825</v>
      </c>
      <c r="E2579" s="116">
        <v>1226.6500000000001</v>
      </c>
      <c r="F2579" s="116">
        <v>2462.1999999999998</v>
      </c>
      <c r="G2579">
        <v>34339</v>
      </c>
      <c r="H2579" s="116"/>
      <c r="I2579" s="116"/>
      <c r="L2579" s="170">
        <v>45804</v>
      </c>
      <c r="M2579" s="116">
        <v>1230.45</v>
      </c>
      <c r="N2579" s="116">
        <v>1241</v>
      </c>
      <c r="O2579" s="116">
        <v>1216.0999999999999</v>
      </c>
      <c r="P2579" s="116">
        <v>1225.05</v>
      </c>
      <c r="Q2579" s="116">
        <v>2460.9</v>
      </c>
      <c r="R2579">
        <v>792049</v>
      </c>
    </row>
    <row r="2580" spans="1:18" x14ac:dyDescent="0.25">
      <c r="A2580" s="170">
        <v>45805</v>
      </c>
      <c r="B2580" s="116">
        <v>1230</v>
      </c>
      <c r="C2580" s="116">
        <v>1209.2249999999999</v>
      </c>
      <c r="D2580" s="116">
        <v>1207.7750000000001</v>
      </c>
      <c r="E2580" s="116">
        <v>1230</v>
      </c>
      <c r="F2580" s="116">
        <v>2418.4499999999998</v>
      </c>
      <c r="G2580">
        <v>52410</v>
      </c>
      <c r="H2580" s="116"/>
      <c r="I2580" s="116"/>
      <c r="L2580" s="170">
        <v>45805</v>
      </c>
      <c r="M2580" s="116">
        <v>1209.5</v>
      </c>
      <c r="N2580" s="116">
        <v>1228.3499999999999</v>
      </c>
      <c r="O2580" s="116">
        <v>1208</v>
      </c>
      <c r="P2580" s="116">
        <v>1226.05</v>
      </c>
      <c r="Q2580" s="116">
        <v>2419</v>
      </c>
      <c r="R2580">
        <v>723621</v>
      </c>
    </row>
    <row r="2581" spans="1:18" x14ac:dyDescent="0.25">
      <c r="A2581" s="170">
        <v>45806</v>
      </c>
      <c r="B2581" s="116">
        <v>1219.4749999999999</v>
      </c>
      <c r="C2581" s="116">
        <v>1216.9000000000001</v>
      </c>
      <c r="D2581" s="116">
        <v>1203.25</v>
      </c>
      <c r="E2581" s="116">
        <v>1209.25</v>
      </c>
      <c r="F2581" s="116">
        <v>2433.8000000000002</v>
      </c>
      <c r="G2581">
        <v>9762</v>
      </c>
      <c r="H2581" s="116"/>
      <c r="I2581" s="116"/>
      <c r="L2581" s="170">
        <v>45806</v>
      </c>
      <c r="M2581" s="116">
        <v>1217.5</v>
      </c>
      <c r="N2581" s="116">
        <v>1219.9000000000001</v>
      </c>
      <c r="O2581" s="116">
        <v>1203.25</v>
      </c>
      <c r="P2581" s="116">
        <v>1210.7</v>
      </c>
      <c r="Q2581" s="116">
        <v>2435</v>
      </c>
      <c r="R2581">
        <v>931298</v>
      </c>
    </row>
    <row r="2582" spans="1:18" x14ac:dyDescent="0.25">
      <c r="A2582" s="170">
        <v>45807</v>
      </c>
      <c r="B2582" s="116">
        <v>1228.5</v>
      </c>
      <c r="C2582" s="116">
        <v>1198.375</v>
      </c>
      <c r="D2582" s="116">
        <v>1195.05</v>
      </c>
      <c r="E2582" s="116">
        <v>1227</v>
      </c>
      <c r="F2582" s="116">
        <v>2396.75</v>
      </c>
      <c r="G2582">
        <v>12300</v>
      </c>
      <c r="H2582" s="116"/>
      <c r="I2582" s="116"/>
      <c r="L2582" s="170">
        <v>45807</v>
      </c>
      <c r="M2582" s="116">
        <v>1198.0999999999999</v>
      </c>
      <c r="N2582" s="116">
        <v>1228.5</v>
      </c>
      <c r="O2582" s="116">
        <v>1195.25</v>
      </c>
      <c r="P2582" s="116">
        <v>1217.5</v>
      </c>
      <c r="Q2582" s="116">
        <v>2396.1999999999998</v>
      </c>
      <c r="R2582">
        <v>1067460</v>
      </c>
    </row>
    <row r="2583" spans="1:18" x14ac:dyDescent="0.25">
      <c r="A2583" s="170">
        <v>45810</v>
      </c>
      <c r="B2583" s="116">
        <v>1207.45</v>
      </c>
      <c r="C2583" s="116">
        <v>1204.0999999999999</v>
      </c>
      <c r="D2583" s="116">
        <v>1195.125</v>
      </c>
      <c r="E2583" s="116">
        <v>1195.125</v>
      </c>
      <c r="F2583" s="116">
        <v>2408.1999999999998</v>
      </c>
      <c r="G2583">
        <v>17176</v>
      </c>
      <c r="H2583" s="116"/>
      <c r="I2583" s="116"/>
      <c r="L2583" s="170">
        <v>45810</v>
      </c>
      <c r="M2583" s="116">
        <v>1203.1500000000001</v>
      </c>
      <c r="N2583" s="116">
        <v>1207.9000000000001</v>
      </c>
      <c r="O2583" s="116">
        <v>1195.5</v>
      </c>
      <c r="P2583" s="116">
        <v>1200</v>
      </c>
      <c r="Q2583" s="116">
        <v>2406.3000000000002</v>
      </c>
      <c r="R2583">
        <v>1026359</v>
      </c>
    </row>
    <row r="2584" spans="1:18" x14ac:dyDescent="0.25">
      <c r="A2584" s="170">
        <v>45811</v>
      </c>
      <c r="B2584" s="116">
        <v>1212</v>
      </c>
      <c r="C2584" s="116">
        <v>1195.325</v>
      </c>
      <c r="D2584" s="116">
        <v>1190.5250000000001</v>
      </c>
      <c r="E2584" s="116">
        <v>1209.875</v>
      </c>
      <c r="F2584" s="116">
        <v>2390.65</v>
      </c>
      <c r="G2584">
        <v>104420</v>
      </c>
      <c r="H2584" s="116"/>
      <c r="I2584" s="116"/>
      <c r="L2584" s="170">
        <v>45811</v>
      </c>
      <c r="M2584" s="116">
        <v>1195.7</v>
      </c>
      <c r="N2584" s="116">
        <v>1213.2</v>
      </c>
      <c r="O2584" s="116">
        <v>1191</v>
      </c>
      <c r="P2584" s="116">
        <v>1207.8499999999999</v>
      </c>
      <c r="Q2584" s="116">
        <v>2391.4</v>
      </c>
      <c r="R2584">
        <v>734444</v>
      </c>
    </row>
    <row r="2585" spans="1:18" x14ac:dyDescent="0.25">
      <c r="A2585" s="170">
        <v>45812</v>
      </c>
      <c r="B2585" s="116">
        <v>1201.75</v>
      </c>
      <c r="C2585" s="116">
        <v>1199.7</v>
      </c>
      <c r="D2585" s="116">
        <v>1192.1500000000001</v>
      </c>
      <c r="E2585" s="116">
        <v>1199.5999999999999</v>
      </c>
      <c r="F2585" s="116">
        <v>2399.4</v>
      </c>
      <c r="G2585">
        <v>35337</v>
      </c>
      <c r="H2585" s="116"/>
      <c r="I2585" s="116"/>
      <c r="L2585" s="170">
        <v>45812</v>
      </c>
      <c r="M2585" s="116">
        <v>1198.75</v>
      </c>
      <c r="N2585" s="116">
        <v>1201.9000000000001</v>
      </c>
      <c r="O2585" s="116">
        <v>1192.45</v>
      </c>
      <c r="P2585" s="116">
        <v>1194.2</v>
      </c>
      <c r="Q2585" s="116">
        <v>2397.5</v>
      </c>
      <c r="R2585">
        <v>587041</v>
      </c>
    </row>
    <row r="2586" spans="1:18" x14ac:dyDescent="0.25">
      <c r="A2586" s="170">
        <v>45813</v>
      </c>
      <c r="B2586" s="116">
        <v>1204.5999999999999</v>
      </c>
      <c r="C2586" s="116">
        <v>1200.6500000000001</v>
      </c>
      <c r="D2586" s="116">
        <v>1191</v>
      </c>
      <c r="E2586" s="116">
        <v>1200</v>
      </c>
      <c r="F2586" s="116">
        <v>2401.3000000000002</v>
      </c>
      <c r="G2586">
        <v>47228</v>
      </c>
      <c r="H2586" s="116"/>
      <c r="I2586" s="116"/>
      <c r="L2586" s="170">
        <v>45813</v>
      </c>
      <c r="M2586" s="116">
        <v>1200.6500000000001</v>
      </c>
      <c r="N2586" s="116">
        <v>1204.5</v>
      </c>
      <c r="O2586" s="116">
        <v>1190.25</v>
      </c>
      <c r="P2586" s="116">
        <v>1202.5</v>
      </c>
      <c r="Q2586" s="116">
        <v>2401.3000000000002</v>
      </c>
      <c r="R2586">
        <v>733958</v>
      </c>
    </row>
    <row r="2587" spans="1:18" x14ac:dyDescent="0.25">
      <c r="A2587" s="170">
        <v>45814</v>
      </c>
      <c r="B2587" s="116">
        <v>1211.625</v>
      </c>
      <c r="C2587" s="116">
        <v>1208.55</v>
      </c>
      <c r="D2587" s="116">
        <v>1195</v>
      </c>
      <c r="E2587" s="116">
        <v>1202.55</v>
      </c>
      <c r="F2587" s="116">
        <v>2417.1</v>
      </c>
      <c r="G2587">
        <v>40527</v>
      </c>
      <c r="H2587" s="116"/>
      <c r="I2587" s="116"/>
      <c r="L2587" s="170">
        <v>45814</v>
      </c>
      <c r="M2587" s="116">
        <v>1208.5999999999999</v>
      </c>
      <c r="N2587" s="116">
        <v>1211.45</v>
      </c>
      <c r="O2587" s="116">
        <v>1195</v>
      </c>
      <c r="P2587" s="116">
        <v>1201.95</v>
      </c>
      <c r="Q2587" s="116">
        <v>2417.1999999999998</v>
      </c>
      <c r="R2587">
        <v>502303</v>
      </c>
    </row>
    <row r="2588" spans="1:18" x14ac:dyDescent="0.25">
      <c r="A2588" s="170">
        <v>45817</v>
      </c>
      <c r="B2588" s="116">
        <v>1212.95</v>
      </c>
      <c r="C2588" s="116">
        <v>1208</v>
      </c>
      <c r="D2588" s="116">
        <v>1200.8</v>
      </c>
      <c r="E2588" s="116">
        <v>1208.7249999999999</v>
      </c>
      <c r="F2588" s="116">
        <v>2416</v>
      </c>
      <c r="G2588">
        <v>5552</v>
      </c>
      <c r="H2588" s="116"/>
      <c r="I2588" s="116"/>
      <c r="L2588" s="170">
        <v>45817</v>
      </c>
      <c r="M2588" s="116">
        <v>1207.6500000000001</v>
      </c>
      <c r="N2588" s="116">
        <v>1213.6500000000001</v>
      </c>
      <c r="O2588" s="116">
        <v>1200.5</v>
      </c>
      <c r="P2588" s="116">
        <v>1212.5</v>
      </c>
      <c r="Q2588" s="116">
        <v>2415.3000000000002</v>
      </c>
      <c r="R2588">
        <v>339437</v>
      </c>
    </row>
    <row r="2589" spans="1:18" x14ac:dyDescent="0.25">
      <c r="A2589" s="170">
        <v>45818</v>
      </c>
      <c r="B2589" s="116">
        <v>1219.2</v>
      </c>
      <c r="C2589" s="116">
        <v>1215.825</v>
      </c>
      <c r="D2589" s="116">
        <v>1203.9749999999999</v>
      </c>
      <c r="E2589" s="116">
        <v>1207.5</v>
      </c>
      <c r="F2589" s="116">
        <v>2431.65</v>
      </c>
      <c r="G2589">
        <v>155918</v>
      </c>
      <c r="H2589" s="116"/>
      <c r="I2589" s="116"/>
      <c r="L2589" s="170">
        <v>45818</v>
      </c>
      <c r="M2589" s="116">
        <v>1215.7</v>
      </c>
      <c r="N2589" s="116">
        <v>1219.45</v>
      </c>
      <c r="O2589" s="116">
        <v>1204.45</v>
      </c>
      <c r="P2589" s="116">
        <v>1207.6500000000001</v>
      </c>
      <c r="Q2589" s="116">
        <v>2431.4</v>
      </c>
      <c r="R2589">
        <v>675781</v>
      </c>
    </row>
    <row r="2590" spans="1:18" x14ac:dyDescent="0.25">
      <c r="A2590" s="170">
        <v>45819</v>
      </c>
      <c r="B2590" s="116">
        <v>1224.5</v>
      </c>
      <c r="C2590" s="116">
        <v>1209.2</v>
      </c>
      <c r="D2590" s="116">
        <v>1204.0999999999999</v>
      </c>
      <c r="E2590" s="116">
        <v>1224.5</v>
      </c>
      <c r="F2590" s="116">
        <v>2418.4</v>
      </c>
      <c r="G2590">
        <v>35785</v>
      </c>
      <c r="H2590" s="116"/>
      <c r="I2590" s="116"/>
      <c r="L2590" s="170">
        <v>45819</v>
      </c>
      <c r="M2590" s="116">
        <v>1209.5999999999999</v>
      </c>
      <c r="N2590" s="116">
        <v>1225</v>
      </c>
      <c r="O2590" s="116">
        <v>1204</v>
      </c>
      <c r="P2590" s="116">
        <v>1221.25</v>
      </c>
      <c r="Q2590" s="116">
        <v>2419.1999999999998</v>
      </c>
      <c r="R2590">
        <v>875687</v>
      </c>
    </row>
    <row r="2591" spans="1:18" x14ac:dyDescent="0.25">
      <c r="A2591" s="170">
        <v>45820</v>
      </c>
      <c r="B2591" s="116">
        <v>1211.425</v>
      </c>
      <c r="C2591" s="116">
        <v>1193.5999999999999</v>
      </c>
      <c r="D2591" s="116">
        <v>1184.0250000000001</v>
      </c>
      <c r="E2591" s="116">
        <v>1207.7249999999999</v>
      </c>
      <c r="F2591" s="116">
        <v>2387.1999999999998</v>
      </c>
      <c r="G2591">
        <v>30606</v>
      </c>
      <c r="H2591" s="116"/>
      <c r="I2591" s="116"/>
      <c r="L2591" s="170">
        <v>45820</v>
      </c>
      <c r="M2591" s="116">
        <v>1192.8</v>
      </c>
      <c r="N2591" s="116">
        <v>1214.05</v>
      </c>
      <c r="O2591" s="116">
        <v>1183.1500000000001</v>
      </c>
      <c r="P2591" s="116">
        <v>1213.5</v>
      </c>
      <c r="Q2591" s="116">
        <v>2385.6</v>
      </c>
      <c r="R2591">
        <v>1358579</v>
      </c>
    </row>
    <row r="2592" spans="1:18" x14ac:dyDescent="0.25">
      <c r="A2592" s="170">
        <v>45821</v>
      </c>
      <c r="B2592" s="116">
        <v>1190</v>
      </c>
      <c r="C2592" s="116">
        <v>1188.25</v>
      </c>
      <c r="D2592" s="116">
        <v>1173.9000000000001</v>
      </c>
      <c r="E2592" s="116">
        <v>1177.5250000000001</v>
      </c>
      <c r="F2592" s="116">
        <v>2376.5</v>
      </c>
      <c r="G2592">
        <v>12904</v>
      </c>
      <c r="H2592" s="116"/>
      <c r="I2592" s="116"/>
      <c r="L2592" s="170">
        <v>45821</v>
      </c>
      <c r="M2592" s="116">
        <v>1188.4000000000001</v>
      </c>
      <c r="N2592" s="116">
        <v>1190</v>
      </c>
      <c r="O2592" s="116">
        <v>1173.4000000000001</v>
      </c>
      <c r="P2592" s="116">
        <v>1181</v>
      </c>
      <c r="Q2592" s="116">
        <v>2376.8000000000002</v>
      </c>
      <c r="R2592">
        <v>414878</v>
      </c>
    </row>
    <row r="2593" spans="1:18" x14ac:dyDescent="0.25">
      <c r="A2593" s="170">
        <v>45824</v>
      </c>
      <c r="B2593" s="116">
        <v>1196.675</v>
      </c>
      <c r="C2593" s="116">
        <v>1194.7249999999999</v>
      </c>
      <c r="D2593" s="116">
        <v>1181.175</v>
      </c>
      <c r="E2593" s="116">
        <v>1181.175</v>
      </c>
      <c r="F2593" s="116">
        <v>2389.4499999999998</v>
      </c>
      <c r="G2593">
        <v>8273</v>
      </c>
      <c r="H2593" s="116"/>
      <c r="I2593" s="116"/>
      <c r="L2593" s="170">
        <v>45824</v>
      </c>
      <c r="M2593" s="116">
        <v>1194.9000000000001</v>
      </c>
      <c r="N2593" s="116">
        <v>1197.5</v>
      </c>
      <c r="O2593" s="116">
        <v>1182.55</v>
      </c>
      <c r="P2593" s="116">
        <v>1185.05</v>
      </c>
      <c r="Q2593" s="116">
        <v>2389.8000000000002</v>
      </c>
      <c r="R2593">
        <v>266154</v>
      </c>
    </row>
    <row r="2594" spans="1:18" x14ac:dyDescent="0.25">
      <c r="A2594" s="170">
        <v>45825</v>
      </c>
      <c r="B2594" s="116">
        <v>1192.4749999999999</v>
      </c>
      <c r="C2594" s="116">
        <v>1180.75</v>
      </c>
      <c r="D2594" s="116">
        <v>1176.925</v>
      </c>
      <c r="E2594" s="116">
        <v>1186.575</v>
      </c>
      <c r="F2594" s="116">
        <v>2361.5</v>
      </c>
      <c r="G2594">
        <v>7502</v>
      </c>
      <c r="H2594" s="116"/>
      <c r="I2594" s="116"/>
      <c r="L2594" s="170">
        <v>45825</v>
      </c>
      <c r="M2594" s="116">
        <v>1181</v>
      </c>
      <c r="N2594" s="116">
        <v>1193.45</v>
      </c>
      <c r="O2594" s="116">
        <v>1176.5</v>
      </c>
      <c r="P2594" s="116">
        <v>1190.05</v>
      </c>
      <c r="Q2594" s="116">
        <v>2362</v>
      </c>
      <c r="R2594">
        <v>765534</v>
      </c>
    </row>
    <row r="2595" spans="1:18" x14ac:dyDescent="0.25">
      <c r="A2595" s="170">
        <v>45826</v>
      </c>
      <c r="B2595" s="116">
        <v>1181.575</v>
      </c>
      <c r="C2595" s="116">
        <v>1169.5</v>
      </c>
      <c r="D2595" s="116">
        <v>1162.875</v>
      </c>
      <c r="E2595" s="116">
        <v>1179.5</v>
      </c>
      <c r="F2595" s="116">
        <v>2339</v>
      </c>
      <c r="G2595">
        <v>6180</v>
      </c>
      <c r="H2595" s="116"/>
      <c r="I2595" s="116"/>
      <c r="L2595" s="170">
        <v>45826</v>
      </c>
      <c r="M2595" s="116">
        <v>1170.4000000000001</v>
      </c>
      <c r="N2595" s="116">
        <v>1182.05</v>
      </c>
      <c r="O2595" s="116">
        <v>1162.7</v>
      </c>
      <c r="P2595" s="116">
        <v>1181.95</v>
      </c>
      <c r="Q2595" s="116">
        <v>2340.8000000000002</v>
      </c>
      <c r="R2595">
        <v>654277</v>
      </c>
    </row>
    <row r="2596" spans="1:18" x14ac:dyDescent="0.25">
      <c r="A2596" s="170">
        <v>45827</v>
      </c>
      <c r="B2596" s="116">
        <v>1170.675</v>
      </c>
      <c r="C2596" s="116">
        <v>1159.5</v>
      </c>
      <c r="D2596" s="116">
        <v>1154.55</v>
      </c>
      <c r="E2596" s="116">
        <v>1169.5</v>
      </c>
      <c r="F2596" s="116">
        <v>2319</v>
      </c>
      <c r="G2596">
        <v>64722</v>
      </c>
      <c r="H2596" s="116"/>
      <c r="I2596" s="116"/>
      <c r="L2596" s="170">
        <v>45827</v>
      </c>
      <c r="M2596" s="116">
        <v>1159.45</v>
      </c>
      <c r="N2596" s="116">
        <v>1170.4000000000001</v>
      </c>
      <c r="O2596" s="116">
        <v>1155</v>
      </c>
      <c r="P2596" s="116">
        <v>1170.4000000000001</v>
      </c>
      <c r="Q2596" s="116">
        <v>2318.9</v>
      </c>
      <c r="R2596">
        <v>737387</v>
      </c>
    </row>
    <row r="2597" spans="1:18" x14ac:dyDescent="0.25">
      <c r="A2597" s="170">
        <v>45828</v>
      </c>
      <c r="B2597" s="116">
        <v>1197.5</v>
      </c>
      <c r="C2597" s="116">
        <v>1182.325</v>
      </c>
      <c r="D2597" s="116">
        <v>1160</v>
      </c>
      <c r="E2597" s="116">
        <v>1169.95</v>
      </c>
      <c r="F2597" s="116">
        <v>2364.65</v>
      </c>
      <c r="G2597">
        <v>86959</v>
      </c>
      <c r="H2597" s="116"/>
      <c r="I2597" s="116"/>
      <c r="L2597" s="170">
        <v>45828</v>
      </c>
      <c r="M2597" s="116">
        <v>1180.2</v>
      </c>
      <c r="N2597" s="116">
        <v>1199</v>
      </c>
      <c r="O2597" s="116">
        <v>1159.45</v>
      </c>
      <c r="P2597" s="116">
        <v>1169.05</v>
      </c>
      <c r="Q2597" s="116">
        <v>2360.4</v>
      </c>
      <c r="R2597">
        <v>11470597</v>
      </c>
    </row>
    <row r="2598" spans="1:18" x14ac:dyDescent="0.25">
      <c r="A2598" s="170">
        <v>45831</v>
      </c>
      <c r="B2598" s="116">
        <v>1199.7750000000001</v>
      </c>
      <c r="C2598" s="116">
        <v>1179.6500000000001</v>
      </c>
      <c r="D2598" s="116">
        <v>1175.875</v>
      </c>
      <c r="E2598" s="116">
        <v>1182.5250000000001</v>
      </c>
      <c r="F2598" s="116">
        <v>2359.3000000000002</v>
      </c>
      <c r="G2598">
        <v>37048</v>
      </c>
      <c r="H2598" s="116"/>
      <c r="I2598" s="116"/>
      <c r="L2598" s="170">
        <v>45831</v>
      </c>
      <c r="M2598" s="116">
        <v>1179.55</v>
      </c>
      <c r="N2598" s="116">
        <v>1199.45</v>
      </c>
      <c r="O2598" s="116">
        <v>1175.45</v>
      </c>
      <c r="P2598" s="116">
        <v>1186.5</v>
      </c>
      <c r="Q2598" s="116">
        <v>2359.1</v>
      </c>
      <c r="R2598">
        <v>648872</v>
      </c>
    </row>
    <row r="2599" spans="1:18" x14ac:dyDescent="0.25">
      <c r="A2599" s="170">
        <v>45832</v>
      </c>
      <c r="B2599" s="116">
        <v>1190.75</v>
      </c>
      <c r="C2599" s="116">
        <v>1185.05</v>
      </c>
      <c r="D2599" s="116">
        <v>1179</v>
      </c>
      <c r="E2599" s="116">
        <v>1181.875</v>
      </c>
      <c r="F2599" s="116">
        <v>2370.1</v>
      </c>
      <c r="G2599">
        <v>72144</v>
      </c>
      <c r="H2599" s="116"/>
      <c r="I2599" s="116"/>
      <c r="L2599" s="170">
        <v>45832</v>
      </c>
      <c r="M2599" s="116">
        <v>1182.9000000000001</v>
      </c>
      <c r="N2599" s="116">
        <v>1191.8</v>
      </c>
      <c r="O2599" s="116">
        <v>1178.8499999999999</v>
      </c>
      <c r="P2599" s="116">
        <v>1187.5</v>
      </c>
      <c r="Q2599" s="116">
        <v>2365.8000000000002</v>
      </c>
      <c r="R2599">
        <v>550430</v>
      </c>
    </row>
    <row r="2600" spans="1:18" x14ac:dyDescent="0.25">
      <c r="A2600" s="170">
        <v>45833</v>
      </c>
      <c r="B2600" s="116">
        <v>1214.5</v>
      </c>
      <c r="C2600" s="116">
        <v>1202.2249999999999</v>
      </c>
      <c r="D2600" s="116">
        <v>1187.7750000000001</v>
      </c>
      <c r="E2600" s="116">
        <v>1188.2249999999999</v>
      </c>
      <c r="F2600" s="116">
        <v>2404.4499999999998</v>
      </c>
      <c r="G2600">
        <v>37277</v>
      </c>
      <c r="H2600" s="116"/>
      <c r="I2600" s="116"/>
      <c r="L2600" s="170">
        <v>45833</v>
      </c>
      <c r="M2600" s="116">
        <v>1202.2</v>
      </c>
      <c r="N2600" s="116">
        <v>1214.45</v>
      </c>
      <c r="O2600" s="116">
        <v>1186</v>
      </c>
      <c r="P2600" s="116">
        <v>1186</v>
      </c>
      <c r="Q2600" s="116">
        <v>2404.4</v>
      </c>
      <c r="R2600">
        <v>1150144</v>
      </c>
    </row>
    <row r="2601" spans="1:18" x14ac:dyDescent="0.25">
      <c r="A2601" s="170">
        <v>45834</v>
      </c>
      <c r="B2601" s="116">
        <v>1222.325</v>
      </c>
      <c r="C2601" s="116">
        <v>1214.9000000000001</v>
      </c>
      <c r="D2601" s="116">
        <v>1202</v>
      </c>
      <c r="E2601" s="116">
        <v>1211</v>
      </c>
      <c r="F2601" s="116">
        <v>2429.8000000000002</v>
      </c>
      <c r="G2601">
        <v>63621</v>
      </c>
      <c r="H2601" s="116"/>
      <c r="I2601" s="116"/>
      <c r="L2601" s="170">
        <v>45834</v>
      </c>
      <c r="M2601" s="116">
        <v>1215.7</v>
      </c>
      <c r="N2601" s="116">
        <v>1221.8</v>
      </c>
      <c r="O2601" s="116">
        <v>1201.5999999999999</v>
      </c>
      <c r="P2601" s="116">
        <v>1210</v>
      </c>
      <c r="Q2601" s="116">
        <v>2431.4</v>
      </c>
      <c r="R2601">
        <v>1557549</v>
      </c>
    </row>
    <row r="2602" spans="1:18" x14ac:dyDescent="0.25">
      <c r="A2602" s="170">
        <v>45835</v>
      </c>
      <c r="B2602" s="116">
        <v>1231.4749999999999</v>
      </c>
      <c r="C2602" s="116">
        <v>1228.875</v>
      </c>
      <c r="D2602" s="116">
        <v>1213.0250000000001</v>
      </c>
      <c r="E2602" s="116">
        <v>1226.9749999999999</v>
      </c>
      <c r="F2602" s="116">
        <v>2457.75</v>
      </c>
      <c r="G2602">
        <v>33887</v>
      </c>
      <c r="H2602" s="116"/>
      <c r="I2602" s="116"/>
      <c r="L2602" s="170">
        <v>45835</v>
      </c>
      <c r="M2602" s="116">
        <v>1229.3499999999999</v>
      </c>
      <c r="N2602" s="116">
        <v>1231.8499999999999</v>
      </c>
      <c r="O2602" s="116">
        <v>1213.05</v>
      </c>
      <c r="P2602" s="116">
        <v>1224.5</v>
      </c>
      <c r="Q2602" s="116">
        <v>2458.6999999999998</v>
      </c>
      <c r="R2602">
        <v>1187836</v>
      </c>
    </row>
    <row r="2603" spans="1:18" x14ac:dyDescent="0.25">
      <c r="A2603" s="170">
        <v>45838</v>
      </c>
      <c r="B2603" s="116">
        <v>1237.5</v>
      </c>
      <c r="C2603" s="116">
        <v>1232.7750000000001</v>
      </c>
      <c r="D2603" s="116">
        <v>1221.0250000000001</v>
      </c>
      <c r="E2603" s="116">
        <v>1233.45</v>
      </c>
      <c r="F2603" s="116">
        <v>2465.5500000000002</v>
      </c>
      <c r="G2603">
        <v>71231</v>
      </c>
      <c r="H2603" s="116"/>
      <c r="I2603" s="116"/>
      <c r="L2603" s="170">
        <v>45838</v>
      </c>
      <c r="M2603" s="116">
        <v>1232.6500000000001</v>
      </c>
      <c r="N2603" s="116">
        <v>1237.8</v>
      </c>
      <c r="O2603" s="116">
        <v>1221.5</v>
      </c>
      <c r="P2603" s="116">
        <v>1234</v>
      </c>
      <c r="Q2603" s="116">
        <v>2465.3000000000002</v>
      </c>
      <c r="R2603">
        <v>829005</v>
      </c>
    </row>
    <row r="2604" spans="1:18" x14ac:dyDescent="0.25">
      <c r="A2604" s="170">
        <v>45839</v>
      </c>
      <c r="B2604" s="116">
        <v>1235.875</v>
      </c>
      <c r="C2604" s="116">
        <v>1205.125</v>
      </c>
      <c r="D2604" s="116">
        <v>1203</v>
      </c>
      <c r="E2604" s="116">
        <v>1233.2</v>
      </c>
      <c r="F2604" s="116">
        <v>2410.25</v>
      </c>
      <c r="G2604">
        <v>30633</v>
      </c>
      <c r="H2604" s="116"/>
      <c r="I2604" s="116"/>
      <c r="L2604" s="170">
        <v>45839</v>
      </c>
      <c r="M2604" s="116">
        <v>1205.05</v>
      </c>
      <c r="N2604" s="116">
        <v>1235.7</v>
      </c>
      <c r="O2604" s="116">
        <v>1202.5999999999999</v>
      </c>
      <c r="P2604" s="116">
        <v>1235</v>
      </c>
      <c r="Q2604" s="116">
        <v>2410.1</v>
      </c>
      <c r="R2604">
        <v>538610</v>
      </c>
    </row>
    <row r="2605" spans="1:18" x14ac:dyDescent="0.25">
      <c r="A2605" s="170">
        <v>45840</v>
      </c>
      <c r="B2605" s="116">
        <v>1207.5</v>
      </c>
      <c r="C2605" s="116">
        <v>1194.125</v>
      </c>
      <c r="D2605" s="116">
        <v>1190.3499999999999</v>
      </c>
      <c r="E2605" s="116">
        <v>1207.5</v>
      </c>
      <c r="F2605" s="116">
        <v>2388.25</v>
      </c>
      <c r="G2605">
        <v>26810</v>
      </c>
      <c r="H2605" s="116"/>
      <c r="I2605" s="116"/>
      <c r="L2605" s="170">
        <v>45840</v>
      </c>
      <c r="M2605" s="116">
        <v>1194</v>
      </c>
      <c r="N2605" s="116">
        <v>1206.95</v>
      </c>
      <c r="O2605" s="116">
        <v>1190</v>
      </c>
      <c r="P2605" s="116">
        <v>1205.25</v>
      </c>
      <c r="Q2605" s="116">
        <v>2388</v>
      </c>
      <c r="R2605">
        <v>737526</v>
      </c>
    </row>
    <row r="2606" spans="1:18" x14ac:dyDescent="0.25">
      <c r="A2606" s="170">
        <v>45841</v>
      </c>
      <c r="B2606" s="116">
        <v>1204.5999999999999</v>
      </c>
      <c r="C2606" s="116">
        <v>1194.2750000000001</v>
      </c>
      <c r="D2606" s="116">
        <v>1192.5</v>
      </c>
      <c r="E2606" s="116">
        <v>1199.9749999999999</v>
      </c>
      <c r="F2606" s="116">
        <v>2388.5500000000002</v>
      </c>
      <c r="G2606">
        <v>23157</v>
      </c>
      <c r="H2606" s="116"/>
      <c r="I2606" s="116"/>
      <c r="L2606" s="170">
        <v>45841</v>
      </c>
      <c r="M2606" s="116">
        <v>1194.2</v>
      </c>
      <c r="N2606" s="116">
        <v>1204.55</v>
      </c>
      <c r="O2606" s="116">
        <v>1192.5</v>
      </c>
      <c r="P2606" s="116">
        <v>1199.95</v>
      </c>
      <c r="Q2606" s="116">
        <v>2388.4</v>
      </c>
      <c r="R2606">
        <v>631819</v>
      </c>
    </row>
    <row r="2607" spans="1:18" x14ac:dyDescent="0.25">
      <c r="A2607" s="170">
        <v>45842</v>
      </c>
      <c r="B2607" s="116">
        <v>1198.7</v>
      </c>
      <c r="C2607" s="116">
        <v>1196.0250000000001</v>
      </c>
      <c r="D2607" s="116">
        <v>1184.1500000000001</v>
      </c>
      <c r="E2607" s="116">
        <v>1193.5</v>
      </c>
      <c r="F2607" s="116">
        <v>2392.0500000000002</v>
      </c>
      <c r="G2607">
        <v>78919</v>
      </c>
      <c r="H2607" s="116"/>
      <c r="I2607" s="116"/>
      <c r="L2607" s="170">
        <v>45842</v>
      </c>
      <c r="M2607" s="116">
        <v>1196.4000000000001</v>
      </c>
      <c r="N2607" s="116">
        <v>1198.5</v>
      </c>
      <c r="O2607" s="116">
        <v>1183.55</v>
      </c>
      <c r="P2607" s="116">
        <v>1192.45</v>
      </c>
      <c r="Q2607" s="116">
        <v>2392.8000000000002</v>
      </c>
      <c r="R2607">
        <v>395057</v>
      </c>
    </row>
    <row r="2608" spans="1:18" x14ac:dyDescent="0.25">
      <c r="A2608" s="170">
        <v>45845</v>
      </c>
      <c r="B2608" s="116">
        <v>1212.9000000000001</v>
      </c>
      <c r="C2608" s="116">
        <v>1211.4749999999999</v>
      </c>
      <c r="D2608" s="116">
        <v>1196.0250000000001</v>
      </c>
      <c r="E2608" s="116">
        <v>1197.5999999999999</v>
      </c>
      <c r="F2608" s="116">
        <v>2422.9499999999998</v>
      </c>
      <c r="G2608">
        <v>19316</v>
      </c>
      <c r="H2608" s="116"/>
      <c r="I2608" s="116"/>
      <c r="L2608" s="170">
        <v>45845</v>
      </c>
      <c r="M2608" s="116">
        <v>1211.05</v>
      </c>
      <c r="N2608" s="116">
        <v>1213</v>
      </c>
      <c r="O2608" s="116">
        <v>1194</v>
      </c>
      <c r="P2608" s="116">
        <v>1199.7</v>
      </c>
      <c r="Q2608" s="116">
        <v>2422.1</v>
      </c>
      <c r="R2608">
        <v>434207</v>
      </c>
    </row>
    <row r="2609" spans="1:18" x14ac:dyDescent="0.25">
      <c r="A2609" s="170">
        <v>45846</v>
      </c>
      <c r="B2609" s="116">
        <v>1217.9749999999999</v>
      </c>
      <c r="C2609" s="116">
        <v>1208.95</v>
      </c>
      <c r="D2609" s="116">
        <v>1203.55</v>
      </c>
      <c r="E2609" s="116">
        <v>1212.5</v>
      </c>
      <c r="F2609" s="116">
        <v>2417.9</v>
      </c>
      <c r="G2609">
        <v>18668</v>
      </c>
      <c r="H2609" s="116"/>
      <c r="I2609" s="116"/>
      <c r="L2609" s="170">
        <v>45846</v>
      </c>
      <c r="M2609" s="116">
        <v>1208.95</v>
      </c>
      <c r="N2609" s="116">
        <v>1217.8499999999999</v>
      </c>
      <c r="O2609" s="116">
        <v>1203.5</v>
      </c>
      <c r="P2609" s="116">
        <v>1211.05</v>
      </c>
      <c r="Q2609" s="116">
        <v>2417.9</v>
      </c>
      <c r="R2609">
        <v>355788</v>
      </c>
    </row>
    <row r="2610" spans="1:18" x14ac:dyDescent="0.25">
      <c r="A2610" s="170">
        <v>45847</v>
      </c>
      <c r="B2610" s="116">
        <v>1217.4000000000001</v>
      </c>
      <c r="C2610" s="116">
        <v>1213.5</v>
      </c>
      <c r="D2610" s="116">
        <v>1208.175</v>
      </c>
      <c r="E2610" s="116">
        <v>1209.4000000000001</v>
      </c>
      <c r="F2610" s="116">
        <v>2427</v>
      </c>
      <c r="G2610">
        <v>27436</v>
      </c>
      <c r="H2610" s="116"/>
      <c r="I2610" s="116"/>
      <c r="L2610" s="170">
        <v>45847</v>
      </c>
      <c r="M2610" s="116">
        <v>1213.9000000000001</v>
      </c>
      <c r="N2610" s="116">
        <v>1218.25</v>
      </c>
      <c r="O2610" s="116">
        <v>1207.25</v>
      </c>
      <c r="P2610" s="116">
        <v>1210</v>
      </c>
      <c r="Q2610" s="116">
        <v>2427.8000000000002</v>
      </c>
      <c r="R2610">
        <v>395180</v>
      </c>
    </row>
    <row r="2611" spans="1:18" x14ac:dyDescent="0.25">
      <c r="A2611" s="170">
        <v>45848</v>
      </c>
      <c r="B2611" s="116">
        <v>1218.375</v>
      </c>
      <c r="C2611" s="116">
        <v>1200.5250000000001</v>
      </c>
      <c r="D2611" s="116">
        <v>1199</v>
      </c>
      <c r="E2611" s="116">
        <v>1214.75</v>
      </c>
      <c r="F2611" s="116">
        <v>2401.0500000000002</v>
      </c>
      <c r="G2611">
        <v>10038</v>
      </c>
      <c r="H2611" s="116"/>
      <c r="I2611" s="116"/>
      <c r="L2611" s="170">
        <v>45848</v>
      </c>
      <c r="M2611" s="116">
        <v>1200.7</v>
      </c>
      <c r="N2611" s="116">
        <v>1218.45</v>
      </c>
      <c r="O2611" s="116">
        <v>1198.8</v>
      </c>
      <c r="P2611" s="116">
        <v>1212.5</v>
      </c>
      <c r="Q2611" s="116">
        <v>2401.4</v>
      </c>
      <c r="R2611">
        <v>284925</v>
      </c>
    </row>
    <row r="2612" spans="1:18" x14ac:dyDescent="0.25">
      <c r="A2612" s="170">
        <v>45849</v>
      </c>
      <c r="B2612" s="116">
        <v>1213.7249999999999</v>
      </c>
      <c r="C2612" s="116">
        <v>1201.2</v>
      </c>
      <c r="D2612" s="116">
        <v>1199</v>
      </c>
      <c r="E2612" s="116">
        <v>1203.4749999999999</v>
      </c>
      <c r="F2612" s="116">
        <v>2402.4</v>
      </c>
      <c r="G2612">
        <v>10048</v>
      </c>
      <c r="H2612" s="116"/>
      <c r="I2612" s="116"/>
      <c r="L2612" s="170">
        <v>45849</v>
      </c>
      <c r="M2612" s="116">
        <v>1201.75</v>
      </c>
      <c r="N2612" s="116">
        <v>1214.3499999999999</v>
      </c>
      <c r="O2612" s="116">
        <v>1198.55</v>
      </c>
      <c r="P2612" s="116">
        <v>1202</v>
      </c>
      <c r="Q2612" s="116">
        <v>2403.5</v>
      </c>
      <c r="R2612">
        <v>370532</v>
      </c>
    </row>
    <row r="2613" spans="1:18" x14ac:dyDescent="0.25">
      <c r="A2613" s="170">
        <v>45852</v>
      </c>
      <c r="B2613" s="116">
        <v>1205</v>
      </c>
      <c r="C2613" s="116">
        <v>1196.75</v>
      </c>
      <c r="D2613" s="116">
        <v>1189.0250000000001</v>
      </c>
      <c r="E2613" s="116">
        <v>1199.5250000000001</v>
      </c>
      <c r="F2613" s="116">
        <v>2393.5</v>
      </c>
      <c r="G2613">
        <v>8177</v>
      </c>
      <c r="H2613" s="116"/>
      <c r="I2613" s="116"/>
      <c r="L2613" s="170">
        <v>45852</v>
      </c>
      <c r="M2613" s="116">
        <v>1196.45</v>
      </c>
      <c r="N2613" s="116">
        <v>1207.3499999999999</v>
      </c>
      <c r="O2613" s="116">
        <v>1188.5</v>
      </c>
      <c r="P2613" s="116">
        <v>1202.6500000000001</v>
      </c>
      <c r="Q2613" s="116">
        <v>2392.9</v>
      </c>
      <c r="R2613">
        <v>471457</v>
      </c>
    </row>
    <row r="2614" spans="1:18" x14ac:dyDescent="0.25">
      <c r="A2614" s="170">
        <v>45853</v>
      </c>
      <c r="B2614" s="116">
        <v>1210</v>
      </c>
      <c r="C2614" s="116">
        <v>1208.375</v>
      </c>
      <c r="D2614" s="116">
        <v>1190.625</v>
      </c>
      <c r="E2614" s="116">
        <v>1196.75</v>
      </c>
      <c r="F2614" s="116">
        <v>2416.75</v>
      </c>
      <c r="G2614">
        <v>33137</v>
      </c>
      <c r="H2614" s="116"/>
      <c r="I2614" s="116"/>
      <c r="L2614" s="170">
        <v>45853</v>
      </c>
      <c r="M2614" s="116">
        <v>1208.1500000000001</v>
      </c>
      <c r="N2614" s="116">
        <v>1210</v>
      </c>
      <c r="O2614" s="116">
        <v>1190.05</v>
      </c>
      <c r="P2614" s="116">
        <v>1196.45</v>
      </c>
      <c r="Q2614" s="116">
        <v>2416.3000000000002</v>
      </c>
      <c r="R2614">
        <v>532304</v>
      </c>
    </row>
    <row r="2615" spans="1:18" x14ac:dyDescent="0.25">
      <c r="A2615" s="170">
        <v>45854</v>
      </c>
      <c r="B2615" s="116">
        <v>1244.5</v>
      </c>
      <c r="C2615" s="116">
        <v>1231.325</v>
      </c>
      <c r="D2615" s="116">
        <v>1204.7</v>
      </c>
      <c r="E2615" s="116">
        <v>1211.9749999999999</v>
      </c>
      <c r="F2615" s="116">
        <v>2462.65</v>
      </c>
      <c r="G2615">
        <v>89335</v>
      </c>
      <c r="H2615" s="116"/>
      <c r="I2615" s="116"/>
      <c r="L2615" s="170">
        <v>45854</v>
      </c>
      <c r="M2615" s="116">
        <v>1230</v>
      </c>
      <c r="N2615" s="116">
        <v>1245</v>
      </c>
      <c r="O2615" s="116">
        <v>1203.7</v>
      </c>
      <c r="P2615" s="116">
        <v>1208</v>
      </c>
      <c r="Q2615" s="116">
        <v>2460</v>
      </c>
      <c r="R2615">
        <v>1405315</v>
      </c>
    </row>
    <row r="2616" spans="1:18" x14ac:dyDescent="0.25">
      <c r="A2616" s="170">
        <v>45855</v>
      </c>
      <c r="B2616" s="116">
        <v>1234.9000000000001</v>
      </c>
      <c r="C2616" s="116">
        <v>1224.375</v>
      </c>
      <c r="D2616" s="116">
        <v>1223.25</v>
      </c>
      <c r="E2616" s="116">
        <v>1229.9749999999999</v>
      </c>
      <c r="F2616" s="116">
        <v>2448.75</v>
      </c>
      <c r="G2616">
        <v>17686</v>
      </c>
      <c r="H2616" s="116"/>
      <c r="I2616" s="116"/>
      <c r="L2616" s="170">
        <v>45855</v>
      </c>
      <c r="M2616" s="116">
        <v>1224.55</v>
      </c>
      <c r="N2616" s="116">
        <v>1235</v>
      </c>
      <c r="O2616" s="116">
        <v>1223.05</v>
      </c>
      <c r="P2616" s="116">
        <v>1229</v>
      </c>
      <c r="Q2616" s="116">
        <v>2449.1</v>
      </c>
      <c r="R2616">
        <v>273354</v>
      </c>
    </row>
    <row r="2617" spans="1:18" x14ac:dyDescent="0.25">
      <c r="A2617" s="170">
        <v>45856</v>
      </c>
      <c r="B2617" s="116">
        <v>1237.5</v>
      </c>
      <c r="C2617" s="116">
        <v>1236.4000000000001</v>
      </c>
      <c r="D2617" s="116">
        <v>1215.375</v>
      </c>
      <c r="E2617" s="116">
        <v>1225.0250000000001</v>
      </c>
      <c r="F2617" s="116">
        <v>2472.8000000000002</v>
      </c>
      <c r="G2617">
        <v>11093</v>
      </c>
      <c r="H2617" s="116"/>
      <c r="I2617" s="116"/>
      <c r="L2617" s="170">
        <v>45856</v>
      </c>
      <c r="M2617" s="116">
        <v>1236.0999999999999</v>
      </c>
      <c r="N2617" s="116">
        <v>1238.45</v>
      </c>
      <c r="O2617" s="116">
        <v>1215.5</v>
      </c>
      <c r="P2617" s="116">
        <v>1229.5</v>
      </c>
      <c r="Q2617" s="116">
        <v>2472.1999999999998</v>
      </c>
      <c r="R2617">
        <v>449826</v>
      </c>
    </row>
    <row r="2618" spans="1:18" x14ac:dyDescent="0.25">
      <c r="A2618" s="170">
        <v>45859</v>
      </c>
      <c r="B2618" s="116">
        <v>1238.7249999999999</v>
      </c>
      <c r="C2618" s="116">
        <v>1236.425</v>
      </c>
      <c r="D2618" s="116">
        <v>1222.425</v>
      </c>
      <c r="E2618" s="116">
        <v>1237.5</v>
      </c>
      <c r="F2618" s="116">
        <v>2472.85</v>
      </c>
      <c r="G2618">
        <v>18865</v>
      </c>
      <c r="H2618" s="116"/>
      <c r="I2618" s="116"/>
      <c r="L2618" s="170">
        <v>45859</v>
      </c>
      <c r="M2618" s="116">
        <v>1236.3</v>
      </c>
      <c r="N2618" s="116">
        <v>1239.2</v>
      </c>
      <c r="O2618" s="116">
        <v>1222.5</v>
      </c>
      <c r="P2618" s="116">
        <v>1236.45</v>
      </c>
      <c r="Q2618" s="116">
        <v>2472.6</v>
      </c>
      <c r="R2618">
        <v>478987</v>
      </c>
    </row>
    <row r="2619" spans="1:18" x14ac:dyDescent="0.25">
      <c r="A2619" s="170">
        <v>45860</v>
      </c>
      <c r="B2619" s="116">
        <v>1238.425</v>
      </c>
      <c r="C2619" s="116">
        <v>1221.375</v>
      </c>
      <c r="D2619" s="116">
        <v>1219.3</v>
      </c>
      <c r="E2619" s="116">
        <v>1237.4749999999999</v>
      </c>
      <c r="F2619" s="116">
        <v>2442.75</v>
      </c>
      <c r="G2619">
        <v>16959</v>
      </c>
      <c r="H2619" s="116"/>
      <c r="I2619" s="116"/>
      <c r="L2619" s="170">
        <v>45860</v>
      </c>
      <c r="M2619" s="116">
        <v>1221.75</v>
      </c>
      <c r="N2619" s="116">
        <v>1238.75</v>
      </c>
      <c r="O2619" s="116">
        <v>1219</v>
      </c>
      <c r="P2619" s="116">
        <v>1236.4000000000001</v>
      </c>
      <c r="Q2619" s="116">
        <v>2443.5</v>
      </c>
      <c r="R2619">
        <v>387274</v>
      </c>
    </row>
    <row r="2620" spans="1:18" x14ac:dyDescent="0.25">
      <c r="A2620" s="170">
        <v>45861</v>
      </c>
      <c r="B2620" s="116">
        <v>1234.7249999999999</v>
      </c>
      <c r="C2620" s="116">
        <v>1226.4000000000001</v>
      </c>
      <c r="D2620" s="116">
        <v>1217.125</v>
      </c>
      <c r="E2620" s="116">
        <v>1229.875</v>
      </c>
      <c r="F2620" s="116">
        <v>2452.8000000000002</v>
      </c>
      <c r="G2620">
        <v>18656</v>
      </c>
      <c r="H2620" s="116"/>
      <c r="I2620" s="116"/>
      <c r="L2620" s="170">
        <v>45861</v>
      </c>
      <c r="M2620" s="116">
        <v>1226.25</v>
      </c>
      <c r="N2620" s="116">
        <v>1234.5</v>
      </c>
      <c r="O2620" s="116">
        <v>1216.8</v>
      </c>
      <c r="P2620" s="116">
        <v>1230</v>
      </c>
      <c r="Q2620" s="116">
        <v>2452.5</v>
      </c>
      <c r="R2620">
        <v>360114</v>
      </c>
    </row>
    <row r="2621" spans="1:18" x14ac:dyDescent="0.25">
      <c r="A2621" s="170">
        <v>45862</v>
      </c>
      <c r="B2621" s="116">
        <v>1237.2</v>
      </c>
      <c r="C2621" s="116">
        <v>1160.075</v>
      </c>
      <c r="D2621" s="116">
        <v>1155.3499999999999</v>
      </c>
      <c r="E2621" s="116">
        <v>1225.05</v>
      </c>
      <c r="F2621" s="116">
        <v>2320.15</v>
      </c>
      <c r="G2621">
        <v>123650</v>
      </c>
      <c r="H2621" s="116"/>
      <c r="I2621" s="116"/>
      <c r="L2621" s="170">
        <v>45862</v>
      </c>
      <c r="M2621" s="116">
        <v>1161.05</v>
      </c>
      <c r="N2621" s="116">
        <v>1237.5</v>
      </c>
      <c r="O2621" s="116">
        <v>1155</v>
      </c>
      <c r="P2621" s="116">
        <v>1226.4000000000001</v>
      </c>
      <c r="Q2621" s="116">
        <v>2322.1</v>
      </c>
      <c r="R2621">
        <v>2686006</v>
      </c>
    </row>
    <row r="2622" spans="1:18" x14ac:dyDescent="0.25">
      <c r="A2622" s="170">
        <v>45863</v>
      </c>
      <c r="B2622" s="116">
        <v>1159.9000000000001</v>
      </c>
      <c r="C2622" s="116">
        <v>1137.5</v>
      </c>
      <c r="D2622" s="116">
        <v>1132.75</v>
      </c>
      <c r="E2622" s="116">
        <v>1159.9000000000001</v>
      </c>
      <c r="F2622" s="116">
        <v>2275</v>
      </c>
      <c r="G2622">
        <v>94011</v>
      </c>
      <c r="H2622" s="116"/>
      <c r="I2622" s="116"/>
      <c r="L2622" s="170">
        <v>45863</v>
      </c>
      <c r="M2622" s="116">
        <v>1137.3</v>
      </c>
      <c r="N2622" s="116">
        <v>1157.45</v>
      </c>
      <c r="O2622" s="116">
        <v>1133</v>
      </c>
      <c r="P2622" s="116">
        <v>1157.45</v>
      </c>
      <c r="Q2622" s="116">
        <v>2274.6</v>
      </c>
      <c r="R2622">
        <v>1589357</v>
      </c>
    </row>
    <row r="2623" spans="1:18" x14ac:dyDescent="0.25">
      <c r="A2623" s="170">
        <v>45866</v>
      </c>
      <c r="B2623" s="116">
        <v>1149.7249999999999</v>
      </c>
      <c r="C2623" s="116">
        <v>1115.7249999999999</v>
      </c>
      <c r="D2623" s="116">
        <v>1112</v>
      </c>
      <c r="E2623" s="116">
        <v>1138.75</v>
      </c>
      <c r="F2623" s="116">
        <v>2231.4499999999998</v>
      </c>
      <c r="G2623">
        <v>33616</v>
      </c>
      <c r="H2623" s="116"/>
      <c r="I2623" s="116"/>
      <c r="L2623" s="170">
        <v>45866</v>
      </c>
      <c r="M2623" s="116">
        <v>1114.6500000000001</v>
      </c>
      <c r="N2623" s="116">
        <v>1149.95</v>
      </c>
      <c r="O2623" s="116">
        <v>1111.05</v>
      </c>
      <c r="P2623" s="116">
        <v>1137.3499999999999</v>
      </c>
      <c r="Q2623" s="116">
        <v>2229.3000000000002</v>
      </c>
      <c r="R2623">
        <v>939969</v>
      </c>
    </row>
    <row r="2624" spans="1:18" x14ac:dyDescent="0.25">
      <c r="A2624" s="170">
        <v>45867</v>
      </c>
      <c r="B2624" s="116">
        <v>1127.95</v>
      </c>
      <c r="C2624" s="116">
        <v>1112.4000000000001</v>
      </c>
      <c r="D2624" s="116">
        <v>1110.5</v>
      </c>
      <c r="E2624" s="116">
        <v>1115.7249999999999</v>
      </c>
      <c r="F2624" s="116">
        <v>2224.8000000000002</v>
      </c>
      <c r="G2624">
        <v>23147</v>
      </c>
      <c r="H2624" s="116"/>
      <c r="I2624" s="116"/>
      <c r="L2624" s="170">
        <v>45867</v>
      </c>
      <c r="M2624" s="116">
        <v>1111.8499999999999</v>
      </c>
      <c r="N2624" s="116">
        <v>1129.05</v>
      </c>
      <c r="O2624" s="116">
        <v>1109.95</v>
      </c>
      <c r="P2624" s="116">
        <v>1115</v>
      </c>
      <c r="Q2624" s="116">
        <v>2223.6999999999998</v>
      </c>
      <c r="R2624">
        <v>900961</v>
      </c>
    </row>
    <row r="2625" spans="1:18" x14ac:dyDescent="0.25">
      <c r="A2625" s="170">
        <v>45868</v>
      </c>
      <c r="B2625" s="116">
        <v>1119.5</v>
      </c>
      <c r="C2625" s="116">
        <v>1115.95</v>
      </c>
      <c r="D2625" s="116">
        <v>1111.05</v>
      </c>
      <c r="E2625" s="116">
        <v>1114.4749999999999</v>
      </c>
      <c r="F2625" s="116">
        <v>2231.9</v>
      </c>
      <c r="G2625">
        <v>25479</v>
      </c>
      <c r="H2625" s="116"/>
      <c r="I2625" s="116"/>
      <c r="L2625" s="170">
        <v>45868</v>
      </c>
      <c r="M2625" s="116">
        <v>1115.75</v>
      </c>
      <c r="N2625" s="116">
        <v>1119.75</v>
      </c>
      <c r="O2625" s="116">
        <v>1110.8499999999999</v>
      </c>
      <c r="P2625" s="116">
        <v>1115</v>
      </c>
      <c r="Q2625" s="116">
        <v>2231.5</v>
      </c>
      <c r="R2625">
        <v>464849</v>
      </c>
    </row>
    <row r="2626" spans="1:18" x14ac:dyDescent="0.25">
      <c r="A2626" s="170">
        <v>45869</v>
      </c>
      <c r="B2626" s="116">
        <v>1132.95</v>
      </c>
      <c r="C2626" s="116">
        <v>1124.7249999999999</v>
      </c>
      <c r="D2626" s="116">
        <v>1110.9000000000001</v>
      </c>
      <c r="E2626" s="116">
        <v>1114.25</v>
      </c>
      <c r="F2626" s="116">
        <v>2249.4499999999998</v>
      </c>
      <c r="G2626">
        <v>23886</v>
      </c>
      <c r="H2626" s="116"/>
      <c r="I2626" s="116"/>
      <c r="L2626" s="170">
        <v>45869</v>
      </c>
      <c r="M2626" s="116">
        <v>1123.8499999999999</v>
      </c>
      <c r="N2626" s="116">
        <v>1132.95</v>
      </c>
      <c r="O2626" s="116">
        <v>1110.5</v>
      </c>
      <c r="P2626" s="116">
        <v>1112.5</v>
      </c>
      <c r="Q2626" s="116">
        <v>2247.6999999999998</v>
      </c>
      <c r="R2626">
        <v>673109</v>
      </c>
    </row>
    <row r="2627" spans="1:18" x14ac:dyDescent="0.25">
      <c r="A2627" s="170">
        <v>45870</v>
      </c>
      <c r="B2627" s="116">
        <v>1143.95</v>
      </c>
      <c r="C2627" s="116">
        <v>1137.9749999999999</v>
      </c>
      <c r="D2627" s="116">
        <v>1122.3</v>
      </c>
      <c r="E2627" s="116">
        <v>1124.7249999999999</v>
      </c>
      <c r="F2627" s="116">
        <v>2275.9499999999998</v>
      </c>
      <c r="G2627">
        <v>31511</v>
      </c>
      <c r="H2627" s="116"/>
      <c r="I2627" s="116"/>
      <c r="L2627" s="170">
        <v>45870</v>
      </c>
      <c r="M2627" s="116">
        <v>1138.25</v>
      </c>
      <c r="N2627" s="116">
        <v>1143.8499999999999</v>
      </c>
      <c r="O2627" s="116">
        <v>1121.55</v>
      </c>
      <c r="P2627" s="116">
        <v>1123.8499999999999</v>
      </c>
      <c r="Q2627" s="116">
        <v>2276.5</v>
      </c>
      <c r="R2627">
        <v>705012</v>
      </c>
    </row>
    <row r="2628" spans="1:18" x14ac:dyDescent="0.25">
      <c r="A2628" s="170">
        <v>45873</v>
      </c>
      <c r="B2628" s="116">
        <v>1149.2</v>
      </c>
      <c r="C2628" s="116">
        <v>1138.675</v>
      </c>
      <c r="D2628" s="116">
        <v>1129.55</v>
      </c>
      <c r="E2628" s="116">
        <v>1149.2</v>
      </c>
      <c r="F2628" s="116">
        <v>2277.35</v>
      </c>
      <c r="G2628">
        <v>15398</v>
      </c>
      <c r="H2628" s="116"/>
      <c r="I2628" s="116"/>
      <c r="L2628" s="170">
        <v>45873</v>
      </c>
      <c r="M2628" s="116">
        <v>1138.7</v>
      </c>
      <c r="N2628" s="116">
        <v>1143.3</v>
      </c>
      <c r="O2628" s="116">
        <v>1129</v>
      </c>
      <c r="P2628" s="116">
        <v>1143</v>
      </c>
      <c r="Q2628" s="116">
        <v>2277.4</v>
      </c>
      <c r="R2628">
        <v>406397</v>
      </c>
    </row>
    <row r="2629" spans="1:18" x14ac:dyDescent="0.25">
      <c r="A2629" s="170">
        <v>45874</v>
      </c>
      <c r="B2629" s="116">
        <v>1147.125</v>
      </c>
      <c r="C2629" s="116">
        <v>1133.5</v>
      </c>
      <c r="D2629" s="116">
        <v>1125.5</v>
      </c>
      <c r="E2629" s="116">
        <v>1147.125</v>
      </c>
      <c r="F2629" s="116">
        <v>2267</v>
      </c>
      <c r="G2629">
        <v>12485</v>
      </c>
      <c r="H2629" s="116"/>
      <c r="I2629" s="116"/>
      <c r="L2629" s="170">
        <v>45874</v>
      </c>
      <c r="M2629" s="116">
        <v>1133.6500000000001</v>
      </c>
      <c r="N2629" s="116">
        <v>1141.2</v>
      </c>
      <c r="O2629" s="116">
        <v>1125.05</v>
      </c>
      <c r="P2629" s="116">
        <v>1139.8499999999999</v>
      </c>
      <c r="Q2629" s="116">
        <v>2267.3000000000002</v>
      </c>
      <c r="R2629">
        <v>567967</v>
      </c>
    </row>
    <row r="2630" spans="1:18" x14ac:dyDescent="0.25">
      <c r="A2630" s="170">
        <v>45875</v>
      </c>
      <c r="B2630" s="116">
        <v>1142.175</v>
      </c>
      <c r="C2630" s="116">
        <v>1116.6500000000001</v>
      </c>
      <c r="D2630" s="116">
        <v>1114</v>
      </c>
      <c r="E2630" s="116">
        <v>1142.175</v>
      </c>
      <c r="F2630" s="116">
        <v>2233.3000000000002</v>
      </c>
      <c r="G2630">
        <v>22378</v>
      </c>
      <c r="H2630" s="116"/>
      <c r="I2630" s="116"/>
      <c r="L2630" s="170">
        <v>45875</v>
      </c>
      <c r="M2630" s="116">
        <v>1116.6500000000001</v>
      </c>
      <c r="N2630" s="116">
        <v>1136.2</v>
      </c>
      <c r="O2630" s="116">
        <v>1113.05</v>
      </c>
      <c r="P2630" s="116">
        <v>1135</v>
      </c>
      <c r="Q2630" s="116">
        <v>2233.3000000000002</v>
      </c>
      <c r="R2630">
        <v>563772</v>
      </c>
    </row>
    <row r="2631" spans="1:18" x14ac:dyDescent="0.25">
      <c r="A2631" s="170">
        <v>45876</v>
      </c>
      <c r="B2631" s="116">
        <v>1124.95</v>
      </c>
      <c r="C2631" s="116">
        <v>1117.8</v>
      </c>
      <c r="D2631" s="116">
        <v>1107.5250000000001</v>
      </c>
      <c r="E2631" s="116">
        <v>1116.6500000000001</v>
      </c>
      <c r="F2631" s="116">
        <v>2235.6</v>
      </c>
      <c r="G2631">
        <v>28543</v>
      </c>
      <c r="H2631" s="116"/>
      <c r="I2631" s="116"/>
      <c r="L2631" s="170">
        <v>45876</v>
      </c>
      <c r="M2631" s="116">
        <v>1117.3</v>
      </c>
      <c r="N2631" s="116">
        <v>1123.2</v>
      </c>
      <c r="O2631" s="116">
        <v>1107.5</v>
      </c>
      <c r="P2631" s="116">
        <v>1118</v>
      </c>
      <c r="Q2631" s="116">
        <v>2234.6</v>
      </c>
      <c r="R2631">
        <v>507115</v>
      </c>
    </row>
    <row r="2632" spans="1:18" x14ac:dyDescent="0.25">
      <c r="A2632" s="170">
        <v>45877</v>
      </c>
      <c r="B2632" s="116">
        <v>1125.2</v>
      </c>
      <c r="C2632" s="116">
        <v>1097.4000000000001</v>
      </c>
      <c r="D2632" s="116">
        <v>1094</v>
      </c>
      <c r="E2632" s="116">
        <v>1124.95</v>
      </c>
      <c r="F2632" s="116">
        <v>1097.4000000000001</v>
      </c>
      <c r="G2632">
        <v>62359</v>
      </c>
      <c r="H2632" s="116"/>
      <c r="I2632" s="116"/>
      <c r="L2632" s="170">
        <v>45877</v>
      </c>
      <c r="M2632" s="116">
        <v>1096.5</v>
      </c>
      <c r="N2632" s="116">
        <v>1126.4000000000001</v>
      </c>
      <c r="O2632" s="116">
        <v>1093.4000000000001</v>
      </c>
      <c r="P2632" s="116">
        <v>1122</v>
      </c>
      <c r="Q2632" s="116">
        <v>1096.5</v>
      </c>
      <c r="R2632">
        <v>1242852</v>
      </c>
    </row>
    <row r="2633" spans="1:18" x14ac:dyDescent="0.25">
      <c r="A2633" s="170">
        <v>45880</v>
      </c>
      <c r="B2633" s="116">
        <v>1108.95</v>
      </c>
      <c r="C2633" s="116">
        <v>1106.1500000000001</v>
      </c>
      <c r="D2633" s="116">
        <v>1087.0999999999999</v>
      </c>
      <c r="E2633" s="116">
        <v>1098</v>
      </c>
      <c r="F2633" s="116">
        <v>1106.1500000000001</v>
      </c>
      <c r="G2633">
        <v>120909</v>
      </c>
      <c r="H2633" s="116"/>
      <c r="I2633" s="116"/>
      <c r="L2633" s="170">
        <v>45880</v>
      </c>
      <c r="M2633" s="116">
        <v>1105</v>
      </c>
      <c r="N2633" s="116">
        <v>1108.9000000000001</v>
      </c>
      <c r="O2633" s="116">
        <v>1087</v>
      </c>
      <c r="P2633" s="116">
        <v>1097</v>
      </c>
      <c r="Q2633" s="116">
        <v>1105</v>
      </c>
      <c r="R2633">
        <v>1038967</v>
      </c>
    </row>
    <row r="2634" spans="1:18" x14ac:dyDescent="0.25">
      <c r="A2634" s="170">
        <v>45881</v>
      </c>
      <c r="B2634" s="116">
        <v>1109.1500000000001</v>
      </c>
      <c r="C2634" s="116">
        <v>1091.25</v>
      </c>
      <c r="D2634" s="116">
        <v>1089</v>
      </c>
      <c r="E2634" s="116">
        <v>1108</v>
      </c>
      <c r="F2634" s="116">
        <v>1091.25</v>
      </c>
      <c r="G2634">
        <v>35181</v>
      </c>
      <c r="H2634" s="116"/>
      <c r="I2634" s="116"/>
      <c r="L2634" s="170">
        <v>45881</v>
      </c>
      <c r="M2634" s="116">
        <v>1091.0999999999999</v>
      </c>
      <c r="N2634" s="116">
        <v>1109.5999999999999</v>
      </c>
      <c r="O2634" s="116">
        <v>1089</v>
      </c>
      <c r="P2634" s="116">
        <v>1108</v>
      </c>
      <c r="Q2634" s="116">
        <v>1091.0999999999999</v>
      </c>
      <c r="R2634">
        <v>758197</v>
      </c>
    </row>
    <row r="2635" spans="1:18" x14ac:dyDescent="0.25">
      <c r="A2635" s="170">
        <v>45882</v>
      </c>
      <c r="B2635" s="116">
        <v>1100.9000000000001</v>
      </c>
      <c r="C2635" s="116">
        <v>1097.3</v>
      </c>
      <c r="D2635" s="116">
        <v>1086.45</v>
      </c>
      <c r="E2635" s="116">
        <v>1097.95</v>
      </c>
      <c r="F2635" s="116">
        <v>1097.3</v>
      </c>
      <c r="G2635">
        <v>59779</v>
      </c>
      <c r="H2635" s="116"/>
      <c r="I2635" s="116"/>
      <c r="L2635" s="170">
        <v>45882</v>
      </c>
      <c r="M2635" s="116">
        <v>1096.9000000000001</v>
      </c>
      <c r="N2635" s="116">
        <v>1100.8</v>
      </c>
      <c r="O2635" s="116">
        <v>1086.5999999999999</v>
      </c>
      <c r="P2635" s="116">
        <v>1091.0999999999999</v>
      </c>
      <c r="Q2635" s="116">
        <v>1096.9000000000001</v>
      </c>
      <c r="R2635">
        <v>813725</v>
      </c>
    </row>
    <row r="2636" spans="1:18" x14ac:dyDescent="0.25">
      <c r="A2636" s="170">
        <v>45883</v>
      </c>
      <c r="B2636" s="116">
        <v>1104.0999999999999</v>
      </c>
      <c r="C2636" s="116">
        <v>1089.3499999999999</v>
      </c>
      <c r="D2636" s="116">
        <v>1085</v>
      </c>
      <c r="E2636" s="116">
        <v>1097.3499999999999</v>
      </c>
      <c r="F2636" s="116">
        <v>1089.3499999999999</v>
      </c>
      <c r="G2636">
        <v>30436</v>
      </c>
      <c r="H2636" s="116"/>
      <c r="I2636" s="116"/>
      <c r="L2636" s="170">
        <v>45883</v>
      </c>
      <c r="M2636" s="116">
        <v>1089.4000000000001</v>
      </c>
      <c r="N2636" s="116">
        <v>1103</v>
      </c>
      <c r="O2636" s="116">
        <v>1084.7</v>
      </c>
      <c r="P2636" s="116">
        <v>1099.9000000000001</v>
      </c>
      <c r="Q2636" s="116">
        <v>1089.4000000000001</v>
      </c>
      <c r="R2636">
        <v>941698</v>
      </c>
    </row>
    <row r="2637" spans="1:18" x14ac:dyDescent="0.25">
      <c r="A2637" s="170">
        <v>45887</v>
      </c>
      <c r="B2637" s="116">
        <v>1170</v>
      </c>
      <c r="C2637" s="116">
        <v>1143.9000000000001</v>
      </c>
      <c r="D2637" s="116">
        <v>1123.8</v>
      </c>
      <c r="E2637" s="116">
        <v>1123.95</v>
      </c>
      <c r="F2637" s="116">
        <v>1143.9000000000001</v>
      </c>
      <c r="G2637">
        <v>123344</v>
      </c>
      <c r="H2637" s="116"/>
      <c r="I2637" s="116"/>
      <c r="L2637" s="170">
        <v>45887</v>
      </c>
      <c r="M2637" s="116">
        <v>1144.0999999999999</v>
      </c>
      <c r="N2637" s="116">
        <v>1169.9000000000001</v>
      </c>
      <c r="O2637" s="116">
        <v>1120.5</v>
      </c>
      <c r="P2637" s="116">
        <v>1120.5</v>
      </c>
      <c r="Q2637" s="116">
        <v>1144.0999999999999</v>
      </c>
      <c r="R2637">
        <v>3478231</v>
      </c>
    </row>
    <row r="2638" spans="1:18" x14ac:dyDescent="0.25">
      <c r="A2638" s="170">
        <v>45888</v>
      </c>
      <c r="B2638" s="116">
        <v>1166.5999999999999</v>
      </c>
      <c r="C2638" s="116">
        <v>1160.45</v>
      </c>
      <c r="D2638" s="116">
        <v>1130</v>
      </c>
      <c r="E2638" s="116">
        <v>1151.95</v>
      </c>
      <c r="F2638" s="116">
        <v>1160.45</v>
      </c>
      <c r="G2638">
        <v>30416</v>
      </c>
      <c r="H2638" s="116"/>
      <c r="I2638" s="116"/>
      <c r="L2638" s="170">
        <v>45888</v>
      </c>
      <c r="M2638" s="116">
        <v>1161.4000000000001</v>
      </c>
      <c r="N2638" s="116">
        <v>1168</v>
      </c>
      <c r="O2638" s="116">
        <v>1130.2</v>
      </c>
      <c r="P2638" s="116">
        <v>1149.5999999999999</v>
      </c>
      <c r="Q2638" s="116">
        <v>1161.4000000000001</v>
      </c>
      <c r="R2638">
        <v>1851158</v>
      </c>
    </row>
    <row r="2639" spans="1:18" x14ac:dyDescent="0.25">
      <c r="A2639" s="170">
        <v>45889</v>
      </c>
      <c r="B2639" s="116">
        <v>1192.25</v>
      </c>
      <c r="C2639" s="116">
        <v>1190.0999999999999</v>
      </c>
      <c r="D2639" s="116">
        <v>1156.55</v>
      </c>
      <c r="E2639" s="116">
        <v>1165</v>
      </c>
      <c r="F2639" s="116">
        <v>1190.0999999999999</v>
      </c>
      <c r="G2639">
        <v>50459</v>
      </c>
      <c r="H2639" s="116"/>
      <c r="I2639" s="116"/>
      <c r="L2639" s="170">
        <v>45889</v>
      </c>
      <c r="M2639" s="116">
        <v>1190.3</v>
      </c>
      <c r="N2639" s="116">
        <v>1192.8</v>
      </c>
      <c r="O2639" s="116">
        <v>1156.7</v>
      </c>
      <c r="P2639" s="116">
        <v>1165</v>
      </c>
      <c r="Q2639" s="116">
        <v>1190.3</v>
      </c>
      <c r="R2639">
        <v>1652532</v>
      </c>
    </row>
    <row r="2640" spans="1:18" x14ac:dyDescent="0.25">
      <c r="A2640" s="170">
        <v>45890</v>
      </c>
      <c r="B2640" s="116">
        <v>1191.8</v>
      </c>
      <c r="C2640" s="116">
        <v>1178.95</v>
      </c>
      <c r="D2640" s="116">
        <v>1169</v>
      </c>
      <c r="E2640" s="116">
        <v>1191.8</v>
      </c>
      <c r="F2640" s="116">
        <v>1178.95</v>
      </c>
      <c r="G2640">
        <v>19926</v>
      </c>
      <c r="H2640" s="116"/>
      <c r="I2640" s="116"/>
      <c r="L2640" s="170">
        <v>45890</v>
      </c>
      <c r="M2640" s="116">
        <v>1179.4000000000001</v>
      </c>
      <c r="N2640" s="116">
        <v>1190.3</v>
      </c>
      <c r="O2640" s="116">
        <v>1168.8</v>
      </c>
      <c r="P2640" s="116">
        <v>1190</v>
      </c>
      <c r="Q2640" s="116">
        <v>1179.4000000000001</v>
      </c>
      <c r="R2640">
        <v>991563</v>
      </c>
    </row>
    <row r="2641" spans="1:18" x14ac:dyDescent="0.25">
      <c r="A2641" s="170">
        <v>45891</v>
      </c>
      <c r="B2641" s="116">
        <v>1190.8</v>
      </c>
      <c r="C2641" s="116">
        <v>1161.8499999999999</v>
      </c>
      <c r="D2641" s="116">
        <v>1158</v>
      </c>
      <c r="E2641" s="116">
        <v>1176.25</v>
      </c>
      <c r="F2641" s="116">
        <v>1161.8499999999999</v>
      </c>
      <c r="G2641">
        <v>21845</v>
      </c>
      <c r="H2641" s="116"/>
      <c r="I2641" s="116"/>
      <c r="L2641" s="170">
        <v>45891</v>
      </c>
      <c r="M2641" s="116">
        <v>1162.9000000000001</v>
      </c>
      <c r="N2641" s="116">
        <v>1191</v>
      </c>
      <c r="O2641" s="116">
        <v>1158</v>
      </c>
      <c r="P2641" s="116">
        <v>1175</v>
      </c>
      <c r="Q2641" s="116">
        <v>1162.9000000000001</v>
      </c>
      <c r="R2641">
        <v>921658</v>
      </c>
    </row>
    <row r="2642" spans="1:18" x14ac:dyDescent="0.25">
      <c r="A2642" s="170">
        <v>45894</v>
      </c>
      <c r="B2642" s="116">
        <v>1171.95</v>
      </c>
      <c r="C2642" s="116">
        <v>1152.6500000000001</v>
      </c>
      <c r="D2642" s="116">
        <v>1150</v>
      </c>
      <c r="E2642" s="116">
        <v>1161.55</v>
      </c>
      <c r="F2642" s="116">
        <v>1152.6500000000001</v>
      </c>
      <c r="G2642">
        <v>37180</v>
      </c>
      <c r="H2642" s="116"/>
      <c r="I2642" s="116"/>
      <c r="L2642" s="170">
        <v>45894</v>
      </c>
      <c r="M2642" s="116">
        <v>1153</v>
      </c>
      <c r="N2642" s="116">
        <v>1166.8</v>
      </c>
      <c r="O2642" s="116">
        <v>1148.8</v>
      </c>
      <c r="P2642" s="116">
        <v>1162.9000000000001</v>
      </c>
      <c r="Q2642" s="116">
        <v>1153</v>
      </c>
      <c r="R2642">
        <v>931358</v>
      </c>
    </row>
    <row r="2643" spans="1:18" x14ac:dyDescent="0.25">
      <c r="A2643" s="170">
        <v>45895</v>
      </c>
      <c r="B2643" s="116">
        <v>1179.05</v>
      </c>
      <c r="C2643" s="116">
        <v>1163.8499999999999</v>
      </c>
      <c r="D2643" s="116">
        <v>1145.6500000000001</v>
      </c>
      <c r="E2643" s="116">
        <v>1145.6500000000001</v>
      </c>
      <c r="F2643" s="116">
        <v>1163.8499999999999</v>
      </c>
      <c r="G2643">
        <v>55907</v>
      </c>
      <c r="H2643" s="116"/>
      <c r="I2643" s="116"/>
      <c r="L2643" s="170">
        <v>45895</v>
      </c>
      <c r="M2643" s="116">
        <v>1162.2</v>
      </c>
      <c r="N2643" s="116">
        <v>1179</v>
      </c>
      <c r="O2643" s="116">
        <v>1149</v>
      </c>
      <c r="P2643" s="116">
        <v>1149</v>
      </c>
      <c r="Q2643" s="116">
        <v>1162.2</v>
      </c>
      <c r="R2643">
        <v>3619892</v>
      </c>
    </row>
    <row r="2644" spans="1:18" x14ac:dyDescent="0.25">
      <c r="A2644" s="170">
        <v>45897</v>
      </c>
      <c r="B2644" s="116">
        <v>1168</v>
      </c>
      <c r="C2644" s="116">
        <v>1162.3</v>
      </c>
      <c r="D2644" s="116">
        <v>1154.75</v>
      </c>
      <c r="E2644" s="116">
        <v>1158.2</v>
      </c>
      <c r="F2644" s="116">
        <v>1162.3</v>
      </c>
      <c r="G2644">
        <v>33819</v>
      </c>
      <c r="H2644" s="116"/>
      <c r="I2644" s="116"/>
      <c r="L2644" s="170">
        <v>45897</v>
      </c>
      <c r="M2644" s="116">
        <v>1162.4000000000001</v>
      </c>
      <c r="N2644" s="116">
        <v>1168.2</v>
      </c>
      <c r="O2644" s="116">
        <v>1155</v>
      </c>
      <c r="P2644" s="116">
        <v>1165.5999999999999</v>
      </c>
      <c r="Q2644" s="116">
        <v>1162.4000000000001</v>
      </c>
      <c r="R2644">
        <v>1065888</v>
      </c>
    </row>
    <row r="2645" spans="1:18" x14ac:dyDescent="0.25">
      <c r="A2645" s="170">
        <v>45898</v>
      </c>
      <c r="B2645" s="116">
        <v>1183.55</v>
      </c>
      <c r="C2645" s="116">
        <v>1155.5999999999999</v>
      </c>
      <c r="D2645" s="116">
        <v>1150.4000000000001</v>
      </c>
      <c r="E2645" s="116">
        <v>1151.8</v>
      </c>
      <c r="F2645" s="116">
        <v>1155.5999999999999</v>
      </c>
      <c r="G2645">
        <v>31874</v>
      </c>
      <c r="H2645" s="116"/>
      <c r="I2645" s="116"/>
      <c r="L2645" s="170">
        <v>45898</v>
      </c>
      <c r="M2645" s="116">
        <v>1156.2</v>
      </c>
      <c r="N2645" s="116">
        <v>1184.4000000000001</v>
      </c>
      <c r="O2645" s="116">
        <v>1150</v>
      </c>
      <c r="P2645" s="116">
        <v>1160.3</v>
      </c>
      <c r="Q2645" s="116">
        <v>1156.2</v>
      </c>
      <c r="R2645">
        <v>1593255</v>
      </c>
    </row>
    <row r="2646" spans="1:18" x14ac:dyDescent="0.25">
      <c r="A2646" s="170">
        <v>45901</v>
      </c>
      <c r="B2646" s="116">
        <v>1179</v>
      </c>
      <c r="C2646" s="116">
        <v>1174.2</v>
      </c>
      <c r="D2646" s="116">
        <v>1154.3</v>
      </c>
      <c r="E2646" s="116">
        <v>1154.3</v>
      </c>
      <c r="F2646" s="116">
        <v>1174.2</v>
      </c>
      <c r="G2646">
        <v>15675</v>
      </c>
      <c r="H2646" s="116"/>
      <c r="I2646" s="116"/>
      <c r="L2646" s="170">
        <v>45901</v>
      </c>
      <c r="M2646" s="116">
        <v>1174.4000000000001</v>
      </c>
      <c r="N2646" s="116">
        <v>1176</v>
      </c>
      <c r="O2646" s="116">
        <v>1156.2</v>
      </c>
      <c r="P2646" s="116">
        <v>1157.9000000000001</v>
      </c>
      <c r="Q2646" s="116">
        <v>1174.4000000000001</v>
      </c>
      <c r="R2646">
        <v>643866</v>
      </c>
    </row>
    <row r="2647" spans="1:18" x14ac:dyDescent="0.25">
      <c r="A2647" s="170">
        <v>45902</v>
      </c>
      <c r="B2647" s="116">
        <v>1202.9000000000001</v>
      </c>
      <c r="C2647" s="116">
        <v>1201.2</v>
      </c>
      <c r="D2647" s="116">
        <v>1170.75</v>
      </c>
      <c r="E2647" s="116">
        <v>1170.75</v>
      </c>
      <c r="F2647" s="116">
        <v>1201.2</v>
      </c>
      <c r="G2647">
        <v>115039</v>
      </c>
      <c r="H2647" s="116"/>
      <c r="I2647" s="116"/>
      <c r="L2647" s="170">
        <v>45902</v>
      </c>
      <c r="M2647" s="116">
        <v>1200.9000000000001</v>
      </c>
      <c r="N2647" s="116">
        <v>1202.5</v>
      </c>
      <c r="O2647" s="116">
        <v>1172.4000000000001</v>
      </c>
      <c r="P2647" s="116">
        <v>1174.4000000000001</v>
      </c>
      <c r="Q2647" s="116">
        <v>1200.9000000000001</v>
      </c>
      <c r="R2647">
        <v>1773623</v>
      </c>
    </row>
    <row r="2648" spans="1:18" x14ac:dyDescent="0.25">
      <c r="A2648" s="170">
        <v>45903</v>
      </c>
      <c r="B2648" s="116">
        <v>1206.2</v>
      </c>
      <c r="C2648" s="116">
        <v>1194.5999999999999</v>
      </c>
      <c r="D2648" s="116">
        <v>1191.45</v>
      </c>
      <c r="E2648" s="116">
        <v>1201.25</v>
      </c>
      <c r="F2648" s="116">
        <v>1194.5999999999999</v>
      </c>
      <c r="G2648">
        <v>41114</v>
      </c>
      <c r="H2648" s="116"/>
      <c r="I2648" s="116"/>
      <c r="L2648" s="170">
        <v>45903</v>
      </c>
      <c r="M2648" s="116">
        <v>1194.8</v>
      </c>
      <c r="N2648" s="116">
        <v>1206.5</v>
      </c>
      <c r="O2648" s="116">
        <v>1191.3</v>
      </c>
      <c r="P2648" s="116">
        <v>1206.5</v>
      </c>
      <c r="Q2648" s="116">
        <v>1194.8</v>
      </c>
      <c r="R2648">
        <v>827824</v>
      </c>
    </row>
    <row r="2649" spans="1:18" x14ac:dyDescent="0.25">
      <c r="A2649" s="170">
        <v>45904</v>
      </c>
      <c r="B2649" s="116">
        <v>1238</v>
      </c>
      <c r="C2649" s="116">
        <v>1212.55</v>
      </c>
      <c r="D2649" s="116">
        <v>1208.45</v>
      </c>
      <c r="E2649" s="116">
        <v>1224.75</v>
      </c>
      <c r="F2649" s="116">
        <v>1212.55</v>
      </c>
      <c r="G2649">
        <v>66570</v>
      </c>
      <c r="H2649" s="116"/>
      <c r="I2649" s="116"/>
      <c r="L2649" s="170">
        <v>45904</v>
      </c>
      <c r="M2649" s="116">
        <v>1212.5999999999999</v>
      </c>
      <c r="N2649" s="116">
        <v>1238.2</v>
      </c>
      <c r="O2649" s="116">
        <v>1208</v>
      </c>
      <c r="P2649" s="116">
        <v>1230</v>
      </c>
      <c r="Q2649" s="116">
        <v>1212.5999999999999</v>
      </c>
      <c r="R2649">
        <v>3346196</v>
      </c>
    </row>
    <row r="2650" spans="1:18" x14ac:dyDescent="0.25">
      <c r="A2650" s="170">
        <v>45905</v>
      </c>
      <c r="B2650" s="116">
        <v>1214.5999999999999</v>
      </c>
      <c r="C2650" s="116">
        <v>1209.7</v>
      </c>
      <c r="D2650" s="116">
        <v>1191.55</v>
      </c>
      <c r="E2650" s="116">
        <v>1214.45</v>
      </c>
      <c r="F2650" s="116">
        <v>1209.7</v>
      </c>
      <c r="G2650">
        <v>118281</v>
      </c>
      <c r="H2650" s="116"/>
      <c r="I2650" s="116"/>
      <c r="L2650" s="170">
        <v>45905</v>
      </c>
      <c r="M2650" s="116">
        <v>1208.5</v>
      </c>
      <c r="N2650" s="116">
        <v>1216.4000000000001</v>
      </c>
      <c r="O2650" s="116">
        <v>1191</v>
      </c>
      <c r="P2650" s="116">
        <v>1212</v>
      </c>
      <c r="Q2650" s="116">
        <v>1208.5</v>
      </c>
      <c r="R2650">
        <v>1434458</v>
      </c>
    </row>
    <row r="2651" spans="1:18" x14ac:dyDescent="0.25">
      <c r="A2651" s="170">
        <v>45908</v>
      </c>
      <c r="B2651" s="116">
        <v>1210.6500000000001</v>
      </c>
      <c r="C2651" s="116">
        <v>1187.95</v>
      </c>
      <c r="D2651" s="116">
        <v>1184.9000000000001</v>
      </c>
      <c r="E2651" s="116">
        <v>1205.3</v>
      </c>
      <c r="F2651" s="116">
        <v>1187.95</v>
      </c>
      <c r="G2651">
        <v>44785</v>
      </c>
      <c r="H2651" s="116"/>
      <c r="I2651" s="116"/>
      <c r="L2651" s="170">
        <v>45908</v>
      </c>
      <c r="M2651" s="116">
        <v>1187.7</v>
      </c>
      <c r="N2651" s="116">
        <v>1211</v>
      </c>
      <c r="O2651" s="116">
        <v>1185.2</v>
      </c>
      <c r="P2651" s="116">
        <v>1208.5</v>
      </c>
      <c r="Q2651" s="116">
        <v>1187.7</v>
      </c>
      <c r="R2651">
        <v>1112974</v>
      </c>
    </row>
    <row r="2652" spans="1:18" x14ac:dyDescent="0.25">
      <c r="A2652" s="170">
        <v>45909</v>
      </c>
      <c r="B2652" s="116">
        <v>1203.75</v>
      </c>
      <c r="C2652" s="116">
        <v>1201.75</v>
      </c>
      <c r="D2652" s="116">
        <v>1188.05</v>
      </c>
      <c r="E2652" s="116">
        <v>1195.2</v>
      </c>
      <c r="F2652" s="116">
        <v>1201.75</v>
      </c>
      <c r="G2652">
        <v>48380</v>
      </c>
      <c r="H2652" s="116"/>
      <c r="I2652" s="116"/>
      <c r="L2652" s="170">
        <v>45909</v>
      </c>
      <c r="M2652" s="116">
        <v>1202.2</v>
      </c>
      <c r="N2652" s="116">
        <v>1204</v>
      </c>
      <c r="O2652" s="116">
        <v>1187.9000000000001</v>
      </c>
      <c r="P2652" s="116">
        <v>1195.2</v>
      </c>
      <c r="Q2652" s="116">
        <v>1202.2</v>
      </c>
      <c r="R2652">
        <v>1295618</v>
      </c>
    </row>
    <row r="2653" spans="1:18" x14ac:dyDescent="0.25">
      <c r="A2653" s="170">
        <v>45910</v>
      </c>
      <c r="B2653" s="116">
        <v>1219.2</v>
      </c>
      <c r="C2653" s="116">
        <v>1216.95</v>
      </c>
      <c r="D2653" s="116">
        <v>1202.45</v>
      </c>
      <c r="E2653" s="116">
        <v>1205.1500000000001</v>
      </c>
      <c r="F2653" s="116">
        <v>1216.95</v>
      </c>
      <c r="G2653">
        <v>36857</v>
      </c>
      <c r="H2653" s="116"/>
      <c r="I2653" s="116"/>
      <c r="L2653" s="170">
        <v>45910</v>
      </c>
      <c r="M2653" s="116">
        <v>1217.5</v>
      </c>
      <c r="N2653" s="116">
        <v>1219.2</v>
      </c>
      <c r="O2653" s="116">
        <v>1201.7</v>
      </c>
      <c r="P2653" s="116">
        <v>1208.2</v>
      </c>
      <c r="Q2653" s="116">
        <v>1217.5</v>
      </c>
      <c r="R2653">
        <v>1015673</v>
      </c>
    </row>
    <row r="2654" spans="1:18" x14ac:dyDescent="0.25">
      <c r="A2654" s="170">
        <v>45911</v>
      </c>
      <c r="B2654" s="116">
        <v>1224.8499999999999</v>
      </c>
      <c r="C2654" s="116">
        <v>1220.3</v>
      </c>
      <c r="D2654" s="116">
        <v>1212.2</v>
      </c>
      <c r="E2654" s="116">
        <v>1216.8499999999999</v>
      </c>
      <c r="F2654" s="116">
        <v>1220.3</v>
      </c>
      <c r="G2654">
        <v>24946</v>
      </c>
      <c r="H2654" s="116"/>
      <c r="I2654" s="116"/>
      <c r="L2654" s="170">
        <v>45911</v>
      </c>
      <c r="M2654" s="116">
        <v>1220.8</v>
      </c>
      <c r="N2654" s="116">
        <v>1224.9000000000001</v>
      </c>
      <c r="O2654" s="116">
        <v>1212.0999999999999</v>
      </c>
      <c r="P2654" s="116">
        <v>1212.0999999999999</v>
      </c>
      <c r="Q2654" s="116">
        <v>1220.8</v>
      </c>
      <c r="R2654">
        <v>783400</v>
      </c>
    </row>
    <row r="2655" spans="1:18" x14ac:dyDescent="0.25">
      <c r="A2655" s="170">
        <v>45912</v>
      </c>
      <c r="B2655" s="116">
        <v>1224</v>
      </c>
      <c r="C2655" s="116">
        <v>1217.45</v>
      </c>
      <c r="D2655" s="116">
        <v>1209.5999999999999</v>
      </c>
      <c r="E2655" s="116">
        <v>1224</v>
      </c>
      <c r="F2655" s="116">
        <v>1217.45</v>
      </c>
      <c r="G2655">
        <v>142466</v>
      </c>
      <c r="H2655" s="116"/>
      <c r="I2655" s="116"/>
      <c r="L2655" s="170">
        <v>45912</v>
      </c>
      <c r="M2655" s="116">
        <v>1217.5999999999999</v>
      </c>
      <c r="N2655" s="116">
        <v>1223</v>
      </c>
      <c r="O2655" s="116">
        <v>1209.5</v>
      </c>
      <c r="P2655" s="116">
        <v>1220.2</v>
      </c>
      <c r="Q2655" s="116">
        <v>1217.5999999999999</v>
      </c>
      <c r="R2655">
        <v>632659</v>
      </c>
    </row>
    <row r="2656" spans="1:18" x14ac:dyDescent="0.25">
      <c r="A2656" s="170">
        <v>45915</v>
      </c>
      <c r="B2656" s="116">
        <v>1218.6500000000001</v>
      </c>
      <c r="C2656" s="116">
        <v>1211.9000000000001</v>
      </c>
      <c r="D2656" s="116">
        <v>1210</v>
      </c>
      <c r="E2656" s="116">
        <v>1217.4000000000001</v>
      </c>
      <c r="F2656" s="116">
        <v>1211.9000000000001</v>
      </c>
      <c r="G2656">
        <v>21158</v>
      </c>
      <c r="H2656" s="116"/>
      <c r="I2656" s="116"/>
      <c r="L2656" s="170">
        <v>45915</v>
      </c>
      <c r="M2656" s="116">
        <v>1212.5</v>
      </c>
      <c r="N2656" s="116">
        <v>1220</v>
      </c>
      <c r="O2656" s="116">
        <v>1209.5999999999999</v>
      </c>
      <c r="P2656" s="116">
        <v>1212.2</v>
      </c>
      <c r="Q2656" s="116">
        <v>1212.5</v>
      </c>
      <c r="R2656">
        <v>523120</v>
      </c>
    </row>
    <row r="2657" spans="1:18" x14ac:dyDescent="0.25">
      <c r="A2657" s="170">
        <v>45916</v>
      </c>
      <c r="B2657" s="116">
        <v>1213.2</v>
      </c>
      <c r="C2657" s="116">
        <v>1204.4000000000001</v>
      </c>
      <c r="D2657" s="116">
        <v>1201</v>
      </c>
      <c r="E2657" s="116">
        <v>1211.9000000000001</v>
      </c>
      <c r="F2657" s="116">
        <v>1204.4000000000001</v>
      </c>
      <c r="G2657">
        <v>122759</v>
      </c>
      <c r="H2657" s="116"/>
      <c r="I2657" s="116"/>
      <c r="L2657" s="170">
        <v>45916</v>
      </c>
      <c r="M2657" s="116">
        <v>1204.2</v>
      </c>
      <c r="N2657" s="116">
        <v>1215</v>
      </c>
      <c r="O2657" s="116">
        <v>1201.2</v>
      </c>
      <c r="P2657" s="116">
        <v>1212</v>
      </c>
      <c r="Q2657" s="116">
        <v>1204.2</v>
      </c>
      <c r="R2657">
        <v>1137133</v>
      </c>
    </row>
    <row r="2658" spans="1:18" x14ac:dyDescent="0.25">
      <c r="A2658" s="170">
        <v>45917</v>
      </c>
      <c r="B2658" s="116">
        <v>1210.95</v>
      </c>
      <c r="C2658" s="116">
        <v>1204.2</v>
      </c>
      <c r="D2658" s="116">
        <v>1196</v>
      </c>
      <c r="E2658" s="116">
        <v>1204.55</v>
      </c>
      <c r="F2658" s="116">
        <v>1204.2</v>
      </c>
      <c r="G2658">
        <v>121441</v>
      </c>
      <c r="H2658" s="116"/>
      <c r="I2658" s="116"/>
      <c r="L2658" s="170">
        <v>45917</v>
      </c>
      <c r="M2658" s="116">
        <v>1204.3</v>
      </c>
      <c r="N2658" s="116">
        <v>1212.5999999999999</v>
      </c>
      <c r="O2658" s="116">
        <v>1195.5999999999999</v>
      </c>
      <c r="P2658" s="116">
        <v>1207</v>
      </c>
      <c r="Q2658" s="116">
        <v>1204.3</v>
      </c>
      <c r="R2658">
        <v>1005661</v>
      </c>
    </row>
    <row r="2659" spans="1:18" x14ac:dyDescent="0.25">
      <c r="A2659" s="170">
        <v>45918</v>
      </c>
      <c r="B2659" s="116">
        <v>1212.75</v>
      </c>
      <c r="C2659" s="116">
        <v>1208.55</v>
      </c>
      <c r="D2659" s="116">
        <v>1200.75</v>
      </c>
      <c r="E2659" s="116">
        <v>1203.75</v>
      </c>
      <c r="F2659" s="116">
        <v>1208.55</v>
      </c>
      <c r="G2659">
        <v>82141</v>
      </c>
      <c r="H2659" s="116"/>
      <c r="I2659" s="116"/>
      <c r="L2659" s="170">
        <v>45918</v>
      </c>
      <c r="M2659" s="116">
        <v>1209.0999999999999</v>
      </c>
      <c r="N2659" s="116">
        <v>1213.3</v>
      </c>
      <c r="O2659" s="116">
        <v>1200</v>
      </c>
      <c r="P2659" s="116">
        <v>1205.0999999999999</v>
      </c>
      <c r="Q2659" s="116">
        <v>1209.0999999999999</v>
      </c>
      <c r="R2659">
        <v>1345158</v>
      </c>
    </row>
    <row r="2660" spans="1:18" x14ac:dyDescent="0.25">
      <c r="A2660" s="170">
        <v>45919</v>
      </c>
      <c r="B2660" s="116">
        <v>1210.7</v>
      </c>
      <c r="C2660" s="116">
        <v>1195.1500000000001</v>
      </c>
      <c r="D2660" s="116">
        <v>1190.2</v>
      </c>
      <c r="E2660" s="116">
        <v>1209.5999999999999</v>
      </c>
      <c r="F2660" s="116">
        <v>1195.1500000000001</v>
      </c>
      <c r="G2660">
        <v>30291</v>
      </c>
      <c r="H2660" s="116"/>
      <c r="I2660" s="116"/>
      <c r="L2660" s="170">
        <v>45919</v>
      </c>
      <c r="M2660" s="116">
        <v>1194.5</v>
      </c>
      <c r="N2660" s="116">
        <v>1212</v>
      </c>
      <c r="O2660" s="116">
        <v>1191</v>
      </c>
      <c r="P2660" s="116">
        <v>1212</v>
      </c>
      <c r="Q2660" s="116">
        <v>1194.5</v>
      </c>
      <c r="R2660">
        <v>2395784</v>
      </c>
    </row>
    <row r="2661" spans="1:18" x14ac:dyDescent="0.25">
      <c r="A2661" s="170">
        <v>45922</v>
      </c>
      <c r="B2661" s="116">
        <v>1201.3</v>
      </c>
      <c r="C2661" s="116">
        <v>1187.8</v>
      </c>
      <c r="D2661" s="116">
        <v>1184</v>
      </c>
      <c r="E2661" s="116">
        <v>1195.3499999999999</v>
      </c>
      <c r="F2661" s="116">
        <v>1187.8</v>
      </c>
      <c r="G2661">
        <v>236998</v>
      </c>
      <c r="H2661" s="116"/>
      <c r="I2661" s="116"/>
      <c r="L2661" s="170">
        <v>45922</v>
      </c>
      <c r="M2661" s="116">
        <v>1188.3</v>
      </c>
      <c r="N2661" s="116">
        <v>1201.2</v>
      </c>
      <c r="O2661" s="116">
        <v>1184</v>
      </c>
      <c r="P2661" s="116">
        <v>1198.9000000000001</v>
      </c>
      <c r="Q2661" s="116">
        <v>1188.3</v>
      </c>
      <c r="R2661">
        <v>1107323</v>
      </c>
    </row>
    <row r="2662" spans="1:18" x14ac:dyDescent="0.25">
      <c r="A2662" s="170">
        <v>45923</v>
      </c>
      <c r="B2662" s="116">
        <v>1192.9000000000001</v>
      </c>
      <c r="C2662" s="116">
        <v>1168.5</v>
      </c>
      <c r="D2662" s="116">
        <v>1165.5999999999999</v>
      </c>
      <c r="E2662" s="116">
        <v>1188</v>
      </c>
      <c r="F2662" s="116">
        <v>1168.5</v>
      </c>
      <c r="G2662">
        <v>139812</v>
      </c>
      <c r="H2662" s="116"/>
      <c r="I2662" s="116"/>
      <c r="L2662" s="170">
        <v>45923</v>
      </c>
      <c r="M2662" s="116">
        <v>1168.4000000000001</v>
      </c>
      <c r="N2662" s="116">
        <v>1194.5</v>
      </c>
      <c r="O2662" s="116">
        <v>1165</v>
      </c>
      <c r="P2662" s="116">
        <v>1189.8</v>
      </c>
      <c r="Q2662" s="116">
        <v>1168.4000000000001</v>
      </c>
      <c r="R2662">
        <v>2114020</v>
      </c>
    </row>
    <row r="2663" spans="1:18" x14ac:dyDescent="0.25">
      <c r="A2663" s="170">
        <v>45924</v>
      </c>
      <c r="B2663" s="116">
        <v>1185</v>
      </c>
      <c r="C2663" s="116">
        <v>1179.55</v>
      </c>
      <c r="D2663" s="116">
        <v>1162</v>
      </c>
      <c r="E2663" s="116">
        <v>1165.6500000000001</v>
      </c>
      <c r="F2663" s="116">
        <v>1179.55</v>
      </c>
      <c r="G2663">
        <v>101755</v>
      </c>
      <c r="H2663" s="116"/>
      <c r="I2663" s="116"/>
      <c r="L2663" s="170">
        <v>45924</v>
      </c>
      <c r="M2663" s="116">
        <v>1178.5999999999999</v>
      </c>
      <c r="N2663" s="116">
        <v>1185.2</v>
      </c>
      <c r="O2663" s="116">
        <v>1161.4000000000001</v>
      </c>
      <c r="P2663" s="116">
        <v>1167.9000000000001</v>
      </c>
      <c r="Q2663" s="116">
        <v>1178.5999999999999</v>
      </c>
      <c r="R2663">
        <v>1395188</v>
      </c>
    </row>
    <row r="2664" spans="1:18" x14ac:dyDescent="0.25">
      <c r="A2664" s="170">
        <v>45925</v>
      </c>
      <c r="B2664" s="116">
        <v>1192</v>
      </c>
      <c r="C2664" s="116">
        <v>1173.3</v>
      </c>
      <c r="D2664" s="116">
        <v>1171.25</v>
      </c>
      <c r="E2664" s="116">
        <v>1177.55</v>
      </c>
      <c r="F2664" s="116">
        <v>1173.3</v>
      </c>
      <c r="G2664">
        <v>30333</v>
      </c>
      <c r="H2664" s="116"/>
      <c r="I2664" s="116"/>
      <c r="L2664" s="170">
        <v>45925</v>
      </c>
      <c r="M2664" s="116">
        <v>1173.5</v>
      </c>
      <c r="N2664" s="116">
        <v>1192.4000000000001</v>
      </c>
      <c r="O2664" s="116">
        <v>1171.5999999999999</v>
      </c>
      <c r="P2664" s="116">
        <v>1184.5</v>
      </c>
      <c r="Q2664" s="116">
        <v>1173.5</v>
      </c>
      <c r="R2664">
        <v>1273981</v>
      </c>
    </row>
    <row r="2665" spans="1:18" x14ac:dyDescent="0.25">
      <c r="A2665" s="170">
        <v>45926</v>
      </c>
      <c r="B2665" s="116">
        <v>1177.55</v>
      </c>
      <c r="C2665" s="116">
        <v>1162.5</v>
      </c>
      <c r="D2665" s="116">
        <v>1160.2</v>
      </c>
      <c r="E2665" s="116">
        <v>1170</v>
      </c>
      <c r="F2665" s="116">
        <v>1162.5</v>
      </c>
      <c r="G2665">
        <v>231946</v>
      </c>
      <c r="H2665" s="116"/>
      <c r="I2665" s="116"/>
      <c r="L2665" s="170">
        <v>45926</v>
      </c>
      <c r="M2665" s="116">
        <v>1162.5999999999999</v>
      </c>
      <c r="N2665" s="116">
        <v>1179</v>
      </c>
      <c r="O2665" s="116">
        <v>1160.2</v>
      </c>
      <c r="P2665" s="116">
        <v>1170</v>
      </c>
      <c r="Q2665" s="116">
        <v>1162.5999999999999</v>
      </c>
      <c r="R2665">
        <v>1011036</v>
      </c>
    </row>
    <row r="2666" spans="1:18" x14ac:dyDescent="0.25">
      <c r="A2666" s="170">
        <v>45929</v>
      </c>
      <c r="B2666" s="116">
        <v>1161</v>
      </c>
      <c r="C2666" s="116">
        <v>1152.4000000000001</v>
      </c>
      <c r="D2666" s="116">
        <v>1149.3499999999999</v>
      </c>
      <c r="E2666" s="116">
        <v>1159.2</v>
      </c>
      <c r="F2666" s="116">
        <v>1152.4000000000001</v>
      </c>
      <c r="G2666">
        <v>25663</v>
      </c>
      <c r="H2666" s="116"/>
      <c r="I2666" s="116"/>
      <c r="L2666" s="170">
        <v>45929</v>
      </c>
      <c r="M2666" s="116">
        <v>1152.5</v>
      </c>
      <c r="N2666" s="116">
        <v>1162.0999999999999</v>
      </c>
      <c r="O2666" s="116">
        <v>1149.2</v>
      </c>
      <c r="P2666" s="116">
        <v>1160</v>
      </c>
      <c r="Q2666" s="116">
        <v>1152.5</v>
      </c>
      <c r="R2666">
        <v>2130382</v>
      </c>
    </row>
    <row r="2667" spans="1:18" x14ac:dyDescent="0.25">
      <c r="A2667" s="170">
        <v>45930</v>
      </c>
      <c r="B2667" s="116">
        <v>1159</v>
      </c>
      <c r="C2667" s="116">
        <v>1152.9000000000001</v>
      </c>
      <c r="D2667" s="116">
        <v>1146.5999999999999</v>
      </c>
      <c r="E2667" s="116">
        <v>1150.2</v>
      </c>
      <c r="F2667" s="116">
        <v>1152.9000000000001</v>
      </c>
      <c r="G2667">
        <v>23382</v>
      </c>
      <c r="H2667" s="116"/>
      <c r="I2667" s="116"/>
      <c r="L2667" s="170">
        <v>45930</v>
      </c>
      <c r="M2667" s="116">
        <v>1152.9000000000001</v>
      </c>
      <c r="N2667" s="116">
        <v>1159.5999999999999</v>
      </c>
      <c r="O2667" s="116">
        <v>1146.4000000000001</v>
      </c>
      <c r="P2667" s="116">
        <v>1155.5999999999999</v>
      </c>
      <c r="Q2667" s="116">
        <v>1152.9000000000001</v>
      </c>
      <c r="R2667">
        <v>1409305</v>
      </c>
    </row>
    <row r="2668" spans="1:18" x14ac:dyDescent="0.25">
      <c r="A2668" s="170">
        <v>45931</v>
      </c>
      <c r="B2668" s="116">
        <v>1169.25</v>
      </c>
      <c r="C2668" s="116">
        <v>1166.1500000000001</v>
      </c>
      <c r="D2668" s="116">
        <v>1145.0999999999999</v>
      </c>
      <c r="E2668" s="116">
        <v>1153.0999999999999</v>
      </c>
      <c r="F2668" s="116">
        <v>1166.1500000000001</v>
      </c>
      <c r="G2668">
        <v>27351</v>
      </c>
      <c r="H2668" s="116"/>
      <c r="I2668" s="116"/>
      <c r="L2668" s="170">
        <v>45931</v>
      </c>
      <c r="M2668" s="116">
        <v>1166.4000000000001</v>
      </c>
      <c r="N2668" s="116">
        <v>1169.2</v>
      </c>
      <c r="O2668" s="116">
        <v>1145</v>
      </c>
      <c r="P2668" s="116">
        <v>1157.9000000000001</v>
      </c>
      <c r="Q2668" s="116">
        <v>1166.4000000000001</v>
      </c>
      <c r="R2668">
        <v>727804</v>
      </c>
    </row>
    <row r="2669" spans="1:18" x14ac:dyDescent="0.25">
      <c r="A2669" s="170">
        <v>45933</v>
      </c>
      <c r="B2669" s="116">
        <v>1171</v>
      </c>
      <c r="C2669" s="116">
        <v>1169.7</v>
      </c>
      <c r="D2669" s="116">
        <v>1155</v>
      </c>
      <c r="E2669" s="116">
        <v>1166</v>
      </c>
      <c r="F2669" s="116">
        <v>1169.7</v>
      </c>
      <c r="G2669">
        <v>61758</v>
      </c>
      <c r="H2669" s="116"/>
      <c r="I2669" s="116"/>
      <c r="L2669" s="170">
        <v>45933</v>
      </c>
      <c r="M2669" s="116">
        <v>1169.9000000000001</v>
      </c>
      <c r="N2669" s="116">
        <v>1171.3</v>
      </c>
      <c r="O2669" s="116">
        <v>1154.4000000000001</v>
      </c>
      <c r="P2669" s="116">
        <v>1160</v>
      </c>
      <c r="Q2669" s="116">
        <v>1169.9000000000001</v>
      </c>
      <c r="R2669">
        <v>1159975</v>
      </c>
    </row>
    <row r="2670" spans="1:18" x14ac:dyDescent="0.25">
      <c r="A2670" s="170">
        <v>45936</v>
      </c>
      <c r="B2670" s="116">
        <v>1182.95</v>
      </c>
      <c r="C2670" s="116">
        <v>1181.3499999999999</v>
      </c>
      <c r="D2670" s="116">
        <v>1161.55</v>
      </c>
      <c r="E2670" s="116">
        <v>1161.55</v>
      </c>
      <c r="F2670" s="116">
        <v>1181.3499999999999</v>
      </c>
      <c r="G2670">
        <v>34350</v>
      </c>
      <c r="H2670" s="116"/>
      <c r="I2670" s="116"/>
      <c r="L2670" s="170">
        <v>45936</v>
      </c>
      <c r="M2670" s="116">
        <v>1181.7</v>
      </c>
      <c r="N2670" s="116">
        <v>1183.7</v>
      </c>
      <c r="O2670" s="116">
        <v>1163.5</v>
      </c>
      <c r="P2670" s="116">
        <v>1163.5</v>
      </c>
      <c r="Q2670" s="116">
        <v>1181.7</v>
      </c>
      <c r="R2670">
        <v>639965</v>
      </c>
    </row>
    <row r="2671" spans="1:18" x14ac:dyDescent="0.25">
      <c r="A2671" s="170">
        <v>45937</v>
      </c>
      <c r="B2671" s="116">
        <v>1191.55</v>
      </c>
      <c r="C2671" s="116">
        <v>1176.4000000000001</v>
      </c>
      <c r="D2671" s="116">
        <v>1175.5</v>
      </c>
      <c r="E2671" s="116">
        <v>1183.95</v>
      </c>
      <c r="F2671" s="116">
        <v>1176.4000000000001</v>
      </c>
      <c r="G2671">
        <v>37440</v>
      </c>
      <c r="H2671" s="116"/>
      <c r="I2671" s="116"/>
      <c r="L2671" s="170">
        <v>45937</v>
      </c>
      <c r="M2671" s="116">
        <v>1176.8</v>
      </c>
      <c r="N2671" s="116">
        <v>1192.2</v>
      </c>
      <c r="O2671" s="116">
        <v>1175</v>
      </c>
      <c r="P2671" s="116">
        <v>1181.7</v>
      </c>
      <c r="Q2671" s="116">
        <v>1176.8</v>
      </c>
      <c r="R2671">
        <v>922441</v>
      </c>
    </row>
    <row r="2672" spans="1:18" x14ac:dyDescent="0.25">
      <c r="A2672" s="170">
        <v>45938</v>
      </c>
      <c r="B2672" s="116">
        <v>1182</v>
      </c>
      <c r="C2672" s="116">
        <v>1180.05</v>
      </c>
      <c r="D2672" s="116">
        <v>1159.7</v>
      </c>
      <c r="E2672" s="116">
        <v>1176</v>
      </c>
      <c r="F2672" s="116">
        <v>1180.05</v>
      </c>
      <c r="G2672">
        <v>82982</v>
      </c>
      <c r="H2672" s="116"/>
      <c r="I2672" s="116"/>
      <c r="L2672" s="170">
        <v>45938</v>
      </c>
      <c r="M2672" s="116">
        <v>1180.5</v>
      </c>
      <c r="N2672" s="116">
        <v>1182.5</v>
      </c>
      <c r="O2672" s="116">
        <v>1158.5999999999999</v>
      </c>
      <c r="P2672" s="116">
        <v>1170</v>
      </c>
      <c r="Q2672" s="116">
        <v>1180.5</v>
      </c>
      <c r="R2672">
        <v>893579</v>
      </c>
    </row>
    <row r="2673" spans="1:18" x14ac:dyDescent="0.25">
      <c r="A2673" s="170">
        <v>45939</v>
      </c>
      <c r="B2673" s="116">
        <v>1190</v>
      </c>
      <c r="C2673" s="116">
        <v>1187.55</v>
      </c>
      <c r="D2673" s="116">
        <v>1173.7</v>
      </c>
      <c r="E2673" s="116">
        <v>1176.5999999999999</v>
      </c>
      <c r="F2673" s="116">
        <v>1187.55</v>
      </c>
      <c r="G2673">
        <v>156099</v>
      </c>
      <c r="H2673" s="116"/>
      <c r="I2673" s="116"/>
      <c r="L2673" s="170">
        <v>45939</v>
      </c>
      <c r="M2673" s="116">
        <v>1187.8</v>
      </c>
      <c r="N2673" s="116">
        <v>1189.0999999999999</v>
      </c>
      <c r="O2673" s="116">
        <v>1172.9000000000001</v>
      </c>
      <c r="P2673" s="116">
        <v>1175.0999999999999</v>
      </c>
      <c r="Q2673" s="116">
        <v>1187.8</v>
      </c>
      <c r="R2673">
        <v>922191</v>
      </c>
    </row>
    <row r="2674" spans="1:18" x14ac:dyDescent="0.25">
      <c r="A2674" s="170">
        <v>45940</v>
      </c>
      <c r="B2674" s="116">
        <v>1201.3499999999999</v>
      </c>
      <c r="C2674" s="116">
        <v>1199.75</v>
      </c>
      <c r="D2674" s="116">
        <v>1179.95</v>
      </c>
      <c r="E2674" s="116">
        <v>1179.95</v>
      </c>
      <c r="F2674" s="116">
        <v>1199.75</v>
      </c>
      <c r="G2674">
        <v>65246</v>
      </c>
      <c r="H2674" s="116"/>
      <c r="I2674" s="116"/>
      <c r="L2674" s="170">
        <v>45940</v>
      </c>
      <c r="M2674" s="116">
        <v>1199.5</v>
      </c>
      <c r="N2674" s="116">
        <v>1202</v>
      </c>
      <c r="O2674" s="116">
        <v>1184.4000000000001</v>
      </c>
      <c r="P2674" s="116">
        <v>1186.4000000000001</v>
      </c>
      <c r="Q2674" s="116">
        <v>1199.5</v>
      </c>
      <c r="R2674">
        <v>1110822</v>
      </c>
    </row>
    <row r="2675" spans="1:18" x14ac:dyDescent="0.25">
      <c r="A2675" s="170">
        <v>45943</v>
      </c>
      <c r="B2675" s="116">
        <v>1200.5</v>
      </c>
      <c r="C2675" s="116">
        <v>1188.2</v>
      </c>
      <c r="D2675" s="116">
        <v>1182</v>
      </c>
      <c r="E2675" s="116">
        <v>1194.3</v>
      </c>
      <c r="F2675" s="116">
        <v>1188.2</v>
      </c>
      <c r="G2675">
        <v>147090</v>
      </c>
      <c r="H2675" s="116"/>
      <c r="I2675" s="116"/>
      <c r="L2675" s="170">
        <v>45943</v>
      </c>
      <c r="M2675" s="116">
        <v>1188.0999999999999</v>
      </c>
      <c r="N2675" s="116">
        <v>1200.8</v>
      </c>
      <c r="O2675" s="116">
        <v>1181.9000000000001</v>
      </c>
      <c r="P2675" s="116">
        <v>1199</v>
      </c>
      <c r="Q2675" s="116">
        <v>1188.0999999999999</v>
      </c>
      <c r="R2675">
        <v>1062394</v>
      </c>
    </row>
    <row r="2676" spans="1:18" x14ac:dyDescent="0.25">
      <c r="A2676" s="170">
        <v>45944</v>
      </c>
      <c r="B2676" s="116">
        <v>1194.5999999999999</v>
      </c>
      <c r="C2676" s="116">
        <v>1175.05</v>
      </c>
      <c r="D2676" s="116">
        <v>1171.8</v>
      </c>
      <c r="E2676" s="116">
        <v>1194.5999999999999</v>
      </c>
      <c r="F2676" s="116">
        <v>1175.05</v>
      </c>
      <c r="G2676">
        <v>41662</v>
      </c>
      <c r="H2676" s="116"/>
      <c r="I2676" s="116"/>
      <c r="L2676" s="170">
        <v>45944</v>
      </c>
      <c r="M2676" s="116">
        <v>1175.5</v>
      </c>
      <c r="N2676" s="116">
        <v>1194.3</v>
      </c>
      <c r="O2676" s="116">
        <v>1171</v>
      </c>
      <c r="P2676" s="116">
        <v>1190.0999999999999</v>
      </c>
      <c r="Q2676" s="116">
        <v>1175.5</v>
      </c>
      <c r="R2676">
        <v>1293553</v>
      </c>
    </row>
    <row r="2677" spans="1:18" x14ac:dyDescent="0.25">
      <c r="A2677" s="170">
        <v>45945</v>
      </c>
      <c r="B2677" s="116">
        <v>1224.8</v>
      </c>
      <c r="C2677" s="116">
        <v>1221.55</v>
      </c>
      <c r="D2677" s="116">
        <v>1171.3499999999999</v>
      </c>
      <c r="E2677" s="116">
        <v>1171.3499999999999</v>
      </c>
      <c r="F2677" s="116">
        <v>1221.55</v>
      </c>
      <c r="G2677">
        <v>77081</v>
      </c>
      <c r="H2677" s="116"/>
      <c r="I2677" s="116"/>
      <c r="L2677" s="170">
        <v>45945</v>
      </c>
      <c r="M2677" s="116">
        <v>1221.4000000000001</v>
      </c>
      <c r="N2677" s="116">
        <v>1225</v>
      </c>
      <c r="O2677" s="116">
        <v>1175.5</v>
      </c>
      <c r="P2677" s="116">
        <v>1175.5</v>
      </c>
      <c r="Q2677" s="116">
        <v>1221.4000000000001</v>
      </c>
      <c r="R2677">
        <v>2283392</v>
      </c>
    </row>
    <row r="2678" spans="1:18" x14ac:dyDescent="0.25">
      <c r="A2678" s="170">
        <v>45946</v>
      </c>
      <c r="B2678" s="116">
        <v>1286.0999999999999</v>
      </c>
      <c r="C2678" s="116">
        <v>1276.55</v>
      </c>
      <c r="D2678" s="116">
        <v>1216.0999999999999</v>
      </c>
      <c r="E2678" s="116">
        <v>1221.55</v>
      </c>
      <c r="F2678" s="116">
        <v>1276.55</v>
      </c>
      <c r="G2678">
        <v>397686</v>
      </c>
      <c r="H2678" s="116"/>
      <c r="I2678" s="116"/>
      <c r="L2678" s="170">
        <v>45946</v>
      </c>
      <c r="M2678" s="116">
        <v>1276.5999999999999</v>
      </c>
      <c r="N2678" s="116">
        <v>1286.5</v>
      </c>
      <c r="O2678" s="116">
        <v>1216.5</v>
      </c>
      <c r="P2678" s="116">
        <v>1221.4000000000001</v>
      </c>
      <c r="Q2678" s="116">
        <v>1276.5999999999999</v>
      </c>
      <c r="R2678">
        <v>6927367</v>
      </c>
    </row>
    <row r="2679" spans="1:18" x14ac:dyDescent="0.25">
      <c r="A2679" s="170">
        <v>45947</v>
      </c>
      <c r="B2679" s="116">
        <v>1310.5</v>
      </c>
      <c r="C2679" s="116">
        <v>1289</v>
      </c>
      <c r="D2679" s="116">
        <v>1262.2</v>
      </c>
      <c r="E2679" s="116">
        <v>1262.2</v>
      </c>
      <c r="F2679" s="116">
        <v>1289</v>
      </c>
      <c r="G2679">
        <v>152598</v>
      </c>
      <c r="H2679" s="116"/>
      <c r="I2679" s="116"/>
      <c r="L2679" s="170">
        <v>45947</v>
      </c>
      <c r="M2679" s="116">
        <v>1289.5</v>
      </c>
      <c r="N2679" s="116">
        <v>1311.6</v>
      </c>
      <c r="O2679" s="116">
        <v>1261.3</v>
      </c>
      <c r="P2679" s="116">
        <v>1263.9000000000001</v>
      </c>
      <c r="Q2679" s="116">
        <v>1289.5</v>
      </c>
      <c r="R2679">
        <v>3171952</v>
      </c>
    </row>
    <row r="2680" spans="1:18" x14ac:dyDescent="0.25">
      <c r="A2680" s="170">
        <v>45950</v>
      </c>
      <c r="B2680" s="116">
        <v>1305.4000000000001</v>
      </c>
      <c r="C2680" s="116">
        <v>1285</v>
      </c>
      <c r="D2680" s="116">
        <v>1281.05</v>
      </c>
      <c r="E2680" s="116">
        <v>1289</v>
      </c>
      <c r="F2680" s="116">
        <v>1285</v>
      </c>
      <c r="G2680">
        <v>28558</v>
      </c>
      <c r="H2680" s="116"/>
      <c r="I2680" s="116"/>
      <c r="L2680" s="170">
        <v>45950</v>
      </c>
      <c r="M2680" s="116">
        <v>1285.4000000000001</v>
      </c>
      <c r="N2680" s="116">
        <v>1305.5999999999999</v>
      </c>
      <c r="O2680" s="116">
        <v>1280.8</v>
      </c>
      <c r="P2680" s="116">
        <v>1289.5</v>
      </c>
      <c r="Q2680" s="116">
        <v>1285.4000000000001</v>
      </c>
      <c r="R2680">
        <v>1246633</v>
      </c>
    </row>
    <row r="2681" spans="1:18" x14ac:dyDescent="0.25">
      <c r="A2681" s="170">
        <v>45951</v>
      </c>
      <c r="B2681" s="116">
        <v>1291.95</v>
      </c>
      <c r="C2681" s="116">
        <v>1286.75</v>
      </c>
      <c r="D2681" s="116">
        <v>1281.3499999999999</v>
      </c>
      <c r="E2681" s="116">
        <v>1281.3499999999999</v>
      </c>
      <c r="F2681" s="116">
        <v>1286.75</v>
      </c>
      <c r="G2681">
        <v>17278</v>
      </c>
      <c r="H2681" s="116"/>
      <c r="I2681" s="116"/>
      <c r="L2681" s="170">
        <v>45951</v>
      </c>
      <c r="M2681" s="116">
        <v>1287.3</v>
      </c>
      <c r="N2681" s="116">
        <v>1292</v>
      </c>
      <c r="O2681" s="116">
        <v>1277.3</v>
      </c>
      <c r="P2681" s="116">
        <v>1280</v>
      </c>
      <c r="Q2681" s="116">
        <v>1287.3</v>
      </c>
      <c r="R2681">
        <v>245138</v>
      </c>
    </row>
    <row r="2682" spans="1:18" x14ac:dyDescent="0.25">
      <c r="A2682" s="170">
        <v>45953</v>
      </c>
      <c r="B2682" s="116">
        <v>1303.0999999999999</v>
      </c>
      <c r="C2682" s="116">
        <v>1273.5</v>
      </c>
      <c r="D2682" s="116">
        <v>1270.8</v>
      </c>
      <c r="E2682" s="116">
        <v>1286.75</v>
      </c>
      <c r="F2682" s="116">
        <v>1273.5</v>
      </c>
      <c r="G2682">
        <v>40092</v>
      </c>
      <c r="H2682" s="116"/>
      <c r="I2682" s="116"/>
      <c r="L2682" s="170">
        <v>45953</v>
      </c>
      <c r="M2682" s="116">
        <v>1272.8</v>
      </c>
      <c r="N2682" s="116">
        <v>1303.8</v>
      </c>
      <c r="O2682" s="116">
        <v>1270.8</v>
      </c>
      <c r="P2682" s="116">
        <v>1287</v>
      </c>
      <c r="Q2682" s="116">
        <v>1272.8</v>
      </c>
      <c r="R2682">
        <v>1751448</v>
      </c>
    </row>
    <row r="2683" spans="1:18" x14ac:dyDescent="0.25">
      <c r="A2683" s="170">
        <v>45954</v>
      </c>
      <c r="B2683" s="116">
        <v>1284</v>
      </c>
      <c r="C2683" s="116">
        <v>1281.4000000000001</v>
      </c>
      <c r="D2683" s="116">
        <v>1259.1500000000001</v>
      </c>
      <c r="E2683" s="116">
        <v>1275.25</v>
      </c>
      <c r="F2683" s="116">
        <v>1281.4000000000001</v>
      </c>
      <c r="G2683">
        <v>57886</v>
      </c>
      <c r="H2683" s="116"/>
      <c r="I2683" s="116"/>
      <c r="L2683" s="170">
        <v>45954</v>
      </c>
      <c r="M2683" s="116">
        <v>1282</v>
      </c>
      <c r="N2683" s="116">
        <v>1284.5</v>
      </c>
      <c r="O2683" s="116">
        <v>1259.4000000000001</v>
      </c>
      <c r="P2683" s="116">
        <v>1274.4000000000001</v>
      </c>
      <c r="Q2683" s="116">
        <v>1282</v>
      </c>
      <c r="R2683">
        <v>1433533</v>
      </c>
    </row>
    <row r="2684" spans="1:18" x14ac:dyDescent="0.25">
      <c r="A2684" s="170">
        <v>45957</v>
      </c>
      <c r="B2684" s="116">
        <v>1291.5</v>
      </c>
      <c r="C2684" s="116">
        <v>1282.7</v>
      </c>
      <c r="D2684" s="116">
        <v>1276.05</v>
      </c>
      <c r="E2684" s="116">
        <v>1281.6500000000001</v>
      </c>
      <c r="F2684" s="116">
        <v>1282.7</v>
      </c>
      <c r="G2684">
        <v>50762</v>
      </c>
      <c r="H2684" s="116"/>
      <c r="I2684" s="116"/>
      <c r="L2684" s="170">
        <v>45957</v>
      </c>
      <c r="M2684" s="116">
        <v>1283</v>
      </c>
      <c r="N2684" s="116">
        <v>1292.2</v>
      </c>
      <c r="O2684" s="116">
        <v>1275.8</v>
      </c>
      <c r="P2684" s="116">
        <v>1282</v>
      </c>
      <c r="Q2684" s="116">
        <v>1283</v>
      </c>
      <c r="R2684">
        <v>1107997</v>
      </c>
    </row>
    <row r="2685" spans="1:18" x14ac:dyDescent="0.25">
      <c r="A2685" s="170">
        <v>45958</v>
      </c>
      <c r="B2685" s="116">
        <v>1287.55</v>
      </c>
      <c r="C2685" s="116">
        <v>1271</v>
      </c>
      <c r="D2685" s="116">
        <v>1263.45</v>
      </c>
      <c r="E2685" s="116">
        <v>1282.0999999999999</v>
      </c>
      <c r="F2685" s="116">
        <v>1271</v>
      </c>
      <c r="G2685">
        <v>43625</v>
      </c>
      <c r="H2685" s="116"/>
      <c r="I2685" s="116"/>
      <c r="L2685" s="170">
        <v>45958</v>
      </c>
      <c r="M2685" s="116">
        <v>1271</v>
      </c>
      <c r="N2685" s="116">
        <v>1288.9000000000001</v>
      </c>
      <c r="O2685" s="116">
        <v>1263.7</v>
      </c>
      <c r="P2685" s="116">
        <v>1283.8</v>
      </c>
      <c r="Q2685" s="116">
        <v>1271</v>
      </c>
      <c r="R2685">
        <v>1343829</v>
      </c>
    </row>
    <row r="2686" spans="1:18" x14ac:dyDescent="0.25">
      <c r="A2686" s="170">
        <v>45959</v>
      </c>
      <c r="B2686" s="116">
        <v>1280.6500000000001</v>
      </c>
      <c r="C2686" s="116">
        <v>1273.05</v>
      </c>
      <c r="D2686" s="116">
        <v>1266.75</v>
      </c>
      <c r="E2686" s="116">
        <v>1271.45</v>
      </c>
      <c r="F2686" s="116">
        <v>1273.05</v>
      </c>
      <c r="G2686">
        <v>42551</v>
      </c>
      <c r="H2686" s="116"/>
      <c r="I2686" s="116"/>
      <c r="L2686" s="170">
        <v>45959</v>
      </c>
      <c r="M2686" s="116">
        <v>1273</v>
      </c>
      <c r="N2686" s="116">
        <v>1281</v>
      </c>
      <c r="O2686" s="116">
        <v>1266.5</v>
      </c>
      <c r="P2686" s="116">
        <v>1275</v>
      </c>
      <c r="Q2686" s="116">
        <v>1273</v>
      </c>
      <c r="R2686">
        <v>836932</v>
      </c>
    </row>
    <row r="2687" spans="1:18" x14ac:dyDescent="0.25">
      <c r="A2687" s="170">
        <v>45960</v>
      </c>
      <c r="B2687" s="116">
        <v>1281.5999999999999</v>
      </c>
      <c r="C2687" s="116">
        <v>1279.95</v>
      </c>
      <c r="D2687" s="116">
        <v>1268</v>
      </c>
      <c r="E2687" s="116">
        <v>1275.1500000000001</v>
      </c>
      <c r="F2687" s="116">
        <v>1279.95</v>
      </c>
      <c r="G2687">
        <v>40122</v>
      </c>
      <c r="H2687" s="116"/>
      <c r="I2687" s="116"/>
      <c r="L2687" s="170">
        <v>45960</v>
      </c>
      <c r="M2687" s="116">
        <v>1279.9000000000001</v>
      </c>
      <c r="N2687" s="116">
        <v>1281.4000000000001</v>
      </c>
      <c r="O2687" s="116">
        <v>1267.7</v>
      </c>
      <c r="P2687" s="116">
        <v>1278</v>
      </c>
      <c r="Q2687" s="116">
        <v>1279.9000000000001</v>
      </c>
      <c r="R2687">
        <v>728703</v>
      </c>
    </row>
    <row r="2688" spans="1:18" x14ac:dyDescent="0.25">
      <c r="A2688" s="170">
        <v>45961</v>
      </c>
      <c r="B2688" s="116">
        <v>1283.9000000000001</v>
      </c>
      <c r="C2688" s="116">
        <v>1271.55</v>
      </c>
      <c r="D2688" s="116">
        <v>1267.1500000000001</v>
      </c>
      <c r="E2688" s="116">
        <v>1279.75</v>
      </c>
      <c r="F2688" s="116">
        <v>1271.55</v>
      </c>
      <c r="G2688">
        <v>126170</v>
      </c>
      <c r="H2688" s="116"/>
      <c r="I2688" s="116"/>
      <c r="L2688" s="170">
        <v>45961</v>
      </c>
      <c r="M2688" s="116">
        <v>1271.5999999999999</v>
      </c>
      <c r="N2688" s="116">
        <v>1284</v>
      </c>
      <c r="O2688" s="116">
        <v>1269.5999999999999</v>
      </c>
      <c r="P2688" s="116">
        <v>1279.9000000000001</v>
      </c>
      <c r="Q2688" s="116">
        <v>1271.5999999999999</v>
      </c>
      <c r="R2688">
        <v>943037</v>
      </c>
    </row>
    <row r="2689" spans="1:18" x14ac:dyDescent="0.25">
      <c r="A2689" s="170">
        <v>45964</v>
      </c>
      <c r="B2689" s="116">
        <v>1270.95</v>
      </c>
      <c r="C2689" s="116">
        <v>1268.3499999999999</v>
      </c>
      <c r="D2689" s="116">
        <v>1255.6500000000001</v>
      </c>
      <c r="E2689" s="116">
        <v>1270.95</v>
      </c>
      <c r="F2689" s="116">
        <v>1268.3499999999999</v>
      </c>
      <c r="G2689">
        <v>55329</v>
      </c>
      <c r="H2689" s="116"/>
      <c r="I2689" s="116"/>
      <c r="L2689" s="170">
        <v>45964</v>
      </c>
      <c r="M2689" s="116">
        <v>1266.7</v>
      </c>
      <c r="N2689" s="116">
        <v>1269.9000000000001</v>
      </c>
      <c r="O2689" s="116">
        <v>1255.5</v>
      </c>
      <c r="P2689" s="116">
        <v>1269.5999999999999</v>
      </c>
      <c r="Q2689" s="116">
        <v>1266.7</v>
      </c>
      <c r="R2689">
        <v>847050</v>
      </c>
    </row>
    <row r="2690" spans="1:18" x14ac:dyDescent="0.25">
      <c r="A2690" s="170">
        <v>45965</v>
      </c>
      <c r="B2690" s="116">
        <v>1268.3499999999999</v>
      </c>
      <c r="C2690" s="116">
        <v>1264.75</v>
      </c>
      <c r="D2690" s="116">
        <v>1250.75</v>
      </c>
      <c r="E2690" s="116">
        <v>1267</v>
      </c>
      <c r="F2690" s="116">
        <v>1264.75</v>
      </c>
      <c r="G2690">
        <v>26376</v>
      </c>
      <c r="H2690" s="116"/>
      <c r="I2690" s="116"/>
      <c r="L2690" s="170">
        <v>45965</v>
      </c>
      <c r="M2690" s="116">
        <v>1265</v>
      </c>
      <c r="N2690" s="116">
        <v>1269</v>
      </c>
      <c r="O2690" s="116">
        <v>1250.7</v>
      </c>
      <c r="P2690" s="116">
        <v>1266</v>
      </c>
      <c r="Q2690" s="116">
        <v>1265</v>
      </c>
      <c r="R2690">
        <v>770668</v>
      </c>
    </row>
    <row r="2691" spans="1:18" x14ac:dyDescent="0.25">
      <c r="A2691" s="170">
        <v>45967</v>
      </c>
      <c r="B2691" s="116">
        <v>1278.5</v>
      </c>
      <c r="C2691" s="116">
        <v>1268.8499999999999</v>
      </c>
      <c r="D2691" s="116">
        <v>1261</v>
      </c>
      <c r="E2691" s="116">
        <v>1261.8499999999999</v>
      </c>
      <c r="F2691" s="116">
        <v>1268.8499999999999</v>
      </c>
      <c r="G2691">
        <v>61021</v>
      </c>
      <c r="H2691" s="116"/>
      <c r="I2691" s="116"/>
      <c r="L2691" s="170">
        <v>45967</v>
      </c>
      <c r="M2691" s="116">
        <v>1266.0999999999999</v>
      </c>
      <c r="N2691" s="116">
        <v>1278.9000000000001</v>
      </c>
      <c r="O2691" s="116">
        <v>1260.0999999999999</v>
      </c>
      <c r="P2691" s="116">
        <v>1265</v>
      </c>
      <c r="Q2691" s="116">
        <v>1266.0999999999999</v>
      </c>
      <c r="R2691">
        <v>1171263</v>
      </c>
    </row>
    <row r="2692" spans="1:18" x14ac:dyDescent="0.25">
      <c r="A2692" s="170">
        <v>45968</v>
      </c>
      <c r="B2692" s="116">
        <v>1270.5999999999999</v>
      </c>
      <c r="C2692" s="116">
        <v>1260.9000000000001</v>
      </c>
      <c r="D2692" s="116">
        <v>1256.45</v>
      </c>
      <c r="E2692" s="116">
        <v>1264.8</v>
      </c>
      <c r="F2692" s="116">
        <v>1260.9000000000001</v>
      </c>
      <c r="G2692">
        <v>54899</v>
      </c>
      <c r="H2692" s="116"/>
      <c r="I2692" s="116"/>
      <c r="L2692" s="170">
        <v>45968</v>
      </c>
      <c r="M2692" s="116">
        <v>1262.7</v>
      </c>
      <c r="N2692" s="116">
        <v>1270.9000000000001</v>
      </c>
      <c r="O2692" s="116">
        <v>1256.4000000000001</v>
      </c>
      <c r="P2692" s="116">
        <v>1264</v>
      </c>
      <c r="Q2692" s="116">
        <v>1262.7</v>
      </c>
      <c r="R2692">
        <v>596683</v>
      </c>
    </row>
    <row r="2693" spans="1:18" x14ac:dyDescent="0.25">
      <c r="A2693" s="170">
        <v>45971</v>
      </c>
      <c r="B2693" s="116">
        <v>1279.25</v>
      </c>
      <c r="C2693" s="116">
        <v>1262.8</v>
      </c>
      <c r="D2693" s="116">
        <v>1260.9000000000001</v>
      </c>
      <c r="E2693" s="116">
        <v>1279.25</v>
      </c>
      <c r="F2693" s="116">
        <v>1262.8</v>
      </c>
      <c r="G2693">
        <v>14916</v>
      </c>
      <c r="H2693" s="116"/>
      <c r="I2693" s="116"/>
      <c r="L2693" s="170">
        <v>45971</v>
      </c>
      <c r="M2693" s="116">
        <v>1262.9000000000001</v>
      </c>
      <c r="N2693" s="116">
        <v>1273.2</v>
      </c>
      <c r="O2693" s="116">
        <v>1260.2</v>
      </c>
      <c r="P2693" s="116">
        <v>1263.0999999999999</v>
      </c>
      <c r="Q2693" s="116">
        <v>1262.9000000000001</v>
      </c>
      <c r="R2693">
        <v>737986</v>
      </c>
    </row>
    <row r="2694" spans="1:18" x14ac:dyDescent="0.25">
      <c r="A2694" s="170">
        <v>45972</v>
      </c>
      <c r="B2694" s="116">
        <v>1269.9000000000001</v>
      </c>
      <c r="C2694" s="116">
        <v>1268.1500000000001</v>
      </c>
      <c r="D2694" s="116">
        <v>1256.25</v>
      </c>
      <c r="E2694" s="116">
        <v>1265.1500000000001</v>
      </c>
      <c r="F2694" s="116">
        <v>1268.1500000000001</v>
      </c>
      <c r="G2694">
        <v>13146</v>
      </c>
      <c r="H2694" s="116"/>
      <c r="I2694" s="116"/>
      <c r="L2694" s="170">
        <v>45972</v>
      </c>
      <c r="M2694" s="116">
        <v>1268.0999999999999</v>
      </c>
      <c r="N2694" s="116">
        <v>1270.2</v>
      </c>
      <c r="O2694" s="116">
        <v>1255</v>
      </c>
      <c r="P2694" s="116">
        <v>1268</v>
      </c>
      <c r="Q2694" s="116">
        <v>1268.0999999999999</v>
      </c>
      <c r="R2694">
        <v>729912</v>
      </c>
    </row>
    <row r="2695" spans="1:18" x14ac:dyDescent="0.25">
      <c r="A2695" s="170">
        <v>45973</v>
      </c>
      <c r="B2695" s="116">
        <v>1286.9000000000001</v>
      </c>
      <c r="C2695" s="116">
        <v>1276.45</v>
      </c>
      <c r="D2695" s="116">
        <v>1261.8499999999999</v>
      </c>
      <c r="E2695" s="116">
        <v>1266.05</v>
      </c>
      <c r="F2695" s="116">
        <v>1276.45</v>
      </c>
      <c r="G2695">
        <v>35089</v>
      </c>
      <c r="H2695" s="116"/>
      <c r="I2695" s="116"/>
      <c r="L2695" s="170">
        <v>45973</v>
      </c>
      <c r="M2695" s="116">
        <v>1278.2</v>
      </c>
      <c r="N2695" s="116">
        <v>1286.9000000000001</v>
      </c>
      <c r="O2695" s="116">
        <v>1261.5999999999999</v>
      </c>
      <c r="P2695" s="116">
        <v>1270</v>
      </c>
      <c r="Q2695" s="116">
        <v>1278.2</v>
      </c>
      <c r="R2695">
        <v>824792</v>
      </c>
    </row>
    <row r="2696" spans="1:18" x14ac:dyDescent="0.25">
      <c r="A2696" s="170">
        <v>45974</v>
      </c>
      <c r="B2696" s="116">
        <v>1289</v>
      </c>
      <c r="C2696" s="116">
        <v>1274.8</v>
      </c>
      <c r="D2696" s="116">
        <v>1270.8</v>
      </c>
      <c r="E2696" s="116">
        <v>1283.45</v>
      </c>
      <c r="F2696" s="116">
        <v>1274.8</v>
      </c>
      <c r="G2696">
        <v>18553</v>
      </c>
      <c r="H2696" s="116"/>
      <c r="I2696" s="116"/>
      <c r="L2696" s="170">
        <v>45974</v>
      </c>
      <c r="M2696" s="116">
        <v>1275.2</v>
      </c>
      <c r="N2696" s="116">
        <v>1289.3</v>
      </c>
      <c r="O2696" s="116">
        <v>1270.3</v>
      </c>
      <c r="P2696" s="116">
        <v>1280</v>
      </c>
      <c r="Q2696" s="116">
        <v>1275.2</v>
      </c>
      <c r="R2696">
        <v>691337</v>
      </c>
    </row>
    <row r="2697" spans="1:18" x14ac:dyDescent="0.25">
      <c r="A2697" s="170">
        <v>45975</v>
      </c>
      <c r="B2697" s="116">
        <v>1277.2</v>
      </c>
      <c r="C2697" s="116">
        <v>1269.3499999999999</v>
      </c>
      <c r="D2697" s="116">
        <v>1262.75</v>
      </c>
      <c r="E2697" s="116">
        <v>1275.3</v>
      </c>
      <c r="F2697" s="116">
        <v>1269.3499999999999</v>
      </c>
      <c r="G2697">
        <v>8869</v>
      </c>
      <c r="H2697" s="116"/>
      <c r="I2697" s="116"/>
      <c r="L2697" s="170">
        <v>45975</v>
      </c>
      <c r="M2697" s="116">
        <v>1271.5999999999999</v>
      </c>
      <c r="N2697" s="116">
        <v>1279</v>
      </c>
      <c r="O2697" s="116">
        <v>1262.4000000000001</v>
      </c>
      <c r="P2697" s="116">
        <v>1275.2</v>
      </c>
      <c r="Q2697" s="116">
        <v>1271.5999999999999</v>
      </c>
      <c r="R2697">
        <v>675047</v>
      </c>
    </row>
    <row r="2698" spans="1:18" x14ac:dyDescent="0.25">
      <c r="A2698" s="170">
        <v>45978</v>
      </c>
      <c r="B2698" s="116">
        <v>1277.8499999999999</v>
      </c>
      <c r="C2698" s="116">
        <v>1269.75</v>
      </c>
      <c r="D2698" s="116">
        <v>1264.25</v>
      </c>
      <c r="E2698" s="116">
        <v>1270.6500000000001</v>
      </c>
      <c r="F2698" s="116">
        <v>1269.75</v>
      </c>
      <c r="G2698">
        <v>20540</v>
      </c>
      <c r="H2698" s="116"/>
      <c r="I2698" s="116"/>
      <c r="L2698" s="170">
        <v>45978</v>
      </c>
      <c r="M2698" s="116">
        <v>1270.3</v>
      </c>
      <c r="N2698" s="116">
        <v>1278</v>
      </c>
      <c r="O2698" s="116">
        <v>1264.0999999999999</v>
      </c>
      <c r="P2698" s="116">
        <v>1272</v>
      </c>
      <c r="Q2698" s="116">
        <v>1270.3</v>
      </c>
      <c r="R2698">
        <v>774802</v>
      </c>
    </row>
    <row r="2699" spans="1:18" x14ac:dyDescent="0.25">
      <c r="A2699" s="170">
        <v>45979</v>
      </c>
      <c r="B2699" s="116">
        <v>1271.2</v>
      </c>
      <c r="C2699" s="116">
        <v>1265.05</v>
      </c>
      <c r="D2699" s="116">
        <v>1253</v>
      </c>
      <c r="E2699" s="116">
        <v>1271.2</v>
      </c>
      <c r="F2699" s="116">
        <v>1265.05</v>
      </c>
      <c r="G2699">
        <v>21579</v>
      </c>
      <c r="H2699" s="116"/>
      <c r="I2699" s="116"/>
      <c r="L2699" s="170">
        <v>45979</v>
      </c>
      <c r="M2699" s="116">
        <v>1265.0999999999999</v>
      </c>
      <c r="N2699" s="116">
        <v>1269.9000000000001</v>
      </c>
      <c r="O2699" s="116">
        <v>1252.5999999999999</v>
      </c>
      <c r="P2699" s="116">
        <v>1262.0999999999999</v>
      </c>
      <c r="Q2699" s="116">
        <v>1265.0999999999999</v>
      </c>
      <c r="R2699">
        <v>810387</v>
      </c>
    </row>
    <row r="2700" spans="1:18" x14ac:dyDescent="0.25">
      <c r="A2700" s="170">
        <v>45980</v>
      </c>
      <c r="B2700" s="116">
        <v>1280</v>
      </c>
      <c r="C2700" s="116">
        <v>1278.2</v>
      </c>
      <c r="D2700" s="116">
        <v>1263</v>
      </c>
      <c r="E2700" s="116">
        <v>1264</v>
      </c>
      <c r="F2700" s="116">
        <v>1278.2</v>
      </c>
      <c r="G2700">
        <v>36481</v>
      </c>
      <c r="H2700" s="116"/>
      <c r="I2700" s="116"/>
      <c r="L2700" s="170">
        <v>45980</v>
      </c>
      <c r="M2700" s="116">
        <v>1279</v>
      </c>
      <c r="N2700" s="116">
        <v>1280</v>
      </c>
      <c r="O2700" s="116">
        <v>1263</v>
      </c>
      <c r="P2700" s="116">
        <v>1267.9000000000001</v>
      </c>
      <c r="Q2700" s="116">
        <v>1279</v>
      </c>
      <c r="R2700">
        <v>726287</v>
      </c>
    </row>
    <row r="2701" spans="1:18" x14ac:dyDescent="0.25">
      <c r="A2701" s="170">
        <v>45981</v>
      </c>
      <c r="B2701" s="116">
        <v>1288.8</v>
      </c>
      <c r="C2701" s="116">
        <v>1280.55</v>
      </c>
      <c r="D2701" s="116">
        <v>1276.2</v>
      </c>
      <c r="E2701" s="116">
        <v>1285.05</v>
      </c>
      <c r="F2701" s="116">
        <v>1280.55</v>
      </c>
      <c r="G2701">
        <v>212746</v>
      </c>
      <c r="H2701" s="116"/>
      <c r="I2701" s="116"/>
      <c r="L2701" s="170">
        <v>45981</v>
      </c>
      <c r="M2701" s="116">
        <v>1279.2</v>
      </c>
      <c r="N2701" s="116">
        <v>1288.5999999999999</v>
      </c>
      <c r="O2701" s="116">
        <v>1275.2</v>
      </c>
      <c r="P2701" s="116">
        <v>1288</v>
      </c>
      <c r="Q2701" s="116">
        <v>1279.2</v>
      </c>
      <c r="R2701">
        <v>796864</v>
      </c>
    </row>
    <row r="2702" spans="1:18" x14ac:dyDescent="0.25">
      <c r="A2702" s="170">
        <v>45982</v>
      </c>
      <c r="B2702" s="116">
        <v>1288.75</v>
      </c>
      <c r="C2702" s="116">
        <v>1280.8499999999999</v>
      </c>
      <c r="D2702" s="116">
        <v>1271.3499999999999</v>
      </c>
      <c r="E2702" s="116">
        <v>1271.3499999999999</v>
      </c>
      <c r="F2702" s="116">
        <v>1280.8499999999999</v>
      </c>
      <c r="G2702">
        <v>83167</v>
      </c>
      <c r="H2702" s="116"/>
      <c r="I2702" s="116"/>
      <c r="L2702" s="170">
        <v>45982</v>
      </c>
      <c r="M2702" s="116">
        <v>1280.7</v>
      </c>
      <c r="N2702" s="116">
        <v>1288.9000000000001</v>
      </c>
      <c r="O2702" s="116">
        <v>1273</v>
      </c>
      <c r="P2702" s="116">
        <v>1275</v>
      </c>
      <c r="Q2702" s="116">
        <v>1280.7</v>
      </c>
      <c r="R2702">
        <v>673231</v>
      </c>
    </row>
    <row r="2703" spans="1:18" x14ac:dyDescent="0.25">
      <c r="A2703" s="170">
        <v>45985</v>
      </c>
      <c r="B2703" s="116">
        <v>1285.2</v>
      </c>
      <c r="C2703" s="116">
        <v>1269.5</v>
      </c>
      <c r="D2703" s="116">
        <v>1258.6500000000001</v>
      </c>
      <c r="E2703" s="116">
        <v>1281.45</v>
      </c>
      <c r="F2703" s="116">
        <v>1269.5</v>
      </c>
      <c r="G2703">
        <v>112851</v>
      </c>
      <c r="H2703" s="116"/>
      <c r="I2703" s="116"/>
      <c r="L2703" s="170">
        <v>45985</v>
      </c>
      <c r="M2703" s="116">
        <v>1269.2</v>
      </c>
      <c r="N2703" s="116">
        <v>1285.8</v>
      </c>
      <c r="O2703" s="116">
        <v>1259.5</v>
      </c>
      <c r="P2703" s="116">
        <v>1285</v>
      </c>
      <c r="Q2703" s="116">
        <v>1269.2</v>
      </c>
      <c r="R2703">
        <v>2636542</v>
      </c>
    </row>
    <row r="2704" spans="1:18" x14ac:dyDescent="0.25">
      <c r="A2704" s="170">
        <v>45986</v>
      </c>
      <c r="B2704" s="116">
        <v>1270.8499999999999</v>
      </c>
      <c r="C2704" s="116">
        <v>1263.0999999999999</v>
      </c>
      <c r="D2704" s="116">
        <v>1251.45</v>
      </c>
      <c r="E2704" s="116">
        <v>1262.5999999999999</v>
      </c>
      <c r="F2704" s="116">
        <v>1263.0999999999999</v>
      </c>
      <c r="G2704">
        <v>64449</v>
      </c>
      <c r="H2704" s="116"/>
      <c r="I2704" s="116"/>
      <c r="L2704" s="170">
        <v>45986</v>
      </c>
      <c r="M2704" s="116">
        <v>1263.2</v>
      </c>
      <c r="N2704" s="116">
        <v>1270.9000000000001</v>
      </c>
      <c r="O2704" s="116">
        <v>1250.8</v>
      </c>
      <c r="P2704" s="116">
        <v>1267.4000000000001</v>
      </c>
      <c r="Q2704" s="116">
        <v>1263.2</v>
      </c>
      <c r="R2704">
        <v>1065974</v>
      </c>
    </row>
    <row r="2705" spans="1:18" x14ac:dyDescent="0.25">
      <c r="A2705" s="170">
        <v>45987</v>
      </c>
      <c r="B2705" s="116">
        <v>1282</v>
      </c>
      <c r="C2705" s="116">
        <v>1275.4000000000001</v>
      </c>
      <c r="D2705" s="116">
        <v>1258</v>
      </c>
      <c r="E2705" s="116">
        <v>1258</v>
      </c>
      <c r="F2705" s="116">
        <v>1275.4000000000001</v>
      </c>
      <c r="G2705">
        <v>21496</v>
      </c>
      <c r="H2705" s="116"/>
      <c r="I2705" s="116"/>
      <c r="L2705" s="170">
        <v>45987</v>
      </c>
      <c r="M2705" s="116">
        <v>1276.8</v>
      </c>
      <c r="N2705" s="116">
        <v>1282.7</v>
      </c>
      <c r="O2705" s="116">
        <v>1257.0999999999999</v>
      </c>
      <c r="P2705" s="116">
        <v>1257.0999999999999</v>
      </c>
      <c r="Q2705" s="116">
        <v>1276.8</v>
      </c>
      <c r="R2705">
        <v>810809</v>
      </c>
    </row>
    <row r="2706" spans="1:18" x14ac:dyDescent="0.25">
      <c r="A2706" s="170">
        <v>45988</v>
      </c>
      <c r="B2706" s="116">
        <v>1284.3499999999999</v>
      </c>
      <c r="C2706" s="116">
        <v>1265.55</v>
      </c>
      <c r="D2706" s="116">
        <v>1260.4000000000001</v>
      </c>
      <c r="E2706" s="116">
        <v>1284.3499999999999</v>
      </c>
      <c r="F2706" s="116">
        <v>1265.55</v>
      </c>
      <c r="G2706">
        <v>25471</v>
      </c>
      <c r="H2706" s="116"/>
      <c r="I2706" s="116"/>
      <c r="L2706" s="170">
        <v>45988</v>
      </c>
      <c r="M2706" s="116">
        <v>1266.4000000000001</v>
      </c>
      <c r="N2706" s="116">
        <v>1279.5</v>
      </c>
      <c r="O2706" s="116">
        <v>1260.5</v>
      </c>
      <c r="P2706" s="116">
        <v>1276</v>
      </c>
      <c r="Q2706" s="116">
        <v>1266.4000000000001</v>
      </c>
      <c r="R2706">
        <v>708607</v>
      </c>
    </row>
    <row r="2707" spans="1:18" x14ac:dyDescent="0.25">
      <c r="A2707" s="170">
        <v>45989</v>
      </c>
      <c r="B2707" s="116">
        <v>1268.2</v>
      </c>
      <c r="C2707" s="116">
        <v>1260.3</v>
      </c>
      <c r="D2707" s="116">
        <v>1257.9000000000001</v>
      </c>
      <c r="E2707" s="116">
        <v>1266.4000000000001</v>
      </c>
      <c r="F2707" s="116">
        <v>1260.3</v>
      </c>
      <c r="G2707">
        <v>27753</v>
      </c>
      <c r="H2707" s="116"/>
      <c r="I2707" s="116"/>
      <c r="L2707" s="170">
        <v>45989</v>
      </c>
      <c r="M2707" s="116">
        <v>1261.0999999999999</v>
      </c>
      <c r="N2707" s="116">
        <v>1269.7</v>
      </c>
      <c r="O2707" s="116">
        <v>1258.2</v>
      </c>
      <c r="P2707" s="116">
        <v>1266.3</v>
      </c>
      <c r="Q2707" s="116">
        <v>1261.0999999999999</v>
      </c>
      <c r="R2707">
        <v>626947</v>
      </c>
    </row>
    <row r="2708" spans="1:18" x14ac:dyDescent="0.25">
      <c r="A2708" s="170">
        <v>45992</v>
      </c>
      <c r="B2708" s="116">
        <v>1263.55</v>
      </c>
      <c r="C2708" s="116">
        <v>1259.8499999999999</v>
      </c>
      <c r="D2708" s="116">
        <v>1252</v>
      </c>
      <c r="E2708" s="116">
        <v>1260.3</v>
      </c>
      <c r="F2708" s="116">
        <v>1259.8499999999999</v>
      </c>
      <c r="G2708">
        <v>12186</v>
      </c>
      <c r="H2708" s="116"/>
      <c r="I2708" s="116"/>
      <c r="L2708" s="170">
        <v>45992</v>
      </c>
      <c r="M2708" s="116">
        <v>1260.5999999999999</v>
      </c>
      <c r="N2708" s="116">
        <v>1264</v>
      </c>
      <c r="O2708" s="116">
        <v>1251.5999999999999</v>
      </c>
      <c r="P2708" s="116">
        <v>1260.5999999999999</v>
      </c>
      <c r="Q2708" s="116">
        <v>1260.5999999999999</v>
      </c>
      <c r="R2708">
        <v>644563</v>
      </c>
    </row>
    <row r="2709" spans="1:18" x14ac:dyDescent="0.25">
      <c r="A2709" s="170">
        <v>45993</v>
      </c>
      <c r="B2709">
        <v>1261.5</v>
      </c>
      <c r="C2709">
        <v>1258.6500000000001</v>
      </c>
      <c r="D2709">
        <v>1251.5999999999999</v>
      </c>
      <c r="E2709">
        <v>1251.5999999999999</v>
      </c>
      <c r="F2709">
        <v>1258.6500000000001</v>
      </c>
      <c r="G2709">
        <v>26726</v>
      </c>
      <c r="H2709" s="116"/>
      <c r="I2709" s="116"/>
      <c r="L2709" s="170">
        <v>45993</v>
      </c>
      <c r="M2709" s="116">
        <v>1258.9000000000001</v>
      </c>
      <c r="N2709" s="116">
        <v>1261.8</v>
      </c>
      <c r="O2709" s="116">
        <v>1251</v>
      </c>
      <c r="P2709" s="116">
        <v>1251</v>
      </c>
      <c r="Q2709" s="116">
        <v>1258.9000000000001</v>
      </c>
      <c r="R2709">
        <v>911551</v>
      </c>
    </row>
    <row r="2710" spans="1:18" x14ac:dyDescent="0.25">
      <c r="A2710" s="170">
        <v>45994</v>
      </c>
      <c r="B2710">
        <v>1254.45</v>
      </c>
      <c r="C2710">
        <v>1241.4000000000001</v>
      </c>
      <c r="D2710">
        <v>1236.9000000000001</v>
      </c>
      <c r="E2710">
        <v>1251.05</v>
      </c>
      <c r="F2710">
        <v>1241.4000000000001</v>
      </c>
      <c r="G2710">
        <v>13381</v>
      </c>
      <c r="H2710" s="116"/>
      <c r="I2710" s="116"/>
      <c r="L2710" s="170">
        <v>45994</v>
      </c>
      <c r="M2710" s="116">
        <v>1241.9000000000001</v>
      </c>
      <c r="N2710" s="116">
        <v>1258</v>
      </c>
      <c r="O2710" s="116">
        <v>1236.0999999999999</v>
      </c>
      <c r="P2710" s="116">
        <v>1257</v>
      </c>
      <c r="Q2710" s="116">
        <v>1241.9000000000001</v>
      </c>
      <c r="R2710">
        <v>642993</v>
      </c>
    </row>
    <row r="2711" spans="1:18" x14ac:dyDescent="0.25">
      <c r="A2711" s="170">
        <v>45995</v>
      </c>
      <c r="B2711">
        <v>1249.25</v>
      </c>
      <c r="C2711">
        <v>1242.1500000000001</v>
      </c>
      <c r="D2711">
        <v>1233.0999999999999</v>
      </c>
      <c r="E2711">
        <v>1249.25</v>
      </c>
      <c r="F2711">
        <v>1242.1500000000001</v>
      </c>
      <c r="G2711">
        <v>13339</v>
      </c>
      <c r="H2711" s="116"/>
      <c r="I2711" s="116"/>
      <c r="L2711" s="170">
        <v>45995</v>
      </c>
      <c r="M2711" s="116">
        <v>1242.4000000000001</v>
      </c>
      <c r="N2711" s="116">
        <v>1245</v>
      </c>
      <c r="O2711" s="116">
        <v>1233.2</v>
      </c>
      <c r="P2711" s="116">
        <v>1241.9000000000001</v>
      </c>
      <c r="Q2711" s="116">
        <v>1242.4000000000001</v>
      </c>
      <c r="R2711">
        <v>664641</v>
      </c>
    </row>
    <row r="2712" spans="1:18" x14ac:dyDescent="0.25">
      <c r="A2712" s="170">
        <v>45996</v>
      </c>
      <c r="B2712">
        <v>1249.3</v>
      </c>
      <c r="C2712">
        <v>1246.6500000000001</v>
      </c>
      <c r="D2712">
        <v>1234.0999999999999</v>
      </c>
      <c r="E2712">
        <v>1242</v>
      </c>
      <c r="F2712">
        <v>1246.6500000000001</v>
      </c>
      <c r="G2712">
        <v>19078</v>
      </c>
      <c r="H2712" s="116"/>
      <c r="I2712" s="116"/>
      <c r="L2712" s="170">
        <v>45996</v>
      </c>
      <c r="M2712" s="116">
        <v>1246.9000000000001</v>
      </c>
      <c r="N2712" s="116">
        <v>1249</v>
      </c>
      <c r="O2712" s="116">
        <v>1234.2</v>
      </c>
      <c r="P2712" s="116">
        <v>1237.5</v>
      </c>
      <c r="Q2712" s="116">
        <v>1246.9000000000001</v>
      </c>
      <c r="R2712">
        <v>911699</v>
      </c>
    </row>
    <row r="2713" spans="1:18" x14ac:dyDescent="0.25">
      <c r="A2713" s="170">
        <v>45999</v>
      </c>
      <c r="B2713">
        <v>1247.3</v>
      </c>
      <c r="C2713">
        <v>1215.2</v>
      </c>
      <c r="D2713">
        <v>1212.9000000000001</v>
      </c>
      <c r="E2713">
        <v>1234.3499999999999</v>
      </c>
      <c r="F2713">
        <v>1215.2</v>
      </c>
      <c r="G2713">
        <v>48688</v>
      </c>
      <c r="H2713" s="116"/>
      <c r="I2713" s="116"/>
      <c r="L2713" s="170">
        <v>45999</v>
      </c>
      <c r="M2713" s="116">
        <v>1214.8</v>
      </c>
      <c r="N2713" s="116">
        <v>1248</v>
      </c>
      <c r="O2713" s="116">
        <v>1212.8</v>
      </c>
      <c r="P2713" s="116">
        <v>1246.9000000000001</v>
      </c>
      <c r="Q2713" s="116">
        <v>1214.8</v>
      </c>
      <c r="R2713">
        <v>1534927</v>
      </c>
    </row>
    <row r="2714" spans="1:18" x14ac:dyDescent="0.25">
      <c r="A2714" s="170">
        <v>46000</v>
      </c>
      <c r="B2714">
        <v>1220.9000000000001</v>
      </c>
      <c r="C2714">
        <v>1215.3499999999999</v>
      </c>
      <c r="D2714">
        <v>1207</v>
      </c>
      <c r="E2714">
        <v>1212.3499999999999</v>
      </c>
      <c r="F2714">
        <v>1215.3499999999999</v>
      </c>
      <c r="G2714">
        <v>41306</v>
      </c>
      <c r="H2714" s="116"/>
      <c r="I2714" s="116"/>
      <c r="L2714" s="170">
        <v>46000</v>
      </c>
      <c r="M2714" s="116">
        <v>1215.8</v>
      </c>
      <c r="N2714" s="116">
        <v>1221.5</v>
      </c>
      <c r="O2714" s="116">
        <v>1207.3</v>
      </c>
      <c r="P2714" s="116">
        <v>1214.9000000000001</v>
      </c>
      <c r="Q2714" s="116">
        <v>1215.8</v>
      </c>
      <c r="R2714">
        <v>810028</v>
      </c>
    </row>
    <row r="2715" spans="1:18" x14ac:dyDescent="0.25">
      <c r="A2715" s="170">
        <v>46001</v>
      </c>
      <c r="B2715">
        <v>1224.75</v>
      </c>
      <c r="C2715">
        <v>1208.6500000000001</v>
      </c>
      <c r="D2715">
        <v>1205.4000000000001</v>
      </c>
      <c r="E2715">
        <v>1215.3499999999999</v>
      </c>
      <c r="F2715">
        <v>1208.6500000000001</v>
      </c>
      <c r="G2715">
        <v>11686</v>
      </c>
      <c r="H2715" s="116"/>
      <c r="I2715" s="116"/>
      <c r="L2715" s="170">
        <v>46001</v>
      </c>
      <c r="M2715" s="116">
        <v>1209.3</v>
      </c>
      <c r="N2715" s="116">
        <v>1221.8</v>
      </c>
      <c r="O2715" s="116">
        <v>1205</v>
      </c>
      <c r="P2715" s="116">
        <v>1215.8</v>
      </c>
      <c r="Q2715" s="116">
        <v>1209.3</v>
      </c>
      <c r="R2715">
        <v>514862</v>
      </c>
    </row>
    <row r="2716" spans="1:18" x14ac:dyDescent="0.25">
      <c r="A2716" s="170">
        <v>46002</v>
      </c>
      <c r="B2716">
        <v>1220.3</v>
      </c>
      <c r="C2716">
        <v>1214.8</v>
      </c>
      <c r="D2716">
        <v>1206.5999999999999</v>
      </c>
      <c r="E2716">
        <v>1208.7</v>
      </c>
      <c r="F2716">
        <v>1214.8</v>
      </c>
      <c r="G2716">
        <v>75872</v>
      </c>
      <c r="H2716" s="116"/>
      <c r="I2716" s="116"/>
      <c r="L2716" s="170">
        <v>46002</v>
      </c>
      <c r="M2716" s="116">
        <v>1215</v>
      </c>
      <c r="N2716" s="116">
        <v>1220.4000000000001</v>
      </c>
      <c r="O2716" s="116">
        <v>1205.8</v>
      </c>
      <c r="P2716" s="116">
        <v>1209.4000000000001</v>
      </c>
      <c r="Q2716" s="116">
        <v>1215</v>
      </c>
      <c r="R2716">
        <v>339626</v>
      </c>
    </row>
    <row r="2717" spans="1:18" x14ac:dyDescent="0.25">
      <c r="A2717" s="170">
        <v>46003</v>
      </c>
      <c r="B2717">
        <v>1239.8</v>
      </c>
      <c r="C2717">
        <v>1238.1500000000001</v>
      </c>
      <c r="D2717">
        <v>1216.75</v>
      </c>
      <c r="E2717">
        <v>1217.3499999999999</v>
      </c>
      <c r="F2717">
        <v>1238.1500000000001</v>
      </c>
      <c r="G2717">
        <v>15122</v>
      </c>
      <c r="H2717" s="116"/>
      <c r="I2717" s="116"/>
      <c r="L2717" s="170">
        <v>46003</v>
      </c>
      <c r="M2717" s="116">
        <v>1238.3</v>
      </c>
      <c r="N2717" s="116">
        <v>1240</v>
      </c>
      <c r="O2717" s="116">
        <v>1215.4000000000001</v>
      </c>
      <c r="P2717" s="116">
        <v>1219</v>
      </c>
      <c r="Q2717" s="116">
        <v>1238.3</v>
      </c>
      <c r="R2717">
        <v>841766</v>
      </c>
    </row>
    <row r="2718" spans="1:18" x14ac:dyDescent="0.25">
      <c r="A2718" s="170">
        <v>46006</v>
      </c>
      <c r="B2718">
        <v>1248.3</v>
      </c>
      <c r="C2718">
        <v>1242.1500000000001</v>
      </c>
      <c r="D2718">
        <v>1226.45</v>
      </c>
      <c r="E2718">
        <v>1238</v>
      </c>
      <c r="F2718">
        <v>1242.1500000000001</v>
      </c>
      <c r="G2718">
        <v>15046</v>
      </c>
      <c r="H2718" s="116"/>
      <c r="I2718" s="116"/>
      <c r="L2718" s="170">
        <v>46006</v>
      </c>
      <c r="M2718" s="116">
        <v>1243.5</v>
      </c>
      <c r="N2718" s="116">
        <v>1248</v>
      </c>
      <c r="O2718" s="116">
        <v>1225.5</v>
      </c>
      <c r="P2718" s="116">
        <v>1238</v>
      </c>
      <c r="Q2718" s="116">
        <v>1243.5</v>
      </c>
      <c r="R2718">
        <v>857798</v>
      </c>
    </row>
    <row r="2719" spans="1:18" x14ac:dyDescent="0.25">
      <c r="A2719" s="170">
        <v>46007</v>
      </c>
      <c r="B2719">
        <v>1264.3499999999999</v>
      </c>
      <c r="C2719">
        <v>1239.95</v>
      </c>
      <c r="D2719">
        <v>1235.25</v>
      </c>
      <c r="E2719">
        <v>1241.25</v>
      </c>
      <c r="F2719">
        <v>1239.95</v>
      </c>
      <c r="G2719">
        <v>36958</v>
      </c>
      <c r="H2719" s="116"/>
      <c r="I2719" s="116"/>
      <c r="L2719" s="170">
        <v>46007</v>
      </c>
      <c r="M2719" s="116">
        <v>1240.5999999999999</v>
      </c>
      <c r="N2719" s="116">
        <v>1264</v>
      </c>
      <c r="O2719" s="116">
        <v>1234.4000000000001</v>
      </c>
      <c r="P2719" s="116">
        <v>1236.5</v>
      </c>
      <c r="Q2719" s="116">
        <v>1240.5999999999999</v>
      </c>
      <c r="R2719">
        <v>1086329</v>
      </c>
    </row>
    <row r="2720" spans="1:18" x14ac:dyDescent="0.25">
      <c r="A2720" s="170">
        <v>46008</v>
      </c>
      <c r="B2720">
        <v>1239.95</v>
      </c>
      <c r="C2720">
        <v>1235</v>
      </c>
      <c r="D2720">
        <v>1224.5999999999999</v>
      </c>
      <c r="E2720">
        <v>1239.95</v>
      </c>
      <c r="F2720">
        <v>1235</v>
      </c>
      <c r="G2720">
        <v>12139</v>
      </c>
      <c r="H2720" s="116"/>
      <c r="I2720" s="116"/>
      <c r="L2720" s="170">
        <v>46008</v>
      </c>
      <c r="M2720" s="116">
        <v>1234.5999999999999</v>
      </c>
      <c r="N2720" s="116">
        <v>1241.4000000000001</v>
      </c>
      <c r="O2720" s="116">
        <v>1224.3</v>
      </c>
      <c r="P2720" s="116">
        <v>1237</v>
      </c>
      <c r="Q2720" s="116">
        <v>1234.5999999999999</v>
      </c>
      <c r="R2720">
        <v>526222</v>
      </c>
    </row>
    <row r="2721" spans="1:18" x14ac:dyDescent="0.25">
      <c r="A2721" s="170">
        <v>46009</v>
      </c>
      <c r="B2721">
        <v>1244.4000000000001</v>
      </c>
      <c r="C2721">
        <v>1233.75</v>
      </c>
      <c r="D2721">
        <v>1227.3</v>
      </c>
      <c r="E2721">
        <v>1235</v>
      </c>
      <c r="F2721">
        <v>1233.75</v>
      </c>
      <c r="G2721">
        <v>31855</v>
      </c>
      <c r="H2721" s="116"/>
      <c r="I2721" s="116"/>
      <c r="L2721" s="170">
        <v>46009</v>
      </c>
      <c r="M2721" s="116">
        <v>1233.5</v>
      </c>
      <c r="N2721" s="116">
        <v>1243.9000000000001</v>
      </c>
      <c r="O2721" s="116">
        <v>1227.5</v>
      </c>
      <c r="P2721" s="116">
        <v>1234.7</v>
      </c>
      <c r="Q2721" s="116">
        <v>1233.5</v>
      </c>
      <c r="R2721">
        <v>707432</v>
      </c>
    </row>
    <row r="2722" spans="1:18" x14ac:dyDescent="0.25">
      <c r="A2722" s="170">
        <v>46010</v>
      </c>
      <c r="B2722">
        <v>1246</v>
      </c>
      <c r="C2722">
        <v>1243.45</v>
      </c>
      <c r="D2722">
        <v>1225.8</v>
      </c>
      <c r="E2722">
        <v>1225.8</v>
      </c>
      <c r="F2722">
        <v>1243.45</v>
      </c>
      <c r="G2722">
        <v>24302</v>
      </c>
      <c r="H2722" s="116"/>
      <c r="I2722" s="116"/>
      <c r="L2722" s="170">
        <v>46010</v>
      </c>
      <c r="M2722" s="116">
        <v>1244.4000000000001</v>
      </c>
      <c r="N2722" s="116">
        <v>1246.2</v>
      </c>
      <c r="O2722" s="116">
        <v>1229.7</v>
      </c>
      <c r="P2722" s="116">
        <v>1230.8</v>
      </c>
      <c r="Q2722" s="116">
        <v>1244.4000000000001</v>
      </c>
      <c r="R2722">
        <v>754446</v>
      </c>
    </row>
    <row r="2723" spans="1:18" x14ac:dyDescent="0.25">
      <c r="A2723" s="170">
        <v>46013</v>
      </c>
      <c r="B2723">
        <v>1259</v>
      </c>
      <c r="C2723">
        <v>1257.0999999999999</v>
      </c>
      <c r="D2723">
        <v>1240.05</v>
      </c>
      <c r="E2723">
        <v>1253.2</v>
      </c>
      <c r="F2723">
        <v>1257.0999999999999</v>
      </c>
      <c r="G2723">
        <v>10548</v>
      </c>
      <c r="H2723" s="116"/>
      <c r="I2723" s="116"/>
      <c r="L2723" s="170">
        <v>46013</v>
      </c>
      <c r="M2723" s="116">
        <v>1257.2</v>
      </c>
      <c r="N2723" s="116">
        <v>1259.9000000000001</v>
      </c>
      <c r="O2723" s="116">
        <v>1240</v>
      </c>
      <c r="P2723" s="116">
        <v>1246</v>
      </c>
      <c r="Q2723" s="116">
        <v>1257.2</v>
      </c>
      <c r="R2723">
        <v>880387</v>
      </c>
    </row>
    <row r="2724" spans="1:18" x14ac:dyDescent="0.25">
      <c r="A2724" s="170">
        <v>46014</v>
      </c>
      <c r="B2724">
        <v>1261</v>
      </c>
      <c r="C2724">
        <v>1254.95</v>
      </c>
      <c r="D2724">
        <v>1251.2</v>
      </c>
      <c r="E2724">
        <v>1258.2</v>
      </c>
      <c r="F2724">
        <v>1254.95</v>
      </c>
      <c r="G2724">
        <v>8580</v>
      </c>
      <c r="H2724" s="116"/>
      <c r="I2724" s="116"/>
      <c r="L2724" s="170">
        <v>46014</v>
      </c>
      <c r="M2724" s="116">
        <v>1256.5</v>
      </c>
      <c r="N2724" s="116">
        <v>1261.5</v>
      </c>
      <c r="O2724" s="116">
        <v>1251.0999999999999</v>
      </c>
      <c r="P2724" s="116">
        <v>1260</v>
      </c>
      <c r="Q2724" s="116">
        <v>1256.5</v>
      </c>
      <c r="R2724">
        <v>663261</v>
      </c>
    </row>
    <row r="2725" spans="1:18" x14ac:dyDescent="0.25">
      <c r="A2725" s="170">
        <v>46015</v>
      </c>
      <c r="B2725">
        <v>1263.5</v>
      </c>
      <c r="C2725">
        <v>1258.8499999999999</v>
      </c>
      <c r="D2725">
        <v>1242.45</v>
      </c>
      <c r="E2725">
        <v>1242.45</v>
      </c>
      <c r="F2725">
        <v>1258.8499999999999</v>
      </c>
      <c r="G2725">
        <v>13396</v>
      </c>
      <c r="H2725" s="116"/>
      <c r="I2725" s="116"/>
      <c r="L2725" s="170">
        <v>46015</v>
      </c>
      <c r="M2725" s="116">
        <v>1259.7</v>
      </c>
      <c r="N2725" s="116">
        <v>1264.0999999999999</v>
      </c>
      <c r="O2725" s="116">
        <v>1247.9000000000001</v>
      </c>
      <c r="P2725" s="116">
        <v>1251.0999999999999</v>
      </c>
      <c r="Q2725" s="116">
        <v>1259.7</v>
      </c>
      <c r="R2725">
        <v>598956</v>
      </c>
    </row>
    <row r="2726" spans="1:18" x14ac:dyDescent="0.25">
      <c r="A2726" s="170">
        <v>46017</v>
      </c>
      <c r="B2726">
        <v>1276.8</v>
      </c>
      <c r="C2726">
        <v>1271.55</v>
      </c>
      <c r="D2726">
        <v>1251.25</v>
      </c>
      <c r="E2726">
        <v>1260.3499999999999</v>
      </c>
      <c r="F2726">
        <v>1271.55</v>
      </c>
      <c r="G2726">
        <v>188047</v>
      </c>
      <c r="H2726" s="116"/>
      <c r="I2726" s="116"/>
      <c r="L2726" s="170">
        <v>46017</v>
      </c>
      <c r="M2726" s="116">
        <v>1272.5999999999999</v>
      </c>
      <c r="N2726" s="116">
        <v>1277</v>
      </c>
      <c r="O2726" s="116">
        <v>1251.4000000000001</v>
      </c>
      <c r="P2726" s="116">
        <v>1264</v>
      </c>
      <c r="Q2726" s="116">
        <v>1272.5999999999999</v>
      </c>
      <c r="R2726">
        <v>1433973</v>
      </c>
    </row>
    <row r="2727" spans="1:18" x14ac:dyDescent="0.25">
      <c r="A2727" s="170">
        <v>46020</v>
      </c>
      <c r="B2727">
        <v>1287.2</v>
      </c>
      <c r="C2727">
        <v>1280</v>
      </c>
      <c r="D2727">
        <v>1270.5</v>
      </c>
      <c r="E2727">
        <v>1275</v>
      </c>
      <c r="F2727">
        <v>1280</v>
      </c>
      <c r="G2727">
        <v>58833</v>
      </c>
      <c r="H2727" s="116"/>
      <c r="I2727" s="116"/>
      <c r="L2727" s="170">
        <v>46020</v>
      </c>
      <c r="M2727" s="116">
        <v>1280</v>
      </c>
      <c r="N2727" s="116">
        <v>1286.5</v>
      </c>
      <c r="O2727" s="116">
        <v>1270.8</v>
      </c>
      <c r="P2727" s="116">
        <v>1275</v>
      </c>
      <c r="Q2727" s="116">
        <v>1280</v>
      </c>
      <c r="R2727">
        <v>888206</v>
      </c>
    </row>
    <row r="2728" spans="1:18" x14ac:dyDescent="0.25">
      <c r="A2728" s="170">
        <v>46021</v>
      </c>
      <c r="B2728">
        <v>1289</v>
      </c>
      <c r="C2728">
        <v>1273.9000000000001</v>
      </c>
      <c r="D2728">
        <v>1268.0999999999999</v>
      </c>
      <c r="E2728">
        <v>1280</v>
      </c>
      <c r="F2728">
        <v>1273.9000000000001</v>
      </c>
      <c r="G2728">
        <v>40884</v>
      </c>
      <c r="H2728" s="116"/>
      <c r="I2728" s="116"/>
      <c r="L2728" s="170">
        <v>46021</v>
      </c>
      <c r="M2728" s="116">
        <v>1274.0999999999999</v>
      </c>
      <c r="N2728" s="116">
        <v>1289</v>
      </c>
      <c r="O2728" s="116">
        <v>1267.7</v>
      </c>
      <c r="P2728" s="116">
        <v>1284</v>
      </c>
      <c r="Q2728" s="116">
        <v>1274.0999999999999</v>
      </c>
      <c r="R2728">
        <v>2043408</v>
      </c>
    </row>
    <row r="2729" spans="1:18" x14ac:dyDescent="0.25">
      <c r="A2729" s="170">
        <v>46022</v>
      </c>
      <c r="B2729">
        <v>1293.9000000000001</v>
      </c>
      <c r="C2729">
        <v>1287.95</v>
      </c>
      <c r="D2729">
        <v>1270.8499999999999</v>
      </c>
      <c r="E2729">
        <v>1274</v>
      </c>
      <c r="F2729">
        <v>1287.95</v>
      </c>
      <c r="G2729">
        <v>63003</v>
      </c>
      <c r="H2729" s="116"/>
      <c r="I2729" s="116"/>
      <c r="L2729" s="170">
        <v>46022</v>
      </c>
      <c r="M2729" s="116">
        <v>1288</v>
      </c>
      <c r="N2729" s="116">
        <v>1294.3</v>
      </c>
      <c r="O2729" s="116">
        <v>1270.4000000000001</v>
      </c>
      <c r="P2729" s="116">
        <v>1274.2</v>
      </c>
      <c r="Q2729" s="116">
        <v>1288</v>
      </c>
      <c r="R2729">
        <v>738631</v>
      </c>
    </row>
    <row r="2730" spans="1:18" x14ac:dyDescent="0.25">
      <c r="A2730" s="170">
        <v>46023</v>
      </c>
      <c r="B2730">
        <v>1298</v>
      </c>
      <c r="C2730">
        <v>1294.75</v>
      </c>
      <c r="D2730">
        <v>1283.8</v>
      </c>
      <c r="E2730">
        <v>1288</v>
      </c>
      <c r="F2730">
        <v>1294.75</v>
      </c>
      <c r="G2730">
        <v>16922</v>
      </c>
      <c r="H2730" s="116"/>
      <c r="I2730" s="116"/>
      <c r="L2730" s="170">
        <v>46023</v>
      </c>
      <c r="M2730" s="116">
        <v>1295</v>
      </c>
      <c r="N2730" s="116">
        <v>1299</v>
      </c>
      <c r="O2730" s="116">
        <v>1284</v>
      </c>
      <c r="P2730" s="116">
        <v>1293</v>
      </c>
      <c r="Q2730" s="116">
        <v>1295</v>
      </c>
      <c r="R2730">
        <v>932297</v>
      </c>
    </row>
    <row r="2731" spans="1:18" x14ac:dyDescent="0.25">
      <c r="A2731" s="170">
        <v>46024</v>
      </c>
      <c r="B2731">
        <v>1299</v>
      </c>
      <c r="C2731">
        <v>1279.5999999999999</v>
      </c>
      <c r="D2731">
        <v>1278</v>
      </c>
      <c r="E2731">
        <v>1298.05</v>
      </c>
      <c r="F2731">
        <v>1279.5999999999999</v>
      </c>
      <c r="G2731">
        <v>44091</v>
      </c>
      <c r="H2731" s="116"/>
      <c r="I2731" s="116"/>
      <c r="L2731" s="170">
        <v>46024</v>
      </c>
      <c r="M2731" s="116">
        <v>1279.7</v>
      </c>
      <c r="N2731" s="116">
        <v>1299</v>
      </c>
      <c r="O2731" s="116">
        <v>1277.5999999999999</v>
      </c>
      <c r="P2731" s="116">
        <v>1292</v>
      </c>
      <c r="Q2731" s="116">
        <v>1279.7</v>
      </c>
      <c r="R2731">
        <v>736473</v>
      </c>
    </row>
    <row r="2732" spans="1:18" x14ac:dyDescent="0.25">
      <c r="A2732" s="170">
        <v>46027</v>
      </c>
      <c r="B2732">
        <v>1319.75</v>
      </c>
      <c r="C2732">
        <v>1314.2</v>
      </c>
      <c r="D2732">
        <v>1279.5999999999999</v>
      </c>
      <c r="E2732">
        <v>1279.5999999999999</v>
      </c>
      <c r="F2732">
        <v>1314.2</v>
      </c>
      <c r="G2732">
        <v>101941</v>
      </c>
      <c r="H2732" s="116"/>
      <c r="I2732" s="116"/>
      <c r="L2732" s="170">
        <v>46027</v>
      </c>
      <c r="M2732" s="116">
        <v>1314.6</v>
      </c>
      <c r="N2732" s="116">
        <v>1320</v>
      </c>
      <c r="O2732" s="116">
        <v>1278.5</v>
      </c>
      <c r="P2732" s="116">
        <v>1279</v>
      </c>
      <c r="Q2732" s="116">
        <v>1314.6</v>
      </c>
      <c r="R2732">
        <v>2397082</v>
      </c>
    </row>
    <row r="2733" spans="1:18" x14ac:dyDescent="0.25">
      <c r="A2733" s="170">
        <v>46028</v>
      </c>
      <c r="B2733">
        <v>1322.7</v>
      </c>
      <c r="C2733">
        <v>1319.55</v>
      </c>
      <c r="D2733">
        <v>1298.7</v>
      </c>
      <c r="E2733">
        <v>1315.5</v>
      </c>
      <c r="F2733">
        <v>1319.55</v>
      </c>
      <c r="G2733">
        <v>43755</v>
      </c>
      <c r="H2733" s="116"/>
      <c r="I2733" s="116"/>
      <c r="L2733" s="170">
        <v>46028</v>
      </c>
      <c r="M2733" s="116">
        <v>1319.9</v>
      </c>
      <c r="N2733" s="116">
        <v>1323.5</v>
      </c>
      <c r="O2733" s="116">
        <v>1298.4000000000001</v>
      </c>
      <c r="P2733" s="116">
        <v>1319</v>
      </c>
      <c r="Q2733" s="116">
        <v>1319.9</v>
      </c>
      <c r="R2733">
        <v>866154</v>
      </c>
    </row>
    <row r="2734" spans="1:18" x14ac:dyDescent="0.25">
      <c r="A2734" s="170">
        <v>46029</v>
      </c>
      <c r="B2734">
        <v>1333.2</v>
      </c>
      <c r="C2734">
        <v>1314.3</v>
      </c>
      <c r="D2734">
        <v>1306.05</v>
      </c>
      <c r="E2734">
        <v>1319.4</v>
      </c>
      <c r="F2734">
        <v>1314.3</v>
      </c>
      <c r="G2734">
        <v>20403</v>
      </c>
      <c r="H2734" s="116"/>
      <c r="I2734" s="116"/>
      <c r="L2734" s="170">
        <v>46029</v>
      </c>
      <c r="M2734" s="116">
        <v>1314.8</v>
      </c>
      <c r="N2734" s="116">
        <v>1332.7</v>
      </c>
      <c r="O2734" s="116">
        <v>1304.2</v>
      </c>
      <c r="P2734" s="116">
        <v>1312.5</v>
      </c>
      <c r="Q2734" s="116">
        <v>1314.8</v>
      </c>
      <c r="R2734">
        <v>676669</v>
      </c>
    </row>
    <row r="2735" spans="1:18" x14ac:dyDescent="0.25">
      <c r="A2735" s="170">
        <v>46030</v>
      </c>
      <c r="B2735">
        <v>1314.7</v>
      </c>
      <c r="C2735">
        <v>1306.7</v>
      </c>
      <c r="D2735">
        <v>1298.5999999999999</v>
      </c>
      <c r="E2735">
        <v>1310</v>
      </c>
      <c r="F2735">
        <v>1306.7</v>
      </c>
      <c r="G2735">
        <v>16737</v>
      </c>
      <c r="H2735" s="116"/>
      <c r="I2735" s="116"/>
      <c r="L2735" s="170">
        <v>46030</v>
      </c>
      <c r="M2735" s="116">
        <v>1306.9000000000001</v>
      </c>
      <c r="N2735" s="116">
        <v>1315.1</v>
      </c>
      <c r="O2735" s="116">
        <v>1299</v>
      </c>
      <c r="P2735" s="116">
        <v>1309.0999999999999</v>
      </c>
      <c r="Q2735" s="116">
        <v>1306.9000000000001</v>
      </c>
      <c r="R2735">
        <v>555817</v>
      </c>
    </row>
    <row r="2736" spans="1:18" x14ac:dyDescent="0.25">
      <c r="A2736" s="170">
        <v>46031</v>
      </c>
      <c r="B2736">
        <v>1310</v>
      </c>
      <c r="C2736">
        <v>1298.95</v>
      </c>
      <c r="D2736">
        <v>1290.95</v>
      </c>
      <c r="E2736">
        <v>1305.4000000000001</v>
      </c>
      <c r="F2736">
        <v>1298.95</v>
      </c>
      <c r="G2736">
        <v>99703</v>
      </c>
      <c r="H2736" s="116"/>
      <c r="I2736" s="116"/>
      <c r="L2736" s="170">
        <v>46031</v>
      </c>
      <c r="M2736" s="116">
        <v>1299.0999999999999</v>
      </c>
      <c r="N2736" s="116">
        <v>1310.8</v>
      </c>
      <c r="O2736" s="116">
        <v>1290.0999999999999</v>
      </c>
      <c r="P2736" s="116">
        <v>1306.9000000000001</v>
      </c>
      <c r="Q2736" s="116">
        <v>1299.0999999999999</v>
      </c>
      <c r="R2736">
        <v>1194489</v>
      </c>
    </row>
    <row r="2737" spans="1:18" x14ac:dyDescent="0.25">
      <c r="A2737" s="170">
        <v>46034</v>
      </c>
      <c r="B2737">
        <v>1318</v>
      </c>
      <c r="C2737">
        <v>1310.5</v>
      </c>
      <c r="D2737">
        <v>1292</v>
      </c>
      <c r="E2737">
        <v>1295</v>
      </c>
      <c r="F2737">
        <v>1310.5</v>
      </c>
      <c r="G2737">
        <v>129526</v>
      </c>
      <c r="H2737" s="116"/>
      <c r="I2737" s="116"/>
      <c r="L2737" s="170">
        <v>46034</v>
      </c>
      <c r="M2737" s="116">
        <v>1312.4</v>
      </c>
      <c r="N2737" s="116">
        <v>1318</v>
      </c>
      <c r="O2737" s="116">
        <v>1291.5999999999999</v>
      </c>
      <c r="P2737" s="116">
        <v>1293</v>
      </c>
      <c r="Q2737" s="116">
        <v>1312.4</v>
      </c>
      <c r="R2737">
        <v>1032516</v>
      </c>
    </row>
    <row r="2738" spans="1:18" x14ac:dyDescent="0.25">
      <c r="A2738" s="170">
        <v>46035</v>
      </c>
      <c r="B2738">
        <v>1321.95</v>
      </c>
      <c r="C2738">
        <v>1318.65</v>
      </c>
      <c r="D2738">
        <v>1307.25</v>
      </c>
      <c r="E2738">
        <v>1307.25</v>
      </c>
      <c r="F2738">
        <v>1318.65</v>
      </c>
      <c r="G2738">
        <v>13687</v>
      </c>
      <c r="H2738" s="116"/>
      <c r="I2738" s="116"/>
      <c r="L2738" s="170">
        <v>46035</v>
      </c>
      <c r="M2738" s="116">
        <v>1318.7</v>
      </c>
      <c r="N2738" s="116">
        <v>1321.9</v>
      </c>
      <c r="O2738" s="116">
        <v>1309</v>
      </c>
      <c r="P2738" s="116">
        <v>1312.4</v>
      </c>
      <c r="Q2738" s="116">
        <v>1318.7</v>
      </c>
      <c r="R2738">
        <v>1316337</v>
      </c>
    </row>
    <row r="2739" spans="1:18" x14ac:dyDescent="0.25">
      <c r="A2739" s="170">
        <v>46036</v>
      </c>
      <c r="B2739">
        <v>1328.3</v>
      </c>
      <c r="C2739">
        <v>1307.5</v>
      </c>
      <c r="D2739">
        <v>1302.8499999999999</v>
      </c>
      <c r="E2739">
        <v>1324.95</v>
      </c>
      <c r="F2739">
        <v>1307.5</v>
      </c>
      <c r="G2739">
        <v>11323</v>
      </c>
      <c r="H2739" s="116"/>
      <c r="I2739" s="116"/>
      <c r="L2739" s="170">
        <v>46036</v>
      </c>
      <c r="M2739" s="116">
        <v>1307.0999999999999</v>
      </c>
      <c r="N2739" s="116">
        <v>1328.2</v>
      </c>
      <c r="O2739" s="116">
        <v>1302.2</v>
      </c>
      <c r="P2739" s="116">
        <v>1321</v>
      </c>
      <c r="Q2739" s="116">
        <v>1307.0999999999999</v>
      </c>
      <c r="R2739">
        <v>904110</v>
      </c>
    </row>
    <row r="2740" spans="1:18" x14ac:dyDescent="0.25">
      <c r="A2740" s="170">
        <v>46038</v>
      </c>
      <c r="B2740">
        <v>1320.85</v>
      </c>
      <c r="C2740">
        <v>1315.25</v>
      </c>
      <c r="D2740">
        <v>1306</v>
      </c>
      <c r="E2740">
        <v>1315.1</v>
      </c>
      <c r="F2740">
        <v>1315.25</v>
      </c>
      <c r="G2740">
        <v>43359</v>
      </c>
      <c r="H2740" s="116"/>
      <c r="I2740" s="116"/>
      <c r="L2740" s="170">
        <v>46038</v>
      </c>
      <c r="M2740" s="116">
        <v>1315.9</v>
      </c>
      <c r="N2740" s="116">
        <v>1320.9</v>
      </c>
      <c r="O2740" s="116">
        <v>1305.3</v>
      </c>
      <c r="P2740" s="116">
        <v>1318.2</v>
      </c>
      <c r="Q2740" s="116">
        <v>1315.9</v>
      </c>
      <c r="R2740">
        <v>1491989</v>
      </c>
    </row>
    <row r="2741" spans="1:18" x14ac:dyDescent="0.25">
      <c r="A2741" s="170">
        <v>46041</v>
      </c>
      <c r="B2741">
        <v>1319.95</v>
      </c>
      <c r="C2741">
        <v>1315.8</v>
      </c>
      <c r="D2741">
        <v>1305.8499999999999</v>
      </c>
      <c r="E2741">
        <v>1305.8499999999999</v>
      </c>
      <c r="F2741">
        <v>1315.8</v>
      </c>
      <c r="G2741">
        <v>11223</v>
      </c>
      <c r="H2741" s="116"/>
      <c r="I2741" s="116"/>
      <c r="L2741" s="170">
        <v>46041</v>
      </c>
      <c r="M2741" s="116">
        <v>1315.6</v>
      </c>
      <c r="N2741" s="116">
        <v>1320.3</v>
      </c>
      <c r="O2741" s="116">
        <v>1305.5</v>
      </c>
      <c r="P2741" s="116">
        <v>1306</v>
      </c>
      <c r="Q2741" s="116">
        <v>1315.6</v>
      </c>
      <c r="R2741">
        <v>867546</v>
      </c>
    </row>
    <row r="2742" spans="1:18" x14ac:dyDescent="0.25">
      <c r="A2742" s="170">
        <v>46042</v>
      </c>
      <c r="B2742">
        <v>1316.9</v>
      </c>
      <c r="C2742">
        <v>1294.8499999999999</v>
      </c>
      <c r="D2742">
        <v>1291.25</v>
      </c>
      <c r="E2742">
        <v>1315.05</v>
      </c>
      <c r="F2742">
        <v>1294.8499999999999</v>
      </c>
      <c r="G2742">
        <v>43136</v>
      </c>
      <c r="H2742" s="116"/>
      <c r="I2742" s="116"/>
      <c r="L2742" s="170">
        <v>46042</v>
      </c>
      <c r="M2742" s="116">
        <v>1295.7</v>
      </c>
      <c r="N2742" s="116">
        <v>1317.1</v>
      </c>
      <c r="O2742" s="116">
        <v>1291.5999999999999</v>
      </c>
      <c r="P2742" s="116">
        <v>1315</v>
      </c>
      <c r="Q2742" s="116">
        <v>1295.7</v>
      </c>
      <c r="R2742">
        <v>1173676</v>
      </c>
    </row>
    <row r="2743" spans="1:18" x14ac:dyDescent="0.25">
      <c r="A2743" s="170">
        <v>46043</v>
      </c>
      <c r="B2743">
        <v>1311.85</v>
      </c>
      <c r="C2743">
        <v>1282.5</v>
      </c>
      <c r="D2743">
        <v>1271.2</v>
      </c>
      <c r="E2743">
        <v>1291.8499999999999</v>
      </c>
      <c r="F2743">
        <v>1282.5</v>
      </c>
      <c r="G2743">
        <v>30790</v>
      </c>
      <c r="H2743" s="116"/>
      <c r="I2743" s="116"/>
      <c r="L2743" s="170">
        <v>46043</v>
      </c>
      <c r="M2743" s="116">
        <v>1283.2</v>
      </c>
      <c r="N2743" s="116">
        <v>1311.7</v>
      </c>
      <c r="O2743" s="116">
        <v>1271.3</v>
      </c>
      <c r="P2743" s="116">
        <v>1298.9000000000001</v>
      </c>
      <c r="Q2743" s="116">
        <v>1283.2</v>
      </c>
      <c r="R2743">
        <v>1046054</v>
      </c>
    </row>
    <row r="2744" spans="1:18" x14ac:dyDescent="0.25">
      <c r="A2744" s="170">
        <v>46044</v>
      </c>
      <c r="B2744">
        <v>1312</v>
      </c>
      <c r="C2744">
        <v>1305.9000000000001</v>
      </c>
      <c r="D2744">
        <v>1273.5999999999999</v>
      </c>
      <c r="E2744">
        <v>1284.5</v>
      </c>
      <c r="F2744">
        <v>1305.9000000000001</v>
      </c>
      <c r="G2744">
        <v>24221</v>
      </c>
      <c r="H2744" s="116"/>
      <c r="I2744" s="116"/>
      <c r="L2744" s="170">
        <v>46044</v>
      </c>
      <c r="M2744" s="116">
        <v>1306</v>
      </c>
      <c r="N2744" s="116">
        <v>1312</v>
      </c>
      <c r="O2744" s="116">
        <v>1272.3</v>
      </c>
      <c r="P2744" s="116">
        <v>1285.9000000000001</v>
      </c>
      <c r="Q2744" s="116">
        <v>1306</v>
      </c>
      <c r="R2744">
        <v>994359</v>
      </c>
    </row>
    <row r="2745" spans="1:18" x14ac:dyDescent="0.25">
      <c r="A2745" s="170">
        <v>46045</v>
      </c>
      <c r="B2745">
        <v>1314.75</v>
      </c>
      <c r="C2745">
        <v>1293.3</v>
      </c>
      <c r="D2745">
        <v>1290.55</v>
      </c>
      <c r="E2745">
        <v>1314.75</v>
      </c>
      <c r="F2745">
        <v>1293.3</v>
      </c>
      <c r="G2745">
        <v>7611</v>
      </c>
      <c r="H2745" s="116"/>
      <c r="I2745" s="116"/>
      <c r="L2745" s="170">
        <v>46045</v>
      </c>
      <c r="M2745" s="116">
        <v>1293.8</v>
      </c>
      <c r="N2745" s="116">
        <v>1311.9</v>
      </c>
      <c r="O2745" s="116">
        <v>1290.3</v>
      </c>
      <c r="P2745" s="116">
        <v>1310</v>
      </c>
      <c r="Q2745" s="116">
        <v>1293.8</v>
      </c>
      <c r="R2745">
        <v>744221</v>
      </c>
    </row>
    <row r="2746" spans="1:18" x14ac:dyDescent="0.25">
      <c r="A2746" s="170">
        <v>46049</v>
      </c>
      <c r="B2746">
        <v>1313.7</v>
      </c>
      <c r="C2746">
        <v>1303.55</v>
      </c>
      <c r="D2746">
        <v>1290.7</v>
      </c>
      <c r="E2746">
        <v>1299.05</v>
      </c>
      <c r="F2746">
        <v>1303.55</v>
      </c>
      <c r="G2746">
        <v>20288</v>
      </c>
      <c r="H2746" s="116"/>
      <c r="I2746" s="116"/>
      <c r="L2746" s="170">
        <v>46049</v>
      </c>
      <c r="M2746" s="116">
        <v>1303.3</v>
      </c>
      <c r="N2746" s="116">
        <v>1314</v>
      </c>
      <c r="O2746" s="116">
        <v>1290.3</v>
      </c>
      <c r="P2746" s="116">
        <v>1300</v>
      </c>
      <c r="Q2746" s="116">
        <v>1303.3</v>
      </c>
      <c r="R2746">
        <v>1159495</v>
      </c>
    </row>
    <row r="2747" spans="1:18" x14ac:dyDescent="0.25">
      <c r="A2747" s="170">
        <v>46050</v>
      </c>
      <c r="B2747">
        <v>1306.2</v>
      </c>
      <c r="C2747">
        <v>1292.7</v>
      </c>
      <c r="D2747">
        <v>1272.95</v>
      </c>
      <c r="E2747">
        <v>1296.95</v>
      </c>
      <c r="F2747">
        <v>1292.7</v>
      </c>
      <c r="G2747">
        <v>26303</v>
      </c>
      <c r="H2747" s="116"/>
      <c r="I2747" s="116"/>
      <c r="L2747" s="170">
        <v>46050</v>
      </c>
      <c r="M2747" s="116">
        <v>1292.4000000000001</v>
      </c>
      <c r="N2747" s="116">
        <v>1306</v>
      </c>
      <c r="O2747" s="116">
        <v>1273</v>
      </c>
      <c r="P2747" s="116">
        <v>1297.2</v>
      </c>
      <c r="Q2747" s="116">
        <v>1292.4000000000001</v>
      </c>
      <c r="R2747">
        <v>940426</v>
      </c>
    </row>
    <row r="2748" spans="1:18" x14ac:dyDescent="0.25">
      <c r="A2748" s="170">
        <v>46051</v>
      </c>
      <c r="B2748">
        <v>1293.95</v>
      </c>
      <c r="C2748">
        <v>1287.75</v>
      </c>
      <c r="D2748">
        <v>1262</v>
      </c>
      <c r="E2748">
        <v>1291.05</v>
      </c>
      <c r="F2748">
        <v>1287.75</v>
      </c>
      <c r="G2748">
        <v>29563</v>
      </c>
      <c r="H2748" s="116"/>
      <c r="I2748" s="116"/>
      <c r="L2748" s="170">
        <v>46051</v>
      </c>
      <c r="M2748" s="116">
        <v>1287.9000000000001</v>
      </c>
      <c r="N2748" s="116">
        <v>1294.4000000000001</v>
      </c>
      <c r="O2748" s="116">
        <v>1262.3</v>
      </c>
      <c r="P2748" s="116">
        <v>1286.5</v>
      </c>
      <c r="Q2748" s="116">
        <v>1287.9000000000001</v>
      </c>
      <c r="R2748">
        <v>1151521</v>
      </c>
    </row>
    <row r="2749" spans="1:18" x14ac:dyDescent="0.25">
      <c r="A2749" s="170">
        <v>46052</v>
      </c>
      <c r="B2749">
        <v>1339.85</v>
      </c>
      <c r="C2749">
        <v>1331.45</v>
      </c>
      <c r="D2749">
        <v>1281.95</v>
      </c>
      <c r="E2749">
        <v>1281.95</v>
      </c>
      <c r="F2749">
        <v>1331.45</v>
      </c>
      <c r="G2749">
        <v>255385</v>
      </c>
      <c r="H2749" s="116"/>
      <c r="I2749" s="116"/>
      <c r="L2749" s="170">
        <v>46052</v>
      </c>
      <c r="M2749" s="116">
        <v>1332.4</v>
      </c>
      <c r="N2749" s="116">
        <v>1339.6</v>
      </c>
      <c r="O2749" s="116">
        <v>1283</v>
      </c>
      <c r="P2749" s="116">
        <v>1286</v>
      </c>
      <c r="Q2749" s="116">
        <v>1332.4</v>
      </c>
      <c r="R2749">
        <v>5292100</v>
      </c>
    </row>
    <row r="2750" spans="1:18" x14ac:dyDescent="0.25">
      <c r="A2750" s="170">
        <v>46054</v>
      </c>
      <c r="B2750">
        <v>1331.5</v>
      </c>
      <c r="C2750">
        <v>1276.5999999999999</v>
      </c>
      <c r="D2750">
        <v>1266</v>
      </c>
      <c r="E2750">
        <v>1324.15</v>
      </c>
      <c r="F2750">
        <v>1276.5999999999999</v>
      </c>
      <c r="G2750">
        <v>77477</v>
      </c>
      <c r="H2750" s="116"/>
      <c r="I2750" s="116"/>
      <c r="L2750" s="170">
        <v>46054</v>
      </c>
      <c r="M2750" s="116">
        <v>1282.5</v>
      </c>
      <c r="N2750" s="116">
        <v>1331.8</v>
      </c>
      <c r="O2750" s="116">
        <v>1265</v>
      </c>
      <c r="P2750" s="116">
        <v>1320</v>
      </c>
      <c r="Q2750" s="116">
        <v>1282.5</v>
      </c>
      <c r="R2750">
        <v>1104646</v>
      </c>
    </row>
    <row r="2751" spans="1:18" x14ac:dyDescent="0.25">
      <c r="A2751" s="170">
        <v>46055</v>
      </c>
      <c r="B2751">
        <v>1311.75</v>
      </c>
      <c r="C2751">
        <v>1307.5999999999999</v>
      </c>
      <c r="D2751">
        <v>1274.7</v>
      </c>
      <c r="E2751">
        <v>1293.4000000000001</v>
      </c>
      <c r="F2751">
        <v>1307.5999999999999</v>
      </c>
      <c r="G2751">
        <v>34384</v>
      </c>
      <c r="H2751" s="116"/>
      <c r="I2751" s="116"/>
      <c r="L2751" s="170">
        <v>46055</v>
      </c>
      <c r="M2751" s="116">
        <v>1308.3</v>
      </c>
      <c r="N2751" s="116">
        <v>1311</v>
      </c>
      <c r="O2751" s="116">
        <v>1273.9000000000001</v>
      </c>
      <c r="P2751" s="116">
        <v>1297.5</v>
      </c>
      <c r="Q2751" s="116">
        <v>1308.3</v>
      </c>
      <c r="R2751">
        <v>1254558</v>
      </c>
    </row>
    <row r="2752" spans="1:18" x14ac:dyDescent="0.25">
      <c r="A2752" s="170">
        <v>46056</v>
      </c>
      <c r="B2752">
        <v>1338.9</v>
      </c>
      <c r="C2752">
        <v>1309.1500000000001</v>
      </c>
      <c r="D2752">
        <v>1291.55</v>
      </c>
      <c r="E2752">
        <v>1311.95</v>
      </c>
      <c r="F2752">
        <v>1309.1500000000001</v>
      </c>
      <c r="G2752">
        <v>34600</v>
      </c>
      <c r="H2752" s="116"/>
      <c r="I2752" s="116"/>
      <c r="L2752" s="170">
        <v>46056</v>
      </c>
      <c r="M2752" s="116">
        <v>1308</v>
      </c>
      <c r="N2752" s="116">
        <v>1340.4</v>
      </c>
      <c r="O2752" s="116">
        <v>1291.0999999999999</v>
      </c>
      <c r="P2752" s="116">
        <v>1330</v>
      </c>
      <c r="Q2752" s="116">
        <v>1308</v>
      </c>
      <c r="R2752">
        <v>1232271</v>
      </c>
    </row>
    <row r="2753" spans="1:18" x14ac:dyDescent="0.25">
      <c r="A2753" s="170">
        <v>46057</v>
      </c>
      <c r="B2753">
        <v>1327.4</v>
      </c>
      <c r="C2753">
        <v>1302.0999999999999</v>
      </c>
      <c r="D2753">
        <v>1294.1500000000001</v>
      </c>
      <c r="E2753">
        <v>1309.3</v>
      </c>
      <c r="F2753">
        <v>1302.0999999999999</v>
      </c>
      <c r="G2753">
        <v>35479</v>
      </c>
      <c r="H2753" s="116"/>
      <c r="I2753" s="116"/>
      <c r="L2753" s="170">
        <v>46057</v>
      </c>
      <c r="M2753" s="116">
        <v>1303.2</v>
      </c>
      <c r="N2753" s="116">
        <v>1328</v>
      </c>
      <c r="O2753" s="116">
        <v>1295.0999999999999</v>
      </c>
      <c r="P2753" s="116">
        <v>1313.6</v>
      </c>
      <c r="Q2753" s="116">
        <v>1303.2</v>
      </c>
      <c r="R2753">
        <v>875783</v>
      </c>
    </row>
    <row r="2754" spans="1:18" x14ac:dyDescent="0.25">
      <c r="A2754" s="170">
        <v>46058</v>
      </c>
      <c r="B2754">
        <v>1310.85</v>
      </c>
      <c r="C2754">
        <v>1303.45</v>
      </c>
      <c r="D2754">
        <v>1290</v>
      </c>
      <c r="E2754">
        <v>1300.6500000000001</v>
      </c>
      <c r="F2754">
        <v>1303.45</v>
      </c>
      <c r="G2754">
        <v>15125</v>
      </c>
      <c r="H2754" s="116"/>
      <c r="I2754" s="116"/>
      <c r="L2754" s="170">
        <v>46058</v>
      </c>
      <c r="M2754" s="116">
        <v>1303.5</v>
      </c>
      <c r="N2754" s="116">
        <v>1310.5999999999999</v>
      </c>
      <c r="O2754" s="116">
        <v>1287</v>
      </c>
      <c r="P2754" s="116">
        <v>1304.8</v>
      </c>
      <c r="Q2754" s="116">
        <v>1303.5</v>
      </c>
      <c r="R2754">
        <v>854891</v>
      </c>
    </row>
    <row r="2755" spans="1:18" x14ac:dyDescent="0.25">
      <c r="A2755" s="170">
        <v>46059</v>
      </c>
      <c r="B2755">
        <v>1305</v>
      </c>
      <c r="C2755">
        <v>1302.3499999999999</v>
      </c>
      <c r="D2755">
        <v>1280</v>
      </c>
      <c r="E2755">
        <v>1294.7</v>
      </c>
      <c r="F2755">
        <v>1302.3499999999999</v>
      </c>
      <c r="G2755">
        <v>7214</v>
      </c>
      <c r="H2755" s="116"/>
      <c r="I2755" s="116"/>
      <c r="L2755" s="170">
        <v>46059</v>
      </c>
      <c r="M2755" s="116">
        <v>1303.3</v>
      </c>
      <c r="N2755" s="116">
        <v>1305.2</v>
      </c>
      <c r="O2755" s="116">
        <v>1278.7</v>
      </c>
      <c r="P2755" s="116">
        <v>1291.0999999999999</v>
      </c>
      <c r="Q2755" s="116">
        <v>1303.3</v>
      </c>
      <c r="R2755">
        <v>835646</v>
      </c>
    </row>
    <row r="2756" spans="1:18" x14ac:dyDescent="0.25">
      <c r="A2756" s="170">
        <v>46062</v>
      </c>
      <c r="B2756">
        <v>1303.25</v>
      </c>
      <c r="C2756">
        <v>1295.3</v>
      </c>
      <c r="D2756">
        <v>1290.55</v>
      </c>
      <c r="E2756">
        <v>1302.3499999999999</v>
      </c>
      <c r="F2756">
        <v>1295.3</v>
      </c>
      <c r="G2756">
        <v>9099</v>
      </c>
      <c r="H2756" s="116"/>
      <c r="I2756" s="116"/>
      <c r="L2756" s="170">
        <v>46062</v>
      </c>
      <c r="M2756" s="116">
        <v>1295.5999999999999</v>
      </c>
      <c r="N2756" s="116">
        <v>1307</v>
      </c>
      <c r="O2756" s="116">
        <v>1290.3</v>
      </c>
      <c r="P2756" s="116">
        <v>1301</v>
      </c>
      <c r="Q2756" s="116">
        <v>1295.5999999999999</v>
      </c>
      <c r="R2756">
        <v>746303</v>
      </c>
    </row>
    <row r="2757" spans="1:18" x14ac:dyDescent="0.25">
      <c r="A2757" s="170">
        <v>46063</v>
      </c>
      <c r="B2757">
        <v>1310</v>
      </c>
      <c r="C2757">
        <v>1308.2</v>
      </c>
      <c r="D2757">
        <v>1295.4000000000001</v>
      </c>
      <c r="E2757">
        <v>1295.4000000000001</v>
      </c>
      <c r="F2757">
        <v>1308.2</v>
      </c>
      <c r="G2757">
        <v>10880</v>
      </c>
      <c r="H2757" s="116"/>
      <c r="I2757" s="116"/>
      <c r="L2757" s="170">
        <v>46063</v>
      </c>
      <c r="M2757" s="116">
        <v>1308.5999999999999</v>
      </c>
      <c r="N2757" s="116">
        <v>1310.3</v>
      </c>
      <c r="O2757" s="116">
        <v>1296.5</v>
      </c>
      <c r="P2757" s="116">
        <v>1296.9000000000001</v>
      </c>
      <c r="Q2757" s="116">
        <v>1308.5999999999999</v>
      </c>
      <c r="R2757">
        <v>936331</v>
      </c>
    </row>
    <row r="2758" spans="1:18" x14ac:dyDescent="0.25">
      <c r="A2758" s="170">
        <v>46064</v>
      </c>
      <c r="B2758">
        <v>1326.7</v>
      </c>
      <c r="C2758">
        <v>1305.05</v>
      </c>
      <c r="D2758">
        <v>1296.5</v>
      </c>
      <c r="E2758">
        <v>1326.7</v>
      </c>
      <c r="F2758">
        <v>1305.05</v>
      </c>
      <c r="G2758">
        <v>10017</v>
      </c>
      <c r="H2758" s="116"/>
      <c r="I2758" s="116"/>
      <c r="L2758" s="170">
        <v>46064</v>
      </c>
      <c r="M2758" s="116">
        <v>1305.3</v>
      </c>
      <c r="N2758" s="116">
        <v>1324.9</v>
      </c>
      <c r="O2758" s="116">
        <v>1296.7</v>
      </c>
      <c r="P2758" s="116">
        <v>1315</v>
      </c>
      <c r="Q2758" s="116">
        <v>1305.3</v>
      </c>
      <c r="R2758">
        <v>911500</v>
      </c>
    </row>
    <row r="2759" spans="1:18" x14ac:dyDescent="0.25">
      <c r="A2759" s="170">
        <v>46065</v>
      </c>
      <c r="B2759">
        <v>1308.3</v>
      </c>
      <c r="C2759">
        <v>1305.0999999999999</v>
      </c>
      <c r="D2759">
        <v>1294</v>
      </c>
      <c r="E2759">
        <v>1305.1500000000001</v>
      </c>
      <c r="F2759">
        <v>1305.0999999999999</v>
      </c>
      <c r="G2759">
        <v>14909</v>
      </c>
      <c r="H2759" s="116"/>
      <c r="I2759" s="116"/>
      <c r="L2759" s="170">
        <v>46065</v>
      </c>
      <c r="M2759" s="116">
        <v>1305.5</v>
      </c>
      <c r="N2759" s="116">
        <v>1312.1</v>
      </c>
      <c r="O2759" s="116">
        <v>1295.0999999999999</v>
      </c>
      <c r="P2759" s="116">
        <v>1312.1</v>
      </c>
      <c r="Q2759" s="116">
        <v>1305.5</v>
      </c>
      <c r="R2759">
        <v>534672</v>
      </c>
    </row>
    <row r="2760" spans="1:18" x14ac:dyDescent="0.25">
      <c r="A2760" s="170">
        <v>46066</v>
      </c>
      <c r="B2760">
        <v>1309.8499999999999</v>
      </c>
      <c r="C2760">
        <v>1282.55</v>
      </c>
      <c r="D2760">
        <v>1277.3</v>
      </c>
      <c r="E2760">
        <v>1309.8499999999999</v>
      </c>
      <c r="F2760">
        <v>1282.55</v>
      </c>
      <c r="G2760">
        <v>6327</v>
      </c>
      <c r="H2760" s="116"/>
      <c r="I2760" s="116"/>
      <c r="L2760" s="170">
        <v>46066</v>
      </c>
      <c r="M2760" s="116">
        <v>1282.5999999999999</v>
      </c>
      <c r="N2760" s="116">
        <v>1310.4000000000001</v>
      </c>
      <c r="O2760" s="116">
        <v>1278</v>
      </c>
      <c r="P2760" s="116">
        <v>1305</v>
      </c>
      <c r="Q2760" s="116">
        <v>1282.5999999999999</v>
      </c>
      <c r="R2760">
        <v>522586</v>
      </c>
    </row>
    <row r="2761" spans="1:18" x14ac:dyDescent="0.25">
      <c r="A2761" s="170">
        <v>46069</v>
      </c>
      <c r="B2761">
        <v>1295</v>
      </c>
      <c r="C2761">
        <v>1289.75</v>
      </c>
      <c r="D2761">
        <v>1275.95</v>
      </c>
      <c r="E2761">
        <v>1279.95</v>
      </c>
      <c r="F2761">
        <v>1289.75</v>
      </c>
      <c r="G2761">
        <v>5210</v>
      </c>
      <c r="H2761" s="116"/>
      <c r="I2761" s="116"/>
      <c r="L2761" s="170">
        <v>46069</v>
      </c>
      <c r="M2761" s="116">
        <v>1289.8</v>
      </c>
      <c r="N2761" s="116">
        <v>1295.5</v>
      </c>
      <c r="O2761" s="116">
        <v>1274.2</v>
      </c>
      <c r="P2761" s="116">
        <v>1276.7</v>
      </c>
      <c r="Q2761" s="116">
        <v>1289.8</v>
      </c>
      <c r="R2761">
        <v>456222</v>
      </c>
    </row>
    <row r="2762" spans="1:18" x14ac:dyDescent="0.25">
      <c r="A2762" s="170">
        <v>46070</v>
      </c>
      <c r="B2762">
        <v>1299.8499999999999</v>
      </c>
      <c r="C2762">
        <v>1285.75</v>
      </c>
      <c r="D2762">
        <v>1277.75</v>
      </c>
      <c r="E2762">
        <v>1299.8499999999999</v>
      </c>
      <c r="F2762">
        <v>1285.75</v>
      </c>
      <c r="G2762">
        <v>14651</v>
      </c>
      <c r="H2762" s="116"/>
      <c r="I2762" s="116"/>
      <c r="L2762" s="170">
        <v>46070</v>
      </c>
      <c r="M2762" s="116">
        <v>1285.3</v>
      </c>
      <c r="N2762" s="116">
        <v>1289.5999999999999</v>
      </c>
      <c r="O2762" s="116">
        <v>1278</v>
      </c>
      <c r="P2762" s="116">
        <v>1281</v>
      </c>
      <c r="Q2762" s="116">
        <v>1285.3</v>
      </c>
      <c r="R2762">
        <v>396198</v>
      </c>
    </row>
    <row r="2763" spans="1:18" x14ac:dyDescent="0.25">
      <c r="A2763" s="170">
        <v>46071</v>
      </c>
      <c r="B2763">
        <v>1303.7</v>
      </c>
      <c r="C2763">
        <v>1300.3499999999999</v>
      </c>
      <c r="D2763">
        <v>1278.2</v>
      </c>
      <c r="E2763">
        <v>1288.95</v>
      </c>
      <c r="F2763">
        <v>1300.3499999999999</v>
      </c>
      <c r="G2763">
        <v>37155</v>
      </c>
      <c r="H2763" s="116"/>
      <c r="I2763" s="116"/>
      <c r="L2763" s="170">
        <v>46071</v>
      </c>
      <c r="M2763" s="116">
        <v>1300.9000000000001</v>
      </c>
      <c r="N2763" s="116">
        <v>1303.4000000000001</v>
      </c>
      <c r="O2763" s="116">
        <v>1278</v>
      </c>
      <c r="P2763" s="116">
        <v>1286.5999999999999</v>
      </c>
      <c r="Q2763" s="116">
        <v>1300.9000000000001</v>
      </c>
      <c r="R2763">
        <v>446022</v>
      </c>
    </row>
    <row r="2764" spans="1:18" x14ac:dyDescent="0.25">
      <c r="A2764" s="170">
        <v>46072</v>
      </c>
      <c r="B2764">
        <v>1295.95</v>
      </c>
      <c r="C2764">
        <v>1278.5</v>
      </c>
      <c r="D2764">
        <v>1266.5999999999999</v>
      </c>
      <c r="E2764">
        <v>1289.3499999999999</v>
      </c>
      <c r="F2764">
        <v>1278.5</v>
      </c>
      <c r="G2764">
        <v>9749</v>
      </c>
      <c r="H2764" s="116"/>
      <c r="I2764" s="116"/>
      <c r="L2764" s="170">
        <v>46072</v>
      </c>
      <c r="M2764" s="116">
        <v>1278.5</v>
      </c>
      <c r="N2764" s="116">
        <v>1300</v>
      </c>
      <c r="O2764" s="116">
        <v>1271.9000000000001</v>
      </c>
      <c r="P2764" s="116">
        <v>1299.8</v>
      </c>
      <c r="Q2764" s="116">
        <v>1278.5</v>
      </c>
      <c r="R2764">
        <v>659360</v>
      </c>
    </row>
    <row r="2765" spans="1:18" x14ac:dyDescent="0.25">
      <c r="A2765" s="170">
        <v>46073</v>
      </c>
      <c r="B2765">
        <v>1301.6500000000001</v>
      </c>
      <c r="C2765">
        <v>1293.3</v>
      </c>
      <c r="D2765">
        <v>1277.4000000000001</v>
      </c>
      <c r="E2765">
        <v>1295.05</v>
      </c>
      <c r="F2765">
        <v>1293.3</v>
      </c>
      <c r="G2765">
        <v>30804</v>
      </c>
      <c r="H2765" s="116"/>
      <c r="I2765" s="116"/>
      <c r="L2765" s="170">
        <v>46073</v>
      </c>
      <c r="M2765" s="116">
        <v>1293.8</v>
      </c>
      <c r="N2765" s="116">
        <v>1301</v>
      </c>
      <c r="O2765" s="116">
        <v>1276.4000000000001</v>
      </c>
      <c r="P2765" s="116">
        <v>1278.5</v>
      </c>
      <c r="Q2765" s="116">
        <v>1293.8</v>
      </c>
      <c r="R2765">
        <v>754146</v>
      </c>
    </row>
    <row r="2766" spans="1:18" x14ac:dyDescent="0.25">
      <c r="A2766" s="170">
        <v>46076</v>
      </c>
      <c r="B2766">
        <v>1319</v>
      </c>
      <c r="C2766">
        <v>1315.5</v>
      </c>
      <c r="D2766">
        <v>1294.2</v>
      </c>
      <c r="E2766">
        <v>1294.2</v>
      </c>
      <c r="F2766">
        <v>1315.5</v>
      </c>
      <c r="G2766">
        <v>31340</v>
      </c>
      <c r="H2766" s="116"/>
      <c r="I2766" s="116"/>
      <c r="L2766" s="170">
        <v>46076</v>
      </c>
      <c r="M2766" s="116">
        <v>1315.1</v>
      </c>
      <c r="N2766" s="116">
        <v>1318.5</v>
      </c>
      <c r="O2766" s="116">
        <v>1295.5</v>
      </c>
      <c r="P2766" s="116">
        <v>1299</v>
      </c>
      <c r="Q2766" s="116">
        <v>1315.1</v>
      </c>
      <c r="R2766">
        <v>933582</v>
      </c>
    </row>
    <row r="2767" spans="1:18" x14ac:dyDescent="0.25">
      <c r="A2767" s="170">
        <v>46077</v>
      </c>
      <c r="B2767">
        <v>1323.45</v>
      </c>
      <c r="C2767">
        <v>1320.15</v>
      </c>
      <c r="D2767">
        <v>1306.8</v>
      </c>
      <c r="E2767">
        <v>1306.8</v>
      </c>
      <c r="F2767">
        <v>1320.15</v>
      </c>
      <c r="G2767">
        <v>31829</v>
      </c>
      <c r="H2767" s="116"/>
      <c r="I2767" s="116"/>
      <c r="L2767" s="170">
        <v>46077</v>
      </c>
      <c r="M2767" s="116">
        <v>1320</v>
      </c>
      <c r="N2767" s="116">
        <v>1323.9</v>
      </c>
      <c r="O2767" s="116">
        <v>1305.5999999999999</v>
      </c>
      <c r="P2767" s="116">
        <v>1305.5999999999999</v>
      </c>
      <c r="Q2767" s="116">
        <v>1320</v>
      </c>
      <c r="R2767">
        <v>1120203</v>
      </c>
    </row>
    <row r="2768" spans="1:18" x14ac:dyDescent="0.25">
      <c r="A2768" s="170">
        <v>46078</v>
      </c>
      <c r="B2768">
        <v>1334.85</v>
      </c>
      <c r="C2768">
        <v>1322.6</v>
      </c>
      <c r="D2768">
        <v>1314.55</v>
      </c>
      <c r="E2768">
        <v>1325</v>
      </c>
      <c r="F2768">
        <v>1322.6</v>
      </c>
      <c r="G2768">
        <v>37117</v>
      </c>
      <c r="H2768" s="116"/>
      <c r="I2768" s="116"/>
      <c r="L2768" s="170">
        <v>46078</v>
      </c>
      <c r="M2768" s="116">
        <v>1323.4</v>
      </c>
      <c r="N2768" s="116">
        <v>1334.8</v>
      </c>
      <c r="O2768" s="116">
        <v>1315</v>
      </c>
      <c r="P2768" s="116">
        <v>1328</v>
      </c>
      <c r="Q2768" s="116">
        <v>1323.4</v>
      </c>
      <c r="R2768">
        <v>991399</v>
      </c>
    </row>
    <row r="2769" spans="1:18" x14ac:dyDescent="0.25">
      <c r="A2769" s="170">
        <v>46079</v>
      </c>
      <c r="B2769">
        <v>1334.8</v>
      </c>
      <c r="C2769">
        <v>1318.1</v>
      </c>
      <c r="D2769">
        <v>1311.6</v>
      </c>
      <c r="E2769">
        <v>1334.8</v>
      </c>
      <c r="F2769">
        <v>1318.1</v>
      </c>
      <c r="G2769">
        <v>12568</v>
      </c>
      <c r="H2769" s="116"/>
      <c r="I2769" s="116"/>
      <c r="L2769" s="170">
        <v>46079</v>
      </c>
      <c r="M2769" s="116">
        <v>1318</v>
      </c>
      <c r="N2769" s="116">
        <v>1329.2</v>
      </c>
      <c r="O2769" s="116">
        <v>1310.5999999999999</v>
      </c>
      <c r="P2769" s="116">
        <v>1329.2</v>
      </c>
      <c r="Q2769" s="116">
        <v>1318</v>
      </c>
      <c r="R2769">
        <v>438946</v>
      </c>
    </row>
    <row r="2770" spans="1:18" x14ac:dyDescent="0.25">
      <c r="A2770" s="170">
        <v>46080</v>
      </c>
      <c r="B2770">
        <v>1320.1</v>
      </c>
      <c r="C2770">
        <v>1291.45</v>
      </c>
      <c r="D2770">
        <v>1285.3499999999999</v>
      </c>
      <c r="E2770">
        <v>1316.55</v>
      </c>
      <c r="F2770">
        <v>1291.45</v>
      </c>
      <c r="G2770">
        <v>31489</v>
      </c>
      <c r="H2770" s="116"/>
      <c r="I2770" s="116"/>
      <c r="L2770" s="170">
        <v>46080</v>
      </c>
      <c r="M2770" s="116">
        <v>1291.7</v>
      </c>
      <c r="N2770" s="116">
        <v>1322.9</v>
      </c>
      <c r="O2770" s="116">
        <v>1286</v>
      </c>
      <c r="P2770" s="116">
        <v>1311.1</v>
      </c>
      <c r="Q2770" s="116">
        <v>1291.7</v>
      </c>
      <c r="R2770">
        <v>1640870</v>
      </c>
    </row>
    <row r="2771" spans="1:18" x14ac:dyDescent="0.25">
      <c r="A2771" s="170">
        <v>46083</v>
      </c>
      <c r="B2771">
        <v>1286.25</v>
      </c>
      <c r="C2771">
        <v>1279.0999999999999</v>
      </c>
      <c r="D2771">
        <v>1261.7</v>
      </c>
      <c r="E2771">
        <v>1277.2</v>
      </c>
      <c r="F2771">
        <v>1279.0999999999999</v>
      </c>
      <c r="G2771">
        <v>19743</v>
      </c>
      <c r="H2771" s="116"/>
      <c r="I2771" s="116"/>
      <c r="L2771" s="170">
        <v>46083</v>
      </c>
      <c r="M2771" s="116">
        <v>1279.7</v>
      </c>
      <c r="N2771" s="116">
        <v>1288</v>
      </c>
      <c r="O2771" s="116">
        <v>1261.3</v>
      </c>
      <c r="P2771" s="116">
        <v>1261.9000000000001</v>
      </c>
      <c r="Q2771" s="116">
        <v>1279.7</v>
      </c>
      <c r="R2771">
        <v>1161869</v>
      </c>
    </row>
    <row r="2772" spans="1:18" x14ac:dyDescent="0.25">
      <c r="A2772" s="170">
        <v>46085</v>
      </c>
      <c r="B2772">
        <v>1269.95</v>
      </c>
      <c r="C2772">
        <v>1244.5999999999999</v>
      </c>
      <c r="D2772">
        <v>1240.4000000000001</v>
      </c>
      <c r="E2772">
        <v>1269.95</v>
      </c>
      <c r="F2772">
        <v>1244.5999999999999</v>
      </c>
      <c r="G2772">
        <v>19243</v>
      </c>
      <c r="H2772" s="116"/>
      <c r="I2772" s="116"/>
      <c r="L2772" s="170">
        <v>46085</v>
      </c>
      <c r="M2772" s="116">
        <v>1245.3</v>
      </c>
      <c r="N2772" s="116">
        <v>1270</v>
      </c>
      <c r="O2772" s="116">
        <v>1240</v>
      </c>
      <c r="P2772" s="116">
        <v>1259.7</v>
      </c>
      <c r="Q2772" s="116">
        <v>1245.3</v>
      </c>
      <c r="R2772">
        <v>1112032</v>
      </c>
    </row>
    <row r="2773" spans="1:18" x14ac:dyDescent="0.25">
      <c r="A2773" s="170">
        <v>46086</v>
      </c>
      <c r="B2773">
        <v>1262.3499999999999</v>
      </c>
      <c r="C2773">
        <v>1251.2</v>
      </c>
      <c r="D2773">
        <v>1223</v>
      </c>
      <c r="E2773">
        <v>1244.6500000000001</v>
      </c>
      <c r="F2773">
        <v>1251.2</v>
      </c>
      <c r="G2773">
        <v>18834</v>
      </c>
      <c r="H2773" s="116"/>
      <c r="I2773" s="116"/>
      <c r="L2773" s="170">
        <v>46086</v>
      </c>
      <c r="M2773" s="116">
        <v>1250.9000000000001</v>
      </c>
      <c r="N2773" s="116">
        <v>1254.4000000000001</v>
      </c>
      <c r="O2773" s="116">
        <v>1222.7</v>
      </c>
      <c r="P2773" s="116">
        <v>1249.5</v>
      </c>
      <c r="Q2773" s="116">
        <v>1250.9000000000001</v>
      </c>
      <c r="R2773">
        <v>935711</v>
      </c>
    </row>
    <row r="2774" spans="1:18" x14ac:dyDescent="0.25">
      <c r="A2774" s="170">
        <v>46087</v>
      </c>
      <c r="B2774">
        <v>1264.4000000000001</v>
      </c>
      <c r="C2774">
        <v>1252.4000000000001</v>
      </c>
      <c r="D2774">
        <v>1236</v>
      </c>
      <c r="E2774">
        <v>1241.05</v>
      </c>
      <c r="F2774">
        <v>1252.4000000000001</v>
      </c>
      <c r="G2774">
        <v>23304</v>
      </c>
      <c r="H2774" s="116"/>
      <c r="I2774" s="116"/>
      <c r="L2774" s="170">
        <v>46087</v>
      </c>
      <c r="M2774" s="116">
        <v>1252.4000000000001</v>
      </c>
      <c r="N2774" s="116">
        <v>1264.0999999999999</v>
      </c>
      <c r="O2774" s="116">
        <v>1234.2</v>
      </c>
      <c r="P2774" s="116">
        <v>1250</v>
      </c>
      <c r="Q2774" s="116">
        <v>1252.4000000000001</v>
      </c>
      <c r="R2774">
        <v>830769</v>
      </c>
    </row>
    <row r="2775" spans="1:18" x14ac:dyDescent="0.25">
      <c r="A2775" s="170">
        <v>46090</v>
      </c>
      <c r="B2775">
        <v>1242.5</v>
      </c>
      <c r="C2775">
        <v>1236.2</v>
      </c>
      <c r="D2775">
        <v>1212</v>
      </c>
      <c r="E2775">
        <v>1212</v>
      </c>
      <c r="F2775">
        <v>1236.2</v>
      </c>
      <c r="G2775">
        <v>45373</v>
      </c>
      <c r="H2775" s="116"/>
      <c r="I2775" s="116"/>
      <c r="L2775" s="170">
        <v>46090</v>
      </c>
      <c r="M2775" s="116">
        <v>1235.8</v>
      </c>
      <c r="N2775" s="116">
        <v>1242.5999999999999</v>
      </c>
      <c r="O2775" s="116">
        <v>1217.4000000000001</v>
      </c>
      <c r="P2775" s="116">
        <v>1227</v>
      </c>
      <c r="Q2775" s="116">
        <v>1235.8</v>
      </c>
      <c r="R2775">
        <v>1467475</v>
      </c>
    </row>
    <row r="2776" spans="1:18" x14ac:dyDescent="0.25">
      <c r="A2776" s="170">
        <v>46091</v>
      </c>
      <c r="B2776">
        <v>1249.8</v>
      </c>
      <c r="C2776">
        <v>1241.5999999999999</v>
      </c>
      <c r="D2776">
        <v>1234.55</v>
      </c>
      <c r="E2776">
        <v>1236.2</v>
      </c>
      <c r="F2776">
        <v>1241.5999999999999</v>
      </c>
      <c r="G2776">
        <v>28620</v>
      </c>
      <c r="H2776" s="116"/>
      <c r="I2776" s="116"/>
      <c r="L2776" s="170">
        <v>46091</v>
      </c>
      <c r="M2776" s="116">
        <v>1241.2</v>
      </c>
      <c r="N2776" s="116">
        <v>1249.5</v>
      </c>
      <c r="O2776" s="116">
        <v>1233.5</v>
      </c>
      <c r="P2776" s="116">
        <v>1236.9000000000001</v>
      </c>
      <c r="Q2776" s="116">
        <v>1241.2</v>
      </c>
      <c r="R2776">
        <v>1301806</v>
      </c>
    </row>
    <row r="2777" spans="1:18" x14ac:dyDescent="0.25">
      <c r="A2777" s="170">
        <v>46092</v>
      </c>
      <c r="B2777">
        <v>1244.4000000000001</v>
      </c>
      <c r="C2777">
        <v>1233.3499999999999</v>
      </c>
      <c r="D2777">
        <v>1226.5</v>
      </c>
      <c r="E2777">
        <v>1238</v>
      </c>
      <c r="F2777">
        <v>1233.3499999999999</v>
      </c>
      <c r="G2777">
        <v>59076</v>
      </c>
      <c r="H2777" s="116"/>
      <c r="I2777" s="116"/>
      <c r="L2777" s="170">
        <v>46092</v>
      </c>
      <c r="M2777" s="116">
        <v>1233.7</v>
      </c>
      <c r="N2777" s="116">
        <v>1245.9000000000001</v>
      </c>
      <c r="O2777" s="116">
        <v>1226.0999999999999</v>
      </c>
      <c r="P2777" s="116">
        <v>1237.0999999999999</v>
      </c>
      <c r="Q2777" s="116">
        <v>1233.7</v>
      </c>
      <c r="R2777">
        <v>1472136</v>
      </c>
    </row>
    <row r="2778" spans="1:18" x14ac:dyDescent="0.25">
      <c r="A2778" s="170">
        <v>46093</v>
      </c>
      <c r="B2778">
        <v>1229</v>
      </c>
      <c r="C2778">
        <v>1219.8499999999999</v>
      </c>
      <c r="D2778">
        <v>1210</v>
      </c>
      <c r="E2778">
        <v>1225</v>
      </c>
      <c r="F2778">
        <v>1219.8499999999999</v>
      </c>
      <c r="G2778">
        <v>13336</v>
      </c>
      <c r="H2778" s="116"/>
      <c r="I2778" s="116"/>
      <c r="L2778" s="170">
        <v>46093</v>
      </c>
      <c r="M2778" s="116">
        <v>1220.8</v>
      </c>
      <c r="N2778" s="116">
        <v>1229.9000000000001</v>
      </c>
      <c r="O2778" s="116">
        <v>1209.3</v>
      </c>
      <c r="P2778" s="116">
        <v>1225</v>
      </c>
      <c r="Q2778" s="116">
        <v>1220.8</v>
      </c>
      <c r="R2778">
        <v>1358564</v>
      </c>
    </row>
    <row r="2779" spans="1:18" x14ac:dyDescent="0.25">
      <c r="A2779" s="170">
        <v>46094</v>
      </c>
      <c r="B2779">
        <v>1237.9000000000001</v>
      </c>
      <c r="C2779">
        <v>1202.05</v>
      </c>
      <c r="D2779">
        <v>1200.1500000000001</v>
      </c>
      <c r="E2779">
        <v>1211.3499999999999</v>
      </c>
      <c r="F2779">
        <v>1202.05</v>
      </c>
      <c r="G2779">
        <v>59304</v>
      </c>
      <c r="H2779" s="116"/>
      <c r="I2779" s="116"/>
      <c r="L2779" s="170">
        <v>46094</v>
      </c>
      <c r="M2779" s="116">
        <v>1202.2</v>
      </c>
      <c r="N2779" s="116">
        <v>1238.5999999999999</v>
      </c>
      <c r="O2779" s="116">
        <v>1200.5999999999999</v>
      </c>
      <c r="P2779" s="116">
        <v>1219</v>
      </c>
      <c r="Q2779" s="116">
        <v>1202.2</v>
      </c>
      <c r="R2779">
        <v>1681371</v>
      </c>
    </row>
    <row r="2780" spans="1:18" x14ac:dyDescent="0.25">
      <c r="A2780" s="170">
        <v>46097</v>
      </c>
      <c r="B2780">
        <v>1217.8499999999999</v>
      </c>
      <c r="C2780">
        <v>1211.8</v>
      </c>
      <c r="D2780">
        <v>1196.05</v>
      </c>
      <c r="E2780">
        <v>1200</v>
      </c>
      <c r="F2780">
        <v>1211.8</v>
      </c>
      <c r="G2780">
        <v>11286</v>
      </c>
      <c r="H2780" s="116"/>
      <c r="I2780" s="116"/>
      <c r="L2780" s="170">
        <v>46097</v>
      </c>
      <c r="M2780" s="116">
        <v>1213.4000000000001</v>
      </c>
      <c r="N2780" s="116">
        <v>1219.3</v>
      </c>
      <c r="O2780" s="116">
        <v>1196.5</v>
      </c>
      <c r="P2780" s="116">
        <v>1200</v>
      </c>
      <c r="Q2780" s="116">
        <v>1213.4000000000001</v>
      </c>
      <c r="R2780">
        <v>1100151</v>
      </c>
    </row>
    <row r="2781" spans="1:18" x14ac:dyDescent="0.25">
      <c r="A2781" s="170">
        <v>46098</v>
      </c>
      <c r="B2781">
        <v>1225</v>
      </c>
      <c r="C2781">
        <v>1206.3</v>
      </c>
      <c r="D2781">
        <v>1199.4000000000001</v>
      </c>
      <c r="E2781">
        <v>1212</v>
      </c>
      <c r="F2781">
        <v>1206.3</v>
      </c>
      <c r="G2781">
        <v>30230</v>
      </c>
      <c r="H2781" s="116"/>
      <c r="I2781" s="116"/>
      <c r="L2781" s="170">
        <v>46098</v>
      </c>
      <c r="M2781" s="116">
        <v>1206.9000000000001</v>
      </c>
      <c r="N2781" s="116">
        <v>1225</v>
      </c>
      <c r="O2781" s="116">
        <v>1199.0999999999999</v>
      </c>
      <c r="P2781" s="116">
        <v>1213.4000000000001</v>
      </c>
      <c r="Q2781" s="116">
        <v>1206.9000000000001</v>
      </c>
      <c r="R2781">
        <v>1673011</v>
      </c>
    </row>
    <row r="2782" spans="1:18" x14ac:dyDescent="0.25">
      <c r="A2782" s="170">
        <v>46099</v>
      </c>
      <c r="B2782">
        <v>1212.7</v>
      </c>
      <c r="C2782">
        <v>1204.3499999999999</v>
      </c>
      <c r="D2782">
        <v>1200.2</v>
      </c>
      <c r="E2782">
        <v>1206.3</v>
      </c>
      <c r="F2782">
        <v>1204.3499999999999</v>
      </c>
      <c r="G2782">
        <v>63671</v>
      </c>
      <c r="H2782" s="116"/>
      <c r="I2782" s="116"/>
      <c r="L2782" s="170">
        <v>46099</v>
      </c>
      <c r="M2782" s="116">
        <v>1204.8</v>
      </c>
      <c r="N2782" s="116">
        <v>1213.3</v>
      </c>
      <c r="O2782" s="116">
        <v>1199.9000000000001</v>
      </c>
      <c r="P2782" s="116">
        <v>1206</v>
      </c>
      <c r="Q2782" s="116">
        <v>1204.8</v>
      </c>
      <c r="R2782">
        <v>1144239</v>
      </c>
    </row>
    <row r="2783" spans="1:18" x14ac:dyDescent="0.25">
      <c r="A2783" s="170">
        <v>46100</v>
      </c>
      <c r="B2783">
        <v>1201.2</v>
      </c>
      <c r="C2783">
        <v>1188.2</v>
      </c>
      <c r="D2783">
        <v>1177.7</v>
      </c>
      <c r="E2783">
        <v>1199.9000000000001</v>
      </c>
      <c r="F2783">
        <v>1188.2</v>
      </c>
      <c r="G2783">
        <v>21686</v>
      </c>
      <c r="H2783" s="116"/>
      <c r="I2783" s="116"/>
      <c r="L2783" s="170">
        <v>46100</v>
      </c>
      <c r="M2783" s="116">
        <v>1186.3</v>
      </c>
      <c r="N2783" s="116">
        <v>1203</v>
      </c>
      <c r="O2783" s="116">
        <v>1177.7</v>
      </c>
      <c r="P2783" s="116">
        <v>1193</v>
      </c>
      <c r="Q2783" s="116">
        <v>1186.3</v>
      </c>
      <c r="R2783">
        <v>826831</v>
      </c>
    </row>
    <row r="2784" spans="1:18" x14ac:dyDescent="0.25">
      <c r="A2784" s="170">
        <v>46101</v>
      </c>
      <c r="B2784">
        <v>1201.75</v>
      </c>
      <c r="C2784">
        <v>1193.9000000000001</v>
      </c>
      <c r="D2784">
        <v>1177.75</v>
      </c>
      <c r="E2784">
        <v>1194.0999999999999</v>
      </c>
      <c r="F2784">
        <v>1193.9000000000001</v>
      </c>
      <c r="G2784">
        <v>40276</v>
      </c>
      <c r="H2784" s="116"/>
      <c r="I2784" s="116"/>
      <c r="L2784" s="170">
        <v>46101</v>
      </c>
      <c r="M2784" s="116">
        <v>1193.5999999999999</v>
      </c>
      <c r="N2784" s="116">
        <v>1204</v>
      </c>
      <c r="O2784" s="116">
        <v>1177.5999999999999</v>
      </c>
      <c r="P2784" s="116">
        <v>1204</v>
      </c>
      <c r="Q2784" s="116">
        <v>1193.5999999999999</v>
      </c>
      <c r="R2784">
        <v>1395157</v>
      </c>
    </row>
    <row r="2785" spans="1:18" x14ac:dyDescent="0.25">
      <c r="A2785" s="170">
        <v>46104</v>
      </c>
      <c r="B2785">
        <v>1190</v>
      </c>
      <c r="C2785">
        <v>1166.55</v>
      </c>
      <c r="D2785">
        <v>1164.25</v>
      </c>
      <c r="E2785">
        <v>1183</v>
      </c>
      <c r="F2785">
        <v>1166.55</v>
      </c>
      <c r="G2785">
        <v>51429</v>
      </c>
      <c r="H2785" s="116"/>
      <c r="I2785" s="116"/>
      <c r="L2785" s="170">
        <v>46104</v>
      </c>
      <c r="M2785" s="116">
        <v>1166.8</v>
      </c>
      <c r="N2785" s="116">
        <v>1189</v>
      </c>
      <c r="O2785" s="116">
        <v>1164.8</v>
      </c>
      <c r="P2785" s="116">
        <v>1189</v>
      </c>
      <c r="Q2785" s="116">
        <v>1166.8</v>
      </c>
      <c r="R2785">
        <v>944890</v>
      </c>
    </row>
    <row r="2786" spans="1:18" x14ac:dyDescent="0.25">
      <c r="A2786" s="170">
        <v>46105</v>
      </c>
      <c r="B2786">
        <v>1195</v>
      </c>
      <c r="C2786">
        <v>1182.8499999999999</v>
      </c>
      <c r="D2786">
        <v>1162.8499999999999</v>
      </c>
      <c r="E2786">
        <v>1189.3</v>
      </c>
      <c r="F2786">
        <v>1182.8499999999999</v>
      </c>
      <c r="G2786">
        <v>14484</v>
      </c>
      <c r="H2786" s="116"/>
      <c r="I2786" s="116"/>
      <c r="L2786" s="170">
        <v>46105</v>
      </c>
      <c r="M2786" s="116">
        <v>1183.2</v>
      </c>
      <c r="N2786" s="116">
        <v>1195.0999999999999</v>
      </c>
      <c r="O2786" s="116">
        <v>1163.2</v>
      </c>
      <c r="P2786" s="116">
        <v>1180</v>
      </c>
      <c r="Q2786" s="116">
        <v>1183.2</v>
      </c>
      <c r="R2786">
        <v>1001494</v>
      </c>
    </row>
    <row r="2787" spans="1:18" x14ac:dyDescent="0.25">
      <c r="A2787" s="170">
        <v>46106</v>
      </c>
      <c r="B2787">
        <v>1217.6500000000001</v>
      </c>
      <c r="C2787">
        <v>1204.3</v>
      </c>
      <c r="D2787">
        <v>1181.05</v>
      </c>
      <c r="E2787">
        <v>1194.45</v>
      </c>
      <c r="F2787">
        <v>1204.3</v>
      </c>
      <c r="G2787">
        <v>58483</v>
      </c>
      <c r="H2787" s="116"/>
      <c r="I2787" s="116"/>
      <c r="L2787" s="170">
        <v>46106</v>
      </c>
      <c r="M2787" s="116">
        <v>1204.0999999999999</v>
      </c>
      <c r="N2787" s="116">
        <v>1217.8</v>
      </c>
      <c r="O2787" s="116">
        <v>1180</v>
      </c>
      <c r="P2787" s="116">
        <v>1183.2</v>
      </c>
      <c r="Q2787" s="116">
        <v>1204.0999999999999</v>
      </c>
      <c r="R2787">
        <v>1003662</v>
      </c>
    </row>
    <row r="2788" spans="1:18" x14ac:dyDescent="0.25">
      <c r="A2788" s="170">
        <v>46108</v>
      </c>
      <c r="B2788">
        <v>1215.25</v>
      </c>
      <c r="C2788">
        <v>1194.25</v>
      </c>
      <c r="D2788">
        <v>1188.1500000000001</v>
      </c>
      <c r="E2788">
        <v>1204.95</v>
      </c>
      <c r="F2788">
        <v>1194.25</v>
      </c>
      <c r="G2788">
        <v>68599</v>
      </c>
      <c r="H2788" s="116"/>
      <c r="I2788" s="116"/>
      <c r="L2788" s="170">
        <v>46108</v>
      </c>
      <c r="M2788" s="116">
        <v>1193.2</v>
      </c>
      <c r="N2788" s="116">
        <v>1215.7</v>
      </c>
      <c r="O2788" s="116">
        <v>1188.3</v>
      </c>
      <c r="P2788" s="116">
        <v>1204.0999999999999</v>
      </c>
      <c r="Q2788" s="116">
        <v>1193.2</v>
      </c>
      <c r="R2788">
        <v>2005121</v>
      </c>
    </row>
    <row r="2789" spans="1:18" x14ac:dyDescent="0.25">
      <c r="A2789" s="170">
        <v>46111</v>
      </c>
      <c r="B2789">
        <v>1194</v>
      </c>
      <c r="C2789">
        <v>1174.8</v>
      </c>
      <c r="D2789">
        <v>1170</v>
      </c>
      <c r="E2789">
        <v>1188.4000000000001</v>
      </c>
      <c r="F2789">
        <v>1174.8</v>
      </c>
      <c r="G2789">
        <v>63757</v>
      </c>
      <c r="H2789" s="116"/>
      <c r="I2789" s="116"/>
      <c r="L2789" s="170">
        <v>46111</v>
      </c>
      <c r="M2789" s="116">
        <v>1174.8</v>
      </c>
      <c r="N2789" s="116">
        <v>1194.4000000000001</v>
      </c>
      <c r="O2789" s="116">
        <v>1169.5999999999999</v>
      </c>
      <c r="P2789" s="116">
        <v>1185</v>
      </c>
      <c r="Q2789" s="116">
        <v>1174.8</v>
      </c>
      <c r="R2789">
        <v>1814954</v>
      </c>
    </row>
    <row r="2790" spans="1:18" x14ac:dyDescent="0.25">
      <c r="A2790" s="170">
        <v>46113</v>
      </c>
      <c r="B2790">
        <v>1191.3</v>
      </c>
      <c r="C2790">
        <v>1180.75</v>
      </c>
      <c r="D2790">
        <v>1167.25</v>
      </c>
      <c r="E2790">
        <v>1184.6500000000001</v>
      </c>
      <c r="F2790">
        <v>1180.75</v>
      </c>
      <c r="G2790">
        <v>67523</v>
      </c>
      <c r="H2790" s="116"/>
      <c r="I2790" s="116"/>
      <c r="L2790" s="170">
        <v>46113</v>
      </c>
      <c r="M2790" s="116">
        <v>1180.8</v>
      </c>
      <c r="N2790" s="116">
        <v>1191.5999999999999</v>
      </c>
      <c r="O2790" s="116">
        <v>1167.0999999999999</v>
      </c>
      <c r="P2790" s="116">
        <v>1174.8</v>
      </c>
      <c r="Q2790" s="116">
        <v>1180.8</v>
      </c>
      <c r="R2790">
        <v>1836376</v>
      </c>
    </row>
    <row r="2791" spans="1:18" x14ac:dyDescent="0.25">
      <c r="A2791" s="170">
        <v>46114</v>
      </c>
      <c r="B2791">
        <v>1200</v>
      </c>
      <c r="C2791">
        <v>1191.5999999999999</v>
      </c>
      <c r="D2791">
        <v>1160</v>
      </c>
      <c r="E2791">
        <v>1165.05</v>
      </c>
      <c r="F2791">
        <v>1191.5999999999999</v>
      </c>
      <c r="G2791">
        <v>24555</v>
      </c>
      <c r="H2791" s="116"/>
      <c r="I2791" s="116"/>
      <c r="L2791" s="170">
        <v>46114</v>
      </c>
      <c r="M2791" s="116">
        <v>1191.3</v>
      </c>
      <c r="N2791" s="116">
        <v>1200</v>
      </c>
      <c r="O2791" s="116">
        <v>1159.4000000000001</v>
      </c>
      <c r="P2791" s="116">
        <v>1173.3</v>
      </c>
      <c r="Q2791" s="116">
        <v>1191.3</v>
      </c>
      <c r="R2791">
        <v>1357820</v>
      </c>
    </row>
    <row r="2792" spans="1:18" x14ac:dyDescent="0.25">
      <c r="A2792" s="170">
        <v>46118</v>
      </c>
      <c r="B2792">
        <v>1218.8499999999999</v>
      </c>
      <c r="C2792">
        <v>1215.55</v>
      </c>
      <c r="D2792">
        <v>1172.25</v>
      </c>
      <c r="E2792">
        <v>1191</v>
      </c>
      <c r="F2792">
        <v>1215.55</v>
      </c>
      <c r="G2792">
        <v>53330</v>
      </c>
      <c r="H2792" s="116"/>
      <c r="I2792" s="116"/>
      <c r="L2792" s="170">
        <v>46118</v>
      </c>
      <c r="M2792" s="116">
        <v>1216</v>
      </c>
      <c r="N2792" s="116">
        <v>1218.8</v>
      </c>
      <c r="O2792" s="116">
        <v>1179</v>
      </c>
      <c r="P2792" s="116">
        <v>1190</v>
      </c>
      <c r="Q2792" s="116">
        <v>1216</v>
      </c>
      <c r="R2792">
        <v>1460974</v>
      </c>
    </row>
    <row r="2793" spans="1:18" x14ac:dyDescent="0.25">
      <c r="A2793" s="170">
        <v>46119</v>
      </c>
      <c r="B2793">
        <v>1225</v>
      </c>
      <c r="C2793">
        <v>1223.55</v>
      </c>
      <c r="D2793">
        <v>1195.45</v>
      </c>
      <c r="E2793">
        <v>1210</v>
      </c>
      <c r="F2793">
        <v>1223.55</v>
      </c>
      <c r="G2793">
        <v>37664</v>
      </c>
      <c r="H2793" s="116"/>
      <c r="I2793" s="116"/>
      <c r="L2793" s="170">
        <v>46119</v>
      </c>
      <c r="M2793" s="116">
        <v>1222.8</v>
      </c>
      <c r="N2793" s="116">
        <v>1225.4000000000001</v>
      </c>
      <c r="O2793" s="116">
        <v>1194.2</v>
      </c>
      <c r="P2793" s="116">
        <v>1204.4000000000001</v>
      </c>
      <c r="Q2793" s="116">
        <v>1222.8</v>
      </c>
      <c r="R2793">
        <v>1434686</v>
      </c>
    </row>
    <row r="2794" spans="1:18" x14ac:dyDescent="0.25">
      <c r="A2794" s="170">
        <v>46120</v>
      </c>
      <c r="B2794">
        <v>1245</v>
      </c>
      <c r="C2794">
        <v>1213.2</v>
      </c>
      <c r="D2794">
        <v>1209.3</v>
      </c>
      <c r="E2794">
        <v>1239.95</v>
      </c>
      <c r="F2794">
        <v>1213.2</v>
      </c>
      <c r="G2794">
        <v>82261</v>
      </c>
      <c r="H2794" s="116"/>
      <c r="I2794" s="116"/>
      <c r="L2794" s="170">
        <v>46120</v>
      </c>
      <c r="M2794" s="116">
        <v>1213.7</v>
      </c>
      <c r="N2794" s="116">
        <v>1250.5999999999999</v>
      </c>
      <c r="O2794" s="116">
        <v>1209.3</v>
      </c>
      <c r="P2794" s="116">
        <v>1238</v>
      </c>
      <c r="Q2794" s="116">
        <v>1213.7</v>
      </c>
      <c r="R2794">
        <v>1638620</v>
      </c>
    </row>
    <row r="2795" spans="1:18" x14ac:dyDescent="0.25">
      <c r="A2795" s="170">
        <v>46121</v>
      </c>
      <c r="B2795">
        <v>1230.75</v>
      </c>
      <c r="C2795">
        <v>1229.05</v>
      </c>
      <c r="D2795">
        <v>1201.25</v>
      </c>
      <c r="E2795">
        <v>1201.25</v>
      </c>
      <c r="F2795">
        <v>1229.05</v>
      </c>
      <c r="G2795">
        <v>34136</v>
      </c>
      <c r="H2795" s="116"/>
      <c r="I2795" s="116"/>
      <c r="L2795" s="170">
        <v>46121</v>
      </c>
      <c r="M2795" s="116">
        <v>1228.7</v>
      </c>
      <c r="N2795" s="116">
        <v>1230.0999999999999</v>
      </c>
      <c r="O2795" s="116">
        <v>1206.4000000000001</v>
      </c>
      <c r="P2795" s="116">
        <v>1209.5</v>
      </c>
      <c r="Q2795" s="116">
        <v>1228.7</v>
      </c>
      <c r="R2795">
        <v>1258634</v>
      </c>
    </row>
    <row r="2796" spans="1:18" x14ac:dyDescent="0.25">
      <c r="A2796" s="170">
        <v>46122</v>
      </c>
      <c r="B2796">
        <v>1251.7</v>
      </c>
      <c r="C2796">
        <v>1249</v>
      </c>
      <c r="D2796">
        <v>1229.0999999999999</v>
      </c>
      <c r="E2796">
        <v>1229.45</v>
      </c>
      <c r="F2796">
        <v>1249</v>
      </c>
      <c r="G2796">
        <v>33698</v>
      </c>
      <c r="H2796" s="116"/>
      <c r="I2796" s="116"/>
      <c r="L2796" s="170">
        <v>46122</v>
      </c>
      <c r="M2796" s="116">
        <v>1249.3</v>
      </c>
      <c r="N2796" s="116">
        <v>1252.3</v>
      </c>
      <c r="O2796" s="116">
        <v>1229.0999999999999</v>
      </c>
      <c r="P2796" s="116">
        <v>1230.8</v>
      </c>
      <c r="Q2796" s="116">
        <v>1249.3</v>
      </c>
      <c r="R2796">
        <v>1358310</v>
      </c>
    </row>
    <row r="2797" spans="1:18" x14ac:dyDescent="0.25">
      <c r="A2797" s="170">
        <v>46125</v>
      </c>
      <c r="B2797">
        <v>1246.05</v>
      </c>
      <c r="C2797">
        <v>1226.75</v>
      </c>
      <c r="D2797">
        <v>1222.25</v>
      </c>
      <c r="E2797">
        <v>1240</v>
      </c>
      <c r="F2797">
        <v>1226.75</v>
      </c>
      <c r="G2797">
        <v>23819</v>
      </c>
      <c r="H2797" s="116"/>
      <c r="I2797" s="116"/>
      <c r="L2797" s="170">
        <v>46125</v>
      </c>
      <c r="M2797" s="116">
        <v>1226.0999999999999</v>
      </c>
      <c r="N2797" s="116">
        <v>1246.8</v>
      </c>
      <c r="O2797" s="116">
        <v>1222.0999999999999</v>
      </c>
      <c r="P2797" s="116">
        <v>1239.3</v>
      </c>
      <c r="Q2797" s="116">
        <v>1226.0999999999999</v>
      </c>
      <c r="R2797">
        <v>1346881</v>
      </c>
    </row>
    <row r="2798" spans="1:18" x14ac:dyDescent="0.25">
      <c r="A2798" s="170">
        <v>46127</v>
      </c>
      <c r="B2798">
        <v>1259.4000000000001</v>
      </c>
      <c r="C2798">
        <v>1256.3</v>
      </c>
      <c r="D2798">
        <v>1230.0999999999999</v>
      </c>
      <c r="E2798">
        <v>1230.0999999999999</v>
      </c>
      <c r="F2798">
        <v>1256.3</v>
      </c>
      <c r="G2798">
        <v>72755</v>
      </c>
      <c r="H2798" s="116"/>
      <c r="I2798" s="116"/>
      <c r="L2798" s="170">
        <v>46127</v>
      </c>
      <c r="M2798" s="116">
        <v>1256.5999999999999</v>
      </c>
      <c r="N2798" s="116">
        <v>1259.9000000000001</v>
      </c>
      <c r="O2798" s="116">
        <v>1232.3</v>
      </c>
      <c r="P2798" s="116">
        <v>1235</v>
      </c>
      <c r="Q2798" s="116">
        <v>1256.5999999999999</v>
      </c>
      <c r="R2798">
        <v>1236533</v>
      </c>
    </row>
    <row r="2799" spans="1:18" x14ac:dyDescent="0.25">
      <c r="A2799" s="170">
        <v>46128</v>
      </c>
      <c r="B2799">
        <v>1261.5999999999999</v>
      </c>
      <c r="C2799">
        <v>1258.55</v>
      </c>
      <c r="D2799">
        <v>1246.05</v>
      </c>
      <c r="E2799">
        <v>1256.5999999999999</v>
      </c>
      <c r="F2799">
        <v>1258.55</v>
      </c>
      <c r="G2799">
        <v>104549</v>
      </c>
      <c r="H2799" s="116"/>
      <c r="I2799" s="116"/>
      <c r="L2799" s="170">
        <v>46128</v>
      </c>
      <c r="M2799" s="116">
        <v>1257.4000000000001</v>
      </c>
      <c r="N2799" s="116">
        <v>1261.9000000000001</v>
      </c>
      <c r="O2799" s="116">
        <v>1246.5</v>
      </c>
      <c r="P2799" s="116">
        <v>1255.0999999999999</v>
      </c>
      <c r="Q2799" s="116">
        <v>1257.4000000000001</v>
      </c>
      <c r="R2799">
        <v>1126023</v>
      </c>
    </row>
    <row r="2800" spans="1:18" x14ac:dyDescent="0.25">
      <c r="A2800" s="170">
        <v>46129</v>
      </c>
      <c r="B2800">
        <v>1292</v>
      </c>
      <c r="C2800">
        <v>1285.6500000000001</v>
      </c>
      <c r="D2800">
        <v>1252.8499999999999</v>
      </c>
      <c r="E2800">
        <v>1254.55</v>
      </c>
      <c r="F2800">
        <v>1285.6500000000001</v>
      </c>
      <c r="G2800">
        <v>76558</v>
      </c>
      <c r="H2800" s="116"/>
      <c r="I2800" s="116"/>
      <c r="L2800" s="170">
        <v>46129</v>
      </c>
      <c r="M2800" s="116">
        <v>1285.5999999999999</v>
      </c>
      <c r="N2800" s="116">
        <v>1292</v>
      </c>
      <c r="O2800" s="116">
        <v>1252.8</v>
      </c>
      <c r="P2800" s="116">
        <v>1258.0999999999999</v>
      </c>
      <c r="Q2800" s="116">
        <v>1285.5999999999999</v>
      </c>
      <c r="R2800">
        <v>1994195</v>
      </c>
    </row>
    <row r="2801" spans="1:18" x14ac:dyDescent="0.25">
      <c r="A2801" s="170">
        <v>46132</v>
      </c>
      <c r="B2801">
        <v>1294.2</v>
      </c>
      <c r="C2801">
        <v>1287.4000000000001</v>
      </c>
      <c r="D2801">
        <v>1275</v>
      </c>
      <c r="E2801">
        <v>1287.7</v>
      </c>
      <c r="F2801">
        <v>1287.4000000000001</v>
      </c>
      <c r="G2801">
        <v>72470</v>
      </c>
      <c r="H2801" s="116"/>
      <c r="I2801" s="116"/>
      <c r="L2801" s="170">
        <v>46132</v>
      </c>
      <c r="M2801" s="116">
        <v>1286.4000000000001</v>
      </c>
      <c r="N2801" s="116">
        <v>1294.3</v>
      </c>
      <c r="O2801" s="116">
        <v>1274.5999999999999</v>
      </c>
      <c r="P2801" s="116">
        <v>1294</v>
      </c>
      <c r="Q2801" s="116">
        <v>1286.4000000000001</v>
      </c>
      <c r="R2801">
        <v>1156327</v>
      </c>
    </row>
    <row r="2802" spans="1:18" x14ac:dyDescent="0.25">
      <c r="H2802" s="116"/>
      <c r="I2802" s="116"/>
    </row>
    <row r="2803" spans="1:18" x14ac:dyDescent="0.25">
      <c r="H2803" s="116"/>
      <c r="I2803" s="116"/>
    </row>
    <row r="2804" spans="1:18" x14ac:dyDescent="0.25">
      <c r="H2804" s="116"/>
      <c r="I2804" s="116"/>
    </row>
    <row r="2805" spans="1:18" x14ac:dyDescent="0.25">
      <c r="H2805" s="116"/>
      <c r="I2805" s="116"/>
    </row>
    <row r="2806" spans="1:18" x14ac:dyDescent="0.25">
      <c r="H2806" s="116"/>
      <c r="I2806" s="116"/>
    </row>
    <row r="2807" spans="1:18" x14ac:dyDescent="0.25">
      <c r="H2807" s="116"/>
      <c r="I2807" s="116"/>
    </row>
    <row r="2808" spans="1:18" x14ac:dyDescent="0.25">
      <c r="H2808" s="116"/>
      <c r="I2808" s="116"/>
    </row>
    <row r="2809" spans="1:18" x14ac:dyDescent="0.25">
      <c r="H2809" s="116"/>
      <c r="I2809" s="116"/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2026-06-17T04:21:02Z</dcterms:modified>
  <cp:category/>
  <cp:contentStatus/>
</cp:coreProperties>
</file>